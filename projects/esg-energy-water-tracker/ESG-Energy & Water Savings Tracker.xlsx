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d64cb1534523e6a/Documents/Gallagher and Mohan/Trackers And Analysis/Masked/"/>
    </mc:Choice>
  </mc:AlternateContent>
  <xr:revisionPtr revIDLastSave="326" documentId="11_A1A5BE0B824A743D61915A3BBC65355CBD82020B" xr6:coauthVersionLast="47" xr6:coauthVersionMax="47" xr10:uidLastSave="{23B7CDE5-0C01-4409-9152-6C940168D544}"/>
  <bookViews>
    <workbookView xWindow="-110" yWindow="-110" windowWidth="19420" windowHeight="10300" tabRatio="875" activeTab="1" xr2:uid="{00000000-000D-0000-FFFF-FFFF00000000}"/>
  </bookViews>
  <sheets>
    <sheet name="Dashboard" sheetId="1" r:id="rId1"/>
    <sheet name="Property Summary" sheetId="2" r:id="rId2"/>
    <sheet name="Initiative Log" sheetId="3" r:id="rId3"/>
    <sheet name="Assumptions" sheetId="4" r:id="rId4"/>
    <sheet name="Portfolio List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3" l="1"/>
  <c r="F7" i="3"/>
  <c r="G7" i="3"/>
  <c r="R7" i="3" s="1"/>
  <c r="H7" i="3"/>
  <c r="E8" i="3"/>
  <c r="F8" i="3"/>
  <c r="G8" i="3"/>
  <c r="R8" i="3" s="1"/>
  <c r="H8" i="3"/>
  <c r="E9" i="3"/>
  <c r="F9" i="3"/>
  <c r="G9" i="3"/>
  <c r="R9" i="3" s="1"/>
  <c r="H9" i="3"/>
  <c r="E10" i="3"/>
  <c r="F10" i="3"/>
  <c r="G10" i="3"/>
  <c r="R10" i="3" s="1"/>
  <c r="H10" i="3"/>
  <c r="E11" i="3"/>
  <c r="F11" i="3"/>
  <c r="G11" i="3"/>
  <c r="R11" i="3" s="1"/>
  <c r="H11" i="3"/>
  <c r="E12" i="3"/>
  <c r="F12" i="3"/>
  <c r="G12" i="3"/>
  <c r="R12" i="3" s="1"/>
  <c r="H12" i="3"/>
  <c r="E13" i="3"/>
  <c r="F13" i="3"/>
  <c r="G13" i="3"/>
  <c r="R13" i="3" s="1"/>
  <c r="H13" i="3"/>
  <c r="E14" i="3"/>
  <c r="F14" i="3"/>
  <c r="G14" i="3"/>
  <c r="R14" i="3" s="1"/>
  <c r="H14" i="3"/>
  <c r="E15" i="3"/>
  <c r="F15" i="3"/>
  <c r="G15" i="3"/>
  <c r="R15" i="3" s="1"/>
  <c r="H15" i="3"/>
  <c r="E16" i="3"/>
  <c r="F16" i="3"/>
  <c r="G16" i="3"/>
  <c r="R16" i="3" s="1"/>
  <c r="H16" i="3"/>
  <c r="E17" i="3"/>
  <c r="F17" i="3"/>
  <c r="G17" i="3"/>
  <c r="R17" i="3" s="1"/>
  <c r="H17" i="3"/>
  <c r="E18" i="3"/>
  <c r="F18" i="3"/>
  <c r="G18" i="3"/>
  <c r="R18" i="3" s="1"/>
  <c r="H18" i="3"/>
  <c r="E19" i="3"/>
  <c r="F19" i="3"/>
  <c r="G19" i="3"/>
  <c r="R19" i="3" s="1"/>
  <c r="H19" i="3"/>
  <c r="E20" i="3"/>
  <c r="F20" i="3"/>
  <c r="G20" i="3"/>
  <c r="R20" i="3" s="1"/>
  <c r="H20" i="3"/>
  <c r="E21" i="3"/>
  <c r="F21" i="3"/>
  <c r="G21" i="3"/>
  <c r="R21" i="3" s="1"/>
  <c r="H21" i="3"/>
  <c r="E22" i="3"/>
  <c r="F22" i="3"/>
  <c r="G22" i="3"/>
  <c r="R22" i="3" s="1"/>
  <c r="H22" i="3"/>
  <c r="E23" i="3"/>
  <c r="F23" i="3"/>
  <c r="G23" i="3"/>
  <c r="R23" i="3" s="1"/>
  <c r="H23" i="3"/>
  <c r="E24" i="3"/>
  <c r="F24" i="3"/>
  <c r="G24" i="3"/>
  <c r="R24" i="3" s="1"/>
  <c r="H24" i="3"/>
  <c r="E25" i="3"/>
  <c r="F25" i="3"/>
  <c r="G25" i="3"/>
  <c r="R25" i="3" s="1"/>
  <c r="H25" i="3"/>
  <c r="E26" i="3"/>
  <c r="F26" i="3"/>
  <c r="G26" i="3"/>
  <c r="R26" i="3" s="1"/>
  <c r="H26" i="3"/>
  <c r="E27" i="3"/>
  <c r="F27" i="3"/>
  <c r="G27" i="3"/>
  <c r="R27" i="3" s="1"/>
  <c r="H27" i="3"/>
  <c r="E28" i="3"/>
  <c r="F28" i="3"/>
  <c r="G28" i="3"/>
  <c r="R28" i="3" s="1"/>
  <c r="H28" i="3"/>
  <c r="E29" i="3"/>
  <c r="F29" i="3"/>
  <c r="G29" i="3"/>
  <c r="R29" i="3" s="1"/>
  <c r="H29" i="3"/>
  <c r="E30" i="3"/>
  <c r="F30" i="3"/>
  <c r="G30" i="3"/>
  <c r="R30" i="3" s="1"/>
  <c r="H30" i="3"/>
  <c r="E31" i="3"/>
  <c r="F31" i="3"/>
  <c r="G31" i="3"/>
  <c r="R31" i="3" s="1"/>
  <c r="H31" i="3"/>
  <c r="E32" i="3"/>
  <c r="F32" i="3"/>
  <c r="G32" i="3"/>
  <c r="R32" i="3" s="1"/>
  <c r="H32" i="3"/>
  <c r="E33" i="3"/>
  <c r="F33" i="3"/>
  <c r="G33" i="3"/>
  <c r="R33" i="3" s="1"/>
  <c r="H33" i="3"/>
  <c r="E34" i="3"/>
  <c r="F34" i="3"/>
  <c r="G34" i="3"/>
  <c r="R34" i="3" s="1"/>
  <c r="H34" i="3"/>
  <c r="E35" i="3"/>
  <c r="F35" i="3"/>
  <c r="G35" i="3"/>
  <c r="R35" i="3" s="1"/>
  <c r="H35" i="3"/>
  <c r="E36" i="3"/>
  <c r="F36" i="3"/>
  <c r="G36" i="3"/>
  <c r="R36" i="3" s="1"/>
  <c r="H36" i="3"/>
  <c r="E37" i="3"/>
  <c r="F37" i="3"/>
  <c r="G37" i="3"/>
  <c r="R37" i="3" s="1"/>
  <c r="H37" i="3"/>
  <c r="E38" i="3"/>
  <c r="F38" i="3"/>
  <c r="G38" i="3"/>
  <c r="R38" i="3" s="1"/>
  <c r="H38" i="3"/>
  <c r="E39" i="3"/>
  <c r="F39" i="3"/>
  <c r="G39" i="3"/>
  <c r="R39" i="3" s="1"/>
  <c r="H39" i="3"/>
  <c r="E40" i="3"/>
  <c r="F40" i="3"/>
  <c r="G40" i="3"/>
  <c r="R40" i="3" s="1"/>
  <c r="H40" i="3"/>
  <c r="E41" i="3"/>
  <c r="F41" i="3"/>
  <c r="G41" i="3"/>
  <c r="R41" i="3" s="1"/>
  <c r="H41" i="3"/>
  <c r="E42" i="3"/>
  <c r="F42" i="3"/>
  <c r="G42" i="3"/>
  <c r="R42" i="3" s="1"/>
  <c r="H42" i="3"/>
  <c r="E43" i="3"/>
  <c r="F43" i="3"/>
  <c r="G43" i="3"/>
  <c r="R43" i="3" s="1"/>
  <c r="H43" i="3"/>
  <c r="E44" i="3"/>
  <c r="F44" i="3"/>
  <c r="G44" i="3"/>
  <c r="R44" i="3" s="1"/>
  <c r="H44" i="3"/>
  <c r="E45" i="3"/>
  <c r="F45" i="3"/>
  <c r="G45" i="3"/>
  <c r="R45" i="3" s="1"/>
  <c r="H45" i="3"/>
  <c r="E46" i="3"/>
  <c r="F46" i="3"/>
  <c r="G46" i="3"/>
  <c r="R46" i="3" s="1"/>
  <c r="H46" i="3"/>
  <c r="E47" i="3"/>
  <c r="F47" i="3"/>
  <c r="G47" i="3"/>
  <c r="R47" i="3" s="1"/>
  <c r="H47" i="3"/>
  <c r="E48" i="3"/>
  <c r="F48" i="3"/>
  <c r="G48" i="3"/>
  <c r="R48" i="3" s="1"/>
  <c r="H48" i="3"/>
  <c r="E49" i="3"/>
  <c r="F49" i="3"/>
  <c r="G49" i="3"/>
  <c r="R49" i="3" s="1"/>
  <c r="H49" i="3"/>
  <c r="E50" i="3"/>
  <c r="F50" i="3"/>
  <c r="G50" i="3"/>
  <c r="R50" i="3" s="1"/>
  <c r="H50" i="3"/>
  <c r="E51" i="3"/>
  <c r="F51" i="3"/>
  <c r="G51" i="3"/>
  <c r="R51" i="3" s="1"/>
  <c r="H51" i="3"/>
  <c r="E52" i="3"/>
  <c r="F52" i="3"/>
  <c r="G52" i="3"/>
  <c r="R52" i="3" s="1"/>
  <c r="H52" i="3"/>
  <c r="E53" i="3"/>
  <c r="F53" i="3"/>
  <c r="G53" i="3"/>
  <c r="R53" i="3" s="1"/>
  <c r="H53" i="3"/>
  <c r="E54" i="3"/>
  <c r="F54" i="3"/>
  <c r="G54" i="3"/>
  <c r="R54" i="3" s="1"/>
  <c r="H54" i="3"/>
  <c r="E55" i="3"/>
  <c r="F55" i="3"/>
  <c r="G55" i="3"/>
  <c r="R55" i="3" s="1"/>
  <c r="H55" i="3"/>
  <c r="E56" i="3"/>
  <c r="F56" i="3"/>
  <c r="G56" i="3"/>
  <c r="R56" i="3" s="1"/>
  <c r="H56" i="3"/>
  <c r="E57" i="3"/>
  <c r="F57" i="3"/>
  <c r="G57" i="3"/>
  <c r="R57" i="3" s="1"/>
  <c r="H57" i="3"/>
  <c r="E58" i="3"/>
  <c r="F58" i="3"/>
  <c r="G58" i="3"/>
  <c r="R58" i="3" s="1"/>
  <c r="H58" i="3"/>
  <c r="E59" i="3"/>
  <c r="F59" i="3"/>
  <c r="G59" i="3"/>
  <c r="R59" i="3" s="1"/>
  <c r="H59" i="3"/>
  <c r="E60" i="3"/>
  <c r="F60" i="3"/>
  <c r="G60" i="3"/>
  <c r="R60" i="3" s="1"/>
  <c r="H60" i="3"/>
  <c r="E61" i="3"/>
  <c r="F61" i="3"/>
  <c r="G61" i="3"/>
  <c r="R61" i="3" s="1"/>
  <c r="H61" i="3"/>
  <c r="E62" i="3"/>
  <c r="F62" i="3"/>
  <c r="G62" i="3"/>
  <c r="R62" i="3" s="1"/>
  <c r="H62" i="3"/>
  <c r="E63" i="3"/>
  <c r="F63" i="3"/>
  <c r="G63" i="3"/>
  <c r="R63" i="3" s="1"/>
  <c r="H63" i="3"/>
  <c r="E64" i="3"/>
  <c r="F64" i="3"/>
  <c r="G64" i="3"/>
  <c r="R64" i="3" s="1"/>
  <c r="H64" i="3"/>
  <c r="E65" i="3"/>
  <c r="F65" i="3"/>
  <c r="G65" i="3"/>
  <c r="R65" i="3" s="1"/>
  <c r="H65" i="3"/>
  <c r="E66" i="3"/>
  <c r="F66" i="3"/>
  <c r="G66" i="3"/>
  <c r="R66" i="3" s="1"/>
  <c r="H66" i="3"/>
  <c r="E67" i="3"/>
  <c r="F67" i="3"/>
  <c r="G67" i="3"/>
  <c r="R67" i="3" s="1"/>
  <c r="H67" i="3"/>
  <c r="E68" i="3"/>
  <c r="F68" i="3"/>
  <c r="G68" i="3"/>
  <c r="R68" i="3" s="1"/>
  <c r="H68" i="3"/>
  <c r="E69" i="3"/>
  <c r="F69" i="3"/>
  <c r="G69" i="3"/>
  <c r="R69" i="3" s="1"/>
  <c r="H69" i="3"/>
  <c r="E70" i="3"/>
  <c r="F70" i="3"/>
  <c r="G70" i="3"/>
  <c r="R70" i="3" s="1"/>
  <c r="H70" i="3"/>
  <c r="E71" i="3"/>
  <c r="F71" i="3"/>
  <c r="G71" i="3"/>
  <c r="R71" i="3" s="1"/>
  <c r="H71" i="3"/>
  <c r="E72" i="3"/>
  <c r="F72" i="3"/>
  <c r="G72" i="3"/>
  <c r="R72" i="3" s="1"/>
  <c r="H72" i="3"/>
  <c r="E73" i="3"/>
  <c r="F73" i="3"/>
  <c r="G73" i="3"/>
  <c r="R73" i="3" s="1"/>
  <c r="H73" i="3"/>
  <c r="E74" i="3"/>
  <c r="F74" i="3"/>
  <c r="G74" i="3"/>
  <c r="R74" i="3" s="1"/>
  <c r="H74" i="3"/>
  <c r="E75" i="3"/>
  <c r="F75" i="3"/>
  <c r="G75" i="3"/>
  <c r="R75" i="3" s="1"/>
  <c r="H75" i="3"/>
  <c r="E76" i="3"/>
  <c r="F76" i="3"/>
  <c r="G76" i="3"/>
  <c r="R76" i="3" s="1"/>
  <c r="H76" i="3"/>
  <c r="E77" i="3"/>
  <c r="F77" i="3"/>
  <c r="G77" i="3"/>
  <c r="R77" i="3" s="1"/>
  <c r="H77" i="3"/>
  <c r="E78" i="3"/>
  <c r="F78" i="3"/>
  <c r="G78" i="3"/>
  <c r="R78" i="3" s="1"/>
  <c r="H78" i="3"/>
  <c r="E79" i="3"/>
  <c r="F79" i="3"/>
  <c r="G79" i="3"/>
  <c r="R79" i="3" s="1"/>
  <c r="H79" i="3"/>
  <c r="E80" i="3"/>
  <c r="F80" i="3"/>
  <c r="G80" i="3"/>
  <c r="R80" i="3" s="1"/>
  <c r="H80" i="3"/>
  <c r="E81" i="3"/>
  <c r="F81" i="3"/>
  <c r="G81" i="3"/>
  <c r="R81" i="3" s="1"/>
  <c r="H81" i="3"/>
  <c r="E82" i="3"/>
  <c r="F82" i="3"/>
  <c r="G82" i="3"/>
  <c r="R82" i="3" s="1"/>
  <c r="H82" i="3"/>
  <c r="E83" i="3"/>
  <c r="F83" i="3"/>
  <c r="G83" i="3"/>
  <c r="R83" i="3" s="1"/>
  <c r="H83" i="3"/>
  <c r="E84" i="3"/>
  <c r="F84" i="3"/>
  <c r="G84" i="3"/>
  <c r="R84" i="3" s="1"/>
  <c r="H84" i="3"/>
  <c r="E85" i="3"/>
  <c r="F85" i="3"/>
  <c r="G85" i="3"/>
  <c r="R85" i="3" s="1"/>
  <c r="H85" i="3"/>
  <c r="E86" i="3"/>
  <c r="F86" i="3"/>
  <c r="G86" i="3"/>
  <c r="R86" i="3" s="1"/>
  <c r="H86" i="3"/>
  <c r="E87" i="3"/>
  <c r="F87" i="3"/>
  <c r="G87" i="3"/>
  <c r="R87" i="3" s="1"/>
  <c r="H87" i="3"/>
  <c r="E88" i="3"/>
  <c r="F88" i="3"/>
  <c r="G88" i="3"/>
  <c r="R88" i="3" s="1"/>
  <c r="H88" i="3"/>
  <c r="E89" i="3"/>
  <c r="F89" i="3"/>
  <c r="G89" i="3"/>
  <c r="R89" i="3" s="1"/>
  <c r="H89" i="3"/>
  <c r="E90" i="3"/>
  <c r="F90" i="3"/>
  <c r="G90" i="3"/>
  <c r="R90" i="3" s="1"/>
  <c r="H90" i="3"/>
  <c r="E91" i="3"/>
  <c r="F91" i="3"/>
  <c r="G91" i="3"/>
  <c r="R91" i="3" s="1"/>
  <c r="H91" i="3"/>
  <c r="E92" i="3"/>
  <c r="F92" i="3"/>
  <c r="G92" i="3"/>
  <c r="R92" i="3" s="1"/>
  <c r="H92" i="3"/>
  <c r="E93" i="3"/>
  <c r="F93" i="3"/>
  <c r="G93" i="3"/>
  <c r="R93" i="3" s="1"/>
  <c r="H93" i="3"/>
  <c r="E94" i="3"/>
  <c r="F94" i="3"/>
  <c r="G94" i="3"/>
  <c r="R94" i="3" s="1"/>
  <c r="H94" i="3"/>
  <c r="E95" i="3"/>
  <c r="F95" i="3"/>
  <c r="G95" i="3"/>
  <c r="R95" i="3" s="1"/>
  <c r="H95" i="3"/>
  <c r="E96" i="3"/>
  <c r="F96" i="3"/>
  <c r="G96" i="3"/>
  <c r="R96" i="3" s="1"/>
  <c r="H96" i="3"/>
  <c r="E97" i="3"/>
  <c r="F97" i="3"/>
  <c r="G97" i="3"/>
  <c r="R97" i="3" s="1"/>
  <c r="H97" i="3"/>
  <c r="E98" i="3"/>
  <c r="F98" i="3"/>
  <c r="G98" i="3"/>
  <c r="R98" i="3" s="1"/>
  <c r="H98" i="3"/>
  <c r="E99" i="3"/>
  <c r="F99" i="3"/>
  <c r="G99" i="3"/>
  <c r="R99" i="3" s="1"/>
  <c r="H99" i="3"/>
  <c r="E100" i="3"/>
  <c r="F100" i="3"/>
  <c r="G100" i="3"/>
  <c r="R100" i="3" s="1"/>
  <c r="H100" i="3"/>
  <c r="E101" i="3"/>
  <c r="F101" i="3"/>
  <c r="G101" i="3"/>
  <c r="R101" i="3" s="1"/>
  <c r="H101" i="3"/>
  <c r="E102" i="3"/>
  <c r="F102" i="3"/>
  <c r="G102" i="3"/>
  <c r="R102" i="3" s="1"/>
  <c r="H102" i="3"/>
  <c r="E103" i="3"/>
  <c r="F103" i="3"/>
  <c r="G103" i="3"/>
  <c r="R103" i="3" s="1"/>
  <c r="H103" i="3"/>
  <c r="E104" i="3"/>
  <c r="F104" i="3"/>
  <c r="G104" i="3"/>
  <c r="R104" i="3" s="1"/>
  <c r="H104" i="3"/>
  <c r="E105" i="3"/>
  <c r="F105" i="3"/>
  <c r="G105" i="3"/>
  <c r="R105" i="3" s="1"/>
  <c r="H105" i="3"/>
  <c r="E106" i="3"/>
  <c r="F106" i="3"/>
  <c r="G106" i="3"/>
  <c r="R106" i="3" s="1"/>
  <c r="H106" i="3"/>
  <c r="E107" i="3"/>
  <c r="F107" i="3"/>
  <c r="G107" i="3"/>
  <c r="R107" i="3" s="1"/>
  <c r="H107" i="3"/>
  <c r="E108" i="3"/>
  <c r="F108" i="3"/>
  <c r="G108" i="3"/>
  <c r="R108" i="3" s="1"/>
  <c r="H108" i="3"/>
  <c r="E109" i="3"/>
  <c r="F109" i="3"/>
  <c r="G109" i="3"/>
  <c r="R109" i="3" s="1"/>
  <c r="H109" i="3"/>
  <c r="E110" i="3"/>
  <c r="F110" i="3"/>
  <c r="G110" i="3"/>
  <c r="R110" i="3" s="1"/>
  <c r="H110" i="3"/>
  <c r="E111" i="3"/>
  <c r="F111" i="3"/>
  <c r="G111" i="3"/>
  <c r="R111" i="3" s="1"/>
  <c r="H111" i="3"/>
  <c r="E112" i="3"/>
  <c r="F112" i="3"/>
  <c r="G112" i="3"/>
  <c r="R112" i="3" s="1"/>
  <c r="H112" i="3"/>
  <c r="E113" i="3"/>
  <c r="F113" i="3"/>
  <c r="G113" i="3"/>
  <c r="R113" i="3" s="1"/>
  <c r="H113" i="3"/>
  <c r="E114" i="3"/>
  <c r="F114" i="3"/>
  <c r="G114" i="3"/>
  <c r="R114" i="3" s="1"/>
  <c r="H114" i="3"/>
  <c r="E115" i="3"/>
  <c r="F115" i="3"/>
  <c r="G115" i="3"/>
  <c r="R115" i="3" s="1"/>
  <c r="H115" i="3"/>
  <c r="E116" i="3"/>
  <c r="F116" i="3"/>
  <c r="G116" i="3"/>
  <c r="R116" i="3" s="1"/>
  <c r="H116" i="3"/>
  <c r="E117" i="3"/>
  <c r="F117" i="3"/>
  <c r="G117" i="3"/>
  <c r="R117" i="3" s="1"/>
  <c r="H117" i="3"/>
  <c r="E118" i="3"/>
  <c r="F118" i="3"/>
  <c r="G118" i="3"/>
  <c r="R118" i="3" s="1"/>
  <c r="H118" i="3"/>
  <c r="E119" i="3"/>
  <c r="F119" i="3"/>
  <c r="G119" i="3"/>
  <c r="R119" i="3" s="1"/>
  <c r="H119" i="3"/>
  <c r="E120" i="3"/>
  <c r="F120" i="3"/>
  <c r="G120" i="3"/>
  <c r="R120" i="3" s="1"/>
  <c r="H120" i="3"/>
  <c r="E121" i="3"/>
  <c r="F121" i="3"/>
  <c r="G121" i="3"/>
  <c r="R121" i="3" s="1"/>
  <c r="H121" i="3"/>
  <c r="E122" i="3"/>
  <c r="F122" i="3"/>
  <c r="G122" i="3"/>
  <c r="R122" i="3" s="1"/>
  <c r="H122" i="3"/>
  <c r="E123" i="3"/>
  <c r="F123" i="3"/>
  <c r="G123" i="3"/>
  <c r="R123" i="3" s="1"/>
  <c r="H123" i="3"/>
  <c r="E124" i="3"/>
  <c r="F124" i="3"/>
  <c r="G124" i="3"/>
  <c r="R124" i="3" s="1"/>
  <c r="H124" i="3"/>
  <c r="E125" i="3"/>
  <c r="F125" i="3"/>
  <c r="G125" i="3"/>
  <c r="R125" i="3" s="1"/>
  <c r="H125" i="3"/>
  <c r="E126" i="3"/>
  <c r="F126" i="3"/>
  <c r="G126" i="3"/>
  <c r="R126" i="3" s="1"/>
  <c r="H126" i="3"/>
  <c r="E127" i="3"/>
  <c r="F127" i="3"/>
  <c r="G127" i="3"/>
  <c r="R127" i="3" s="1"/>
  <c r="H127" i="3"/>
  <c r="E128" i="3"/>
  <c r="F128" i="3"/>
  <c r="G128" i="3"/>
  <c r="R128" i="3" s="1"/>
  <c r="H128" i="3"/>
  <c r="E129" i="3"/>
  <c r="F129" i="3"/>
  <c r="G129" i="3"/>
  <c r="R129" i="3" s="1"/>
  <c r="H129" i="3"/>
  <c r="E130" i="3"/>
  <c r="F130" i="3"/>
  <c r="G130" i="3"/>
  <c r="R130" i="3" s="1"/>
  <c r="H130" i="3"/>
  <c r="E131" i="3"/>
  <c r="F131" i="3"/>
  <c r="G131" i="3"/>
  <c r="R131" i="3" s="1"/>
  <c r="H131" i="3"/>
  <c r="E132" i="3"/>
  <c r="F132" i="3"/>
  <c r="G132" i="3"/>
  <c r="R132" i="3" s="1"/>
  <c r="H132" i="3"/>
  <c r="E133" i="3"/>
  <c r="F133" i="3"/>
  <c r="G133" i="3"/>
  <c r="R133" i="3" s="1"/>
  <c r="H133" i="3"/>
  <c r="E134" i="3"/>
  <c r="F134" i="3"/>
  <c r="G134" i="3"/>
  <c r="R134" i="3" s="1"/>
  <c r="H134" i="3"/>
  <c r="E135" i="3"/>
  <c r="F135" i="3"/>
  <c r="G135" i="3"/>
  <c r="R135" i="3" s="1"/>
  <c r="H135" i="3"/>
  <c r="E136" i="3"/>
  <c r="F136" i="3"/>
  <c r="G136" i="3"/>
  <c r="R136" i="3" s="1"/>
  <c r="H136" i="3"/>
  <c r="E137" i="3"/>
  <c r="F137" i="3"/>
  <c r="G137" i="3"/>
  <c r="R137" i="3" s="1"/>
  <c r="H137" i="3"/>
  <c r="E138" i="3"/>
  <c r="F138" i="3"/>
  <c r="G138" i="3"/>
  <c r="R138" i="3" s="1"/>
  <c r="H138" i="3"/>
  <c r="E139" i="3"/>
  <c r="F139" i="3"/>
  <c r="G139" i="3"/>
  <c r="R139" i="3" s="1"/>
  <c r="H139" i="3"/>
  <c r="E140" i="3"/>
  <c r="F140" i="3"/>
  <c r="G140" i="3"/>
  <c r="R140" i="3" s="1"/>
  <c r="H140" i="3"/>
  <c r="E141" i="3"/>
  <c r="F141" i="3"/>
  <c r="G141" i="3"/>
  <c r="R141" i="3" s="1"/>
  <c r="H141" i="3"/>
  <c r="E142" i="3"/>
  <c r="F142" i="3"/>
  <c r="G142" i="3"/>
  <c r="R142" i="3" s="1"/>
  <c r="H142" i="3"/>
  <c r="E143" i="3"/>
  <c r="F143" i="3"/>
  <c r="G143" i="3"/>
  <c r="R143" i="3" s="1"/>
  <c r="H143" i="3"/>
  <c r="E144" i="3"/>
  <c r="F144" i="3"/>
  <c r="G144" i="3"/>
  <c r="R144" i="3" s="1"/>
  <c r="H144" i="3"/>
  <c r="E145" i="3"/>
  <c r="F145" i="3"/>
  <c r="G145" i="3"/>
  <c r="R145" i="3" s="1"/>
  <c r="H145" i="3"/>
  <c r="E146" i="3"/>
  <c r="F146" i="3"/>
  <c r="G146" i="3"/>
  <c r="R146" i="3" s="1"/>
  <c r="H146" i="3"/>
  <c r="E147" i="3"/>
  <c r="F147" i="3"/>
  <c r="G147" i="3"/>
  <c r="R147" i="3" s="1"/>
  <c r="H147" i="3"/>
  <c r="E148" i="3"/>
  <c r="F148" i="3"/>
  <c r="G148" i="3"/>
  <c r="R148" i="3" s="1"/>
  <c r="H148" i="3"/>
  <c r="E149" i="3"/>
  <c r="F149" i="3"/>
  <c r="G149" i="3"/>
  <c r="R149" i="3" s="1"/>
  <c r="H149" i="3"/>
  <c r="E150" i="3"/>
  <c r="F150" i="3"/>
  <c r="G150" i="3"/>
  <c r="R150" i="3" s="1"/>
  <c r="H150" i="3"/>
  <c r="E151" i="3"/>
  <c r="F151" i="3"/>
  <c r="G151" i="3"/>
  <c r="R151" i="3" s="1"/>
  <c r="H151" i="3"/>
  <c r="E152" i="3"/>
  <c r="F152" i="3"/>
  <c r="G152" i="3"/>
  <c r="R152" i="3" s="1"/>
  <c r="H152" i="3"/>
  <c r="E153" i="3"/>
  <c r="F153" i="3"/>
  <c r="G153" i="3"/>
  <c r="R153" i="3" s="1"/>
  <c r="H153" i="3"/>
  <c r="E154" i="3"/>
  <c r="F154" i="3"/>
  <c r="G154" i="3"/>
  <c r="R154" i="3" s="1"/>
  <c r="H154" i="3"/>
  <c r="E155" i="3"/>
  <c r="F155" i="3"/>
  <c r="G155" i="3"/>
  <c r="R155" i="3" s="1"/>
  <c r="H155" i="3"/>
  <c r="E156" i="3"/>
  <c r="F156" i="3"/>
  <c r="G156" i="3"/>
  <c r="R156" i="3" s="1"/>
  <c r="H156" i="3"/>
  <c r="E157" i="3"/>
  <c r="F157" i="3"/>
  <c r="G157" i="3"/>
  <c r="R157" i="3" s="1"/>
  <c r="H157" i="3"/>
  <c r="E158" i="3"/>
  <c r="F158" i="3"/>
  <c r="G158" i="3"/>
  <c r="R158" i="3" s="1"/>
  <c r="H158" i="3"/>
  <c r="E159" i="3"/>
  <c r="F159" i="3"/>
  <c r="G159" i="3"/>
  <c r="R159" i="3" s="1"/>
  <c r="H159" i="3"/>
  <c r="E160" i="3"/>
  <c r="F160" i="3"/>
  <c r="G160" i="3"/>
  <c r="R160" i="3" s="1"/>
  <c r="H160" i="3"/>
  <c r="E161" i="3"/>
  <c r="F161" i="3"/>
  <c r="G161" i="3"/>
  <c r="R161" i="3" s="1"/>
  <c r="H161" i="3"/>
  <c r="E162" i="3"/>
  <c r="F162" i="3"/>
  <c r="G162" i="3"/>
  <c r="R162" i="3" s="1"/>
  <c r="H162" i="3"/>
  <c r="E163" i="3"/>
  <c r="F163" i="3"/>
  <c r="G163" i="3"/>
  <c r="R163" i="3" s="1"/>
  <c r="H163" i="3"/>
  <c r="E164" i="3"/>
  <c r="F164" i="3"/>
  <c r="G164" i="3"/>
  <c r="R164" i="3" s="1"/>
  <c r="H164" i="3"/>
  <c r="E165" i="3"/>
  <c r="F165" i="3"/>
  <c r="G165" i="3"/>
  <c r="R165" i="3" s="1"/>
  <c r="H165" i="3"/>
  <c r="E166" i="3"/>
  <c r="F166" i="3"/>
  <c r="G166" i="3"/>
  <c r="R166" i="3" s="1"/>
  <c r="H166" i="3"/>
  <c r="E167" i="3"/>
  <c r="F167" i="3"/>
  <c r="G167" i="3"/>
  <c r="R167" i="3" s="1"/>
  <c r="H167" i="3"/>
  <c r="E168" i="3"/>
  <c r="F168" i="3"/>
  <c r="G168" i="3"/>
  <c r="R168" i="3" s="1"/>
  <c r="H168" i="3"/>
  <c r="E169" i="3"/>
  <c r="F169" i="3"/>
  <c r="G169" i="3"/>
  <c r="R169" i="3" s="1"/>
  <c r="H169" i="3"/>
  <c r="E170" i="3"/>
  <c r="F170" i="3"/>
  <c r="G170" i="3"/>
  <c r="R170" i="3" s="1"/>
  <c r="H170" i="3"/>
  <c r="E171" i="3"/>
  <c r="F171" i="3"/>
  <c r="G171" i="3"/>
  <c r="R171" i="3" s="1"/>
  <c r="H171" i="3"/>
  <c r="E172" i="3"/>
  <c r="F172" i="3"/>
  <c r="G172" i="3"/>
  <c r="R172" i="3" s="1"/>
  <c r="H172" i="3"/>
  <c r="E173" i="3"/>
  <c r="F173" i="3"/>
  <c r="G173" i="3"/>
  <c r="R173" i="3" s="1"/>
  <c r="H173" i="3"/>
  <c r="E174" i="3"/>
  <c r="F174" i="3"/>
  <c r="G174" i="3"/>
  <c r="R174" i="3" s="1"/>
  <c r="H174" i="3"/>
  <c r="E175" i="3"/>
  <c r="F175" i="3"/>
  <c r="G175" i="3"/>
  <c r="R175" i="3" s="1"/>
  <c r="H175" i="3"/>
  <c r="E176" i="3"/>
  <c r="F176" i="3"/>
  <c r="G176" i="3"/>
  <c r="R176" i="3" s="1"/>
  <c r="H176" i="3"/>
  <c r="E177" i="3"/>
  <c r="F177" i="3"/>
  <c r="G177" i="3"/>
  <c r="R177" i="3" s="1"/>
  <c r="H177" i="3"/>
  <c r="E178" i="3"/>
  <c r="F178" i="3"/>
  <c r="G178" i="3"/>
  <c r="R178" i="3" s="1"/>
  <c r="H178" i="3"/>
  <c r="E179" i="3"/>
  <c r="F179" i="3"/>
  <c r="G179" i="3"/>
  <c r="R179" i="3" s="1"/>
  <c r="H179" i="3"/>
  <c r="E180" i="3"/>
  <c r="F180" i="3"/>
  <c r="G180" i="3"/>
  <c r="R180" i="3" s="1"/>
  <c r="H180" i="3"/>
  <c r="E181" i="3"/>
  <c r="F181" i="3"/>
  <c r="G181" i="3"/>
  <c r="R181" i="3" s="1"/>
  <c r="H181" i="3"/>
  <c r="E182" i="3"/>
  <c r="F182" i="3"/>
  <c r="G182" i="3"/>
  <c r="R182" i="3" s="1"/>
  <c r="H182" i="3"/>
  <c r="E183" i="3"/>
  <c r="F183" i="3"/>
  <c r="G183" i="3"/>
  <c r="R183" i="3" s="1"/>
  <c r="H183" i="3"/>
  <c r="E184" i="3"/>
  <c r="F184" i="3"/>
  <c r="G184" i="3"/>
  <c r="R184" i="3" s="1"/>
  <c r="H184" i="3"/>
  <c r="E185" i="3"/>
  <c r="F185" i="3"/>
  <c r="G185" i="3"/>
  <c r="R185" i="3" s="1"/>
  <c r="H185" i="3"/>
  <c r="E186" i="3"/>
  <c r="F186" i="3"/>
  <c r="G186" i="3"/>
  <c r="R186" i="3" s="1"/>
  <c r="H186" i="3"/>
  <c r="E187" i="3"/>
  <c r="F187" i="3"/>
  <c r="G187" i="3"/>
  <c r="R187" i="3" s="1"/>
  <c r="H187" i="3"/>
  <c r="E188" i="3"/>
  <c r="F188" i="3"/>
  <c r="G188" i="3"/>
  <c r="R188" i="3" s="1"/>
  <c r="H188" i="3"/>
  <c r="E189" i="3"/>
  <c r="F189" i="3"/>
  <c r="G189" i="3"/>
  <c r="R189" i="3" s="1"/>
  <c r="H189" i="3"/>
  <c r="E190" i="3"/>
  <c r="F190" i="3"/>
  <c r="G190" i="3"/>
  <c r="R190" i="3" s="1"/>
  <c r="H190" i="3"/>
  <c r="E191" i="3"/>
  <c r="F191" i="3"/>
  <c r="G191" i="3"/>
  <c r="R191" i="3" s="1"/>
  <c r="H191" i="3"/>
  <c r="E192" i="3"/>
  <c r="F192" i="3"/>
  <c r="G192" i="3"/>
  <c r="R192" i="3" s="1"/>
  <c r="H192" i="3"/>
  <c r="E193" i="3"/>
  <c r="F193" i="3"/>
  <c r="G193" i="3"/>
  <c r="R193" i="3" s="1"/>
  <c r="H193" i="3"/>
  <c r="E194" i="3"/>
  <c r="F194" i="3"/>
  <c r="G194" i="3"/>
  <c r="R194" i="3" s="1"/>
  <c r="H194" i="3"/>
  <c r="E195" i="3"/>
  <c r="F195" i="3"/>
  <c r="G195" i="3"/>
  <c r="R195" i="3" s="1"/>
  <c r="H195" i="3"/>
  <c r="E196" i="3"/>
  <c r="F196" i="3"/>
  <c r="G196" i="3"/>
  <c r="R196" i="3" s="1"/>
  <c r="H196" i="3"/>
  <c r="E197" i="3"/>
  <c r="F197" i="3"/>
  <c r="G197" i="3"/>
  <c r="R197" i="3" s="1"/>
  <c r="H197" i="3"/>
  <c r="E198" i="3"/>
  <c r="F198" i="3"/>
  <c r="G198" i="3"/>
  <c r="R198" i="3" s="1"/>
  <c r="H198" i="3"/>
  <c r="E199" i="3"/>
  <c r="F199" i="3"/>
  <c r="G199" i="3"/>
  <c r="R199" i="3" s="1"/>
  <c r="H199" i="3"/>
  <c r="E200" i="3"/>
  <c r="F200" i="3"/>
  <c r="G200" i="3"/>
  <c r="R200" i="3" s="1"/>
  <c r="H200" i="3"/>
  <c r="E201" i="3"/>
  <c r="F201" i="3"/>
  <c r="G201" i="3"/>
  <c r="R201" i="3" s="1"/>
  <c r="H201" i="3"/>
  <c r="E202" i="3"/>
  <c r="F202" i="3"/>
  <c r="G202" i="3"/>
  <c r="R202" i="3" s="1"/>
  <c r="H202" i="3"/>
  <c r="E203" i="3"/>
  <c r="F203" i="3"/>
  <c r="G203" i="3"/>
  <c r="R203" i="3" s="1"/>
  <c r="H203" i="3"/>
  <c r="E204" i="3"/>
  <c r="F204" i="3"/>
  <c r="G204" i="3"/>
  <c r="R204" i="3" s="1"/>
  <c r="H204" i="3"/>
  <c r="E205" i="3"/>
  <c r="F205" i="3"/>
  <c r="G205" i="3"/>
  <c r="R205" i="3" s="1"/>
  <c r="H205" i="3"/>
  <c r="H6" i="3"/>
  <c r="G6" i="3"/>
  <c r="S6" i="3" s="1"/>
  <c r="F6" i="3"/>
  <c r="E6" i="3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C51" i="2"/>
  <c r="D51" i="2"/>
  <c r="E51" i="2"/>
  <c r="F51" i="2"/>
  <c r="C52" i="2"/>
  <c r="D52" i="2"/>
  <c r="E52" i="2"/>
  <c r="F52" i="2"/>
  <c r="C53" i="2"/>
  <c r="D53" i="2"/>
  <c r="E53" i="2"/>
  <c r="F53" i="2"/>
  <c r="C54" i="2"/>
  <c r="D54" i="2"/>
  <c r="E54" i="2"/>
  <c r="F54" i="2"/>
  <c r="C55" i="2"/>
  <c r="D55" i="2"/>
  <c r="E55" i="2"/>
  <c r="F55" i="2"/>
  <c r="C56" i="2"/>
  <c r="D56" i="2"/>
  <c r="E56" i="2"/>
  <c r="F56" i="2"/>
  <c r="C57" i="2"/>
  <c r="D57" i="2"/>
  <c r="E57" i="2"/>
  <c r="F57" i="2"/>
  <c r="C58" i="2"/>
  <c r="D58" i="2"/>
  <c r="E58" i="2"/>
  <c r="F58" i="2"/>
  <c r="C59" i="2"/>
  <c r="D59" i="2"/>
  <c r="E59" i="2"/>
  <c r="F59" i="2"/>
  <c r="C60" i="2"/>
  <c r="D60" i="2"/>
  <c r="E60" i="2"/>
  <c r="F60" i="2"/>
  <c r="C61" i="2"/>
  <c r="D61" i="2"/>
  <c r="E61" i="2"/>
  <c r="F61" i="2"/>
  <c r="C62" i="2"/>
  <c r="D62" i="2"/>
  <c r="E62" i="2"/>
  <c r="F62" i="2"/>
  <c r="C63" i="2"/>
  <c r="D63" i="2"/>
  <c r="E63" i="2"/>
  <c r="F63" i="2"/>
  <c r="C64" i="2"/>
  <c r="D64" i="2"/>
  <c r="E64" i="2"/>
  <c r="F64" i="2"/>
  <c r="C65" i="2"/>
  <c r="D65" i="2"/>
  <c r="E65" i="2"/>
  <c r="F65" i="2"/>
  <c r="C66" i="2"/>
  <c r="D66" i="2"/>
  <c r="E66" i="2"/>
  <c r="F66" i="2"/>
  <c r="C67" i="2"/>
  <c r="D67" i="2"/>
  <c r="E67" i="2"/>
  <c r="F67" i="2"/>
  <c r="C68" i="2"/>
  <c r="D68" i="2"/>
  <c r="E68" i="2"/>
  <c r="F68" i="2"/>
  <c r="C69" i="2"/>
  <c r="D69" i="2"/>
  <c r="E69" i="2"/>
  <c r="F69" i="2"/>
  <c r="C70" i="2"/>
  <c r="D70" i="2"/>
  <c r="E70" i="2"/>
  <c r="F70" i="2"/>
  <c r="C71" i="2"/>
  <c r="D71" i="2"/>
  <c r="E71" i="2"/>
  <c r="F71" i="2"/>
  <c r="C72" i="2"/>
  <c r="D72" i="2"/>
  <c r="E72" i="2"/>
  <c r="F72" i="2"/>
  <c r="C73" i="2"/>
  <c r="D73" i="2"/>
  <c r="E73" i="2"/>
  <c r="F73" i="2"/>
  <c r="C74" i="2"/>
  <c r="D74" i="2"/>
  <c r="E74" i="2"/>
  <c r="F74" i="2"/>
  <c r="C75" i="2"/>
  <c r="D75" i="2"/>
  <c r="E75" i="2"/>
  <c r="F75" i="2"/>
  <c r="C76" i="2"/>
  <c r="D76" i="2"/>
  <c r="E76" i="2"/>
  <c r="F76" i="2"/>
  <c r="C77" i="2"/>
  <c r="D77" i="2"/>
  <c r="E77" i="2"/>
  <c r="F77" i="2"/>
  <c r="F5" i="2"/>
  <c r="E5" i="2"/>
  <c r="D5" i="2"/>
  <c r="C5" i="2"/>
  <c r="C43" i="1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S204" i="3" l="1"/>
  <c r="S198" i="3"/>
  <c r="S192" i="3"/>
  <c r="S186" i="3"/>
  <c r="S180" i="3"/>
  <c r="S174" i="3"/>
  <c r="S168" i="3"/>
  <c r="S162" i="3"/>
  <c r="S156" i="3"/>
  <c r="S150" i="3"/>
  <c r="S144" i="3"/>
  <c r="S138" i="3"/>
  <c r="S132" i="3"/>
  <c r="S126" i="3"/>
  <c r="S120" i="3"/>
  <c r="S114" i="3"/>
  <c r="S108" i="3"/>
  <c r="S102" i="3"/>
  <c r="S96" i="3"/>
  <c r="S90" i="3"/>
  <c r="S84" i="3"/>
  <c r="S78" i="3"/>
  <c r="S72" i="3"/>
  <c r="S66" i="3"/>
  <c r="S60" i="3"/>
  <c r="S54" i="3"/>
  <c r="S48" i="3"/>
  <c r="S42" i="3"/>
  <c r="S36" i="3"/>
  <c r="S30" i="3"/>
  <c r="S24" i="3"/>
  <c r="S18" i="3"/>
  <c r="S12" i="3"/>
  <c r="S203" i="3"/>
  <c r="S197" i="3"/>
  <c r="S191" i="3"/>
  <c r="S185" i="3"/>
  <c r="S179" i="3"/>
  <c r="S173" i="3"/>
  <c r="S167" i="3"/>
  <c r="S161" i="3"/>
  <c r="S155" i="3"/>
  <c r="S149" i="3"/>
  <c r="S143" i="3"/>
  <c r="S137" i="3"/>
  <c r="S131" i="3"/>
  <c r="S125" i="3"/>
  <c r="S119" i="3"/>
  <c r="S113" i="3"/>
  <c r="S107" i="3"/>
  <c r="S101" i="3"/>
  <c r="S95" i="3"/>
  <c r="S89" i="3"/>
  <c r="S83" i="3"/>
  <c r="S77" i="3"/>
  <c r="S71" i="3"/>
  <c r="S65" i="3"/>
  <c r="S59" i="3"/>
  <c r="S53" i="3"/>
  <c r="S47" i="3"/>
  <c r="S41" i="3"/>
  <c r="S35" i="3"/>
  <c r="S29" i="3"/>
  <c r="S23" i="3"/>
  <c r="S17" i="3"/>
  <c r="S11" i="3"/>
  <c r="S202" i="3"/>
  <c r="S196" i="3"/>
  <c r="S190" i="3"/>
  <c r="S184" i="3"/>
  <c r="S178" i="3"/>
  <c r="S172" i="3"/>
  <c r="S166" i="3"/>
  <c r="S160" i="3"/>
  <c r="S154" i="3"/>
  <c r="S148" i="3"/>
  <c r="S142" i="3"/>
  <c r="S136" i="3"/>
  <c r="S130" i="3"/>
  <c r="S124" i="3"/>
  <c r="S118" i="3"/>
  <c r="S112" i="3"/>
  <c r="S106" i="3"/>
  <c r="S100" i="3"/>
  <c r="S94" i="3"/>
  <c r="S88" i="3"/>
  <c r="S82" i="3"/>
  <c r="S76" i="3"/>
  <c r="S70" i="3"/>
  <c r="S64" i="3"/>
  <c r="S58" i="3"/>
  <c r="S52" i="3"/>
  <c r="S46" i="3"/>
  <c r="S40" i="3"/>
  <c r="S34" i="3"/>
  <c r="S28" i="3"/>
  <c r="S22" i="3"/>
  <c r="S16" i="3"/>
  <c r="S10" i="3"/>
  <c r="S201" i="3"/>
  <c r="S195" i="3"/>
  <c r="S189" i="3"/>
  <c r="S183" i="3"/>
  <c r="S177" i="3"/>
  <c r="S171" i="3"/>
  <c r="S165" i="3"/>
  <c r="S159" i="3"/>
  <c r="S153" i="3"/>
  <c r="S147" i="3"/>
  <c r="S141" i="3"/>
  <c r="S135" i="3"/>
  <c r="S129" i="3"/>
  <c r="S123" i="3"/>
  <c r="S117" i="3"/>
  <c r="S111" i="3"/>
  <c r="S105" i="3"/>
  <c r="S99" i="3"/>
  <c r="S93" i="3"/>
  <c r="S87" i="3"/>
  <c r="S81" i="3"/>
  <c r="S75" i="3"/>
  <c r="S69" i="3"/>
  <c r="S63" i="3"/>
  <c r="S57" i="3"/>
  <c r="S51" i="3"/>
  <c r="S45" i="3"/>
  <c r="S39" i="3"/>
  <c r="S33" i="3"/>
  <c r="S27" i="3"/>
  <c r="S21" i="3"/>
  <c r="S15" i="3"/>
  <c r="S9" i="3"/>
  <c r="R6" i="3"/>
  <c r="S200" i="3"/>
  <c r="S194" i="3"/>
  <c r="S188" i="3"/>
  <c r="S182" i="3"/>
  <c r="S176" i="3"/>
  <c r="S170" i="3"/>
  <c r="S164" i="3"/>
  <c r="S158" i="3"/>
  <c r="S152" i="3"/>
  <c r="S146" i="3"/>
  <c r="S140" i="3"/>
  <c r="S134" i="3"/>
  <c r="S128" i="3"/>
  <c r="S122" i="3"/>
  <c r="S116" i="3"/>
  <c r="S110" i="3"/>
  <c r="S104" i="3"/>
  <c r="S98" i="3"/>
  <c r="S92" i="3"/>
  <c r="S86" i="3"/>
  <c r="S80" i="3"/>
  <c r="S74" i="3"/>
  <c r="S68" i="3"/>
  <c r="S62" i="3"/>
  <c r="S56" i="3"/>
  <c r="S50" i="3"/>
  <c r="S44" i="3"/>
  <c r="S38" i="3"/>
  <c r="S32" i="3"/>
  <c r="S26" i="3"/>
  <c r="S20" i="3"/>
  <c r="S14" i="3"/>
  <c r="S8" i="3"/>
  <c r="S205" i="3"/>
  <c r="S199" i="3"/>
  <c r="S193" i="3"/>
  <c r="S187" i="3"/>
  <c r="S181" i="3"/>
  <c r="S175" i="3"/>
  <c r="S169" i="3"/>
  <c r="S163" i="3"/>
  <c r="S157" i="3"/>
  <c r="S151" i="3"/>
  <c r="S145" i="3"/>
  <c r="S139" i="3"/>
  <c r="S133" i="3"/>
  <c r="S127" i="3"/>
  <c r="S121" i="3"/>
  <c r="S115" i="3"/>
  <c r="S109" i="3"/>
  <c r="S103" i="3"/>
  <c r="S97" i="3"/>
  <c r="S91" i="3"/>
  <c r="S85" i="3"/>
  <c r="S79" i="3"/>
  <c r="S73" i="3"/>
  <c r="S67" i="3"/>
  <c r="S61" i="3"/>
  <c r="S55" i="3"/>
  <c r="S49" i="3"/>
  <c r="S43" i="3"/>
  <c r="S37" i="3"/>
  <c r="S31" i="3"/>
  <c r="S25" i="3"/>
  <c r="S19" i="3"/>
  <c r="S13" i="3"/>
  <c r="S7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7" i="3"/>
  <c r="B8" i="3" s="1"/>
  <c r="B9" i="3" s="1"/>
  <c r="B10" i="3" s="1"/>
  <c r="B11" i="3" s="1"/>
  <c r="B12" i="3" s="1"/>
  <c r="B13" i="3" s="1"/>
  <c r="B14" i="3" s="1"/>
  <c r="B15" i="3" s="1"/>
  <c r="C81" i="4"/>
  <c r="D80" i="4" s="1"/>
  <c r="D72" i="4"/>
  <c r="D71" i="4"/>
  <c r="D70" i="4"/>
  <c r="D69" i="4"/>
  <c r="D68" i="4"/>
  <c r="D67" i="4"/>
  <c r="D66" i="4"/>
  <c r="D65" i="4"/>
  <c r="D61" i="4"/>
  <c r="D60" i="4"/>
  <c r="D59" i="4"/>
  <c r="D58" i="4"/>
  <c r="D57" i="4"/>
  <c r="D56" i="4"/>
  <c r="D55" i="4"/>
  <c r="D54" i="4"/>
  <c r="J35" i="4"/>
  <c r="G35" i="4"/>
  <c r="J34" i="4"/>
  <c r="G34" i="4"/>
  <c r="J33" i="4"/>
  <c r="G33" i="4"/>
  <c r="J32" i="4"/>
  <c r="G32" i="4"/>
  <c r="J31" i="4"/>
  <c r="G31" i="4"/>
  <c r="J30" i="4"/>
  <c r="G30" i="4"/>
  <c r="E25" i="4"/>
  <c r="E24" i="4"/>
  <c r="E23" i="4"/>
  <c r="E22" i="4"/>
  <c r="E18" i="4"/>
  <c r="E17" i="4"/>
  <c r="E16" i="4"/>
  <c r="E15" i="4"/>
  <c r="E10" i="4"/>
  <c r="E9" i="4"/>
  <c r="E8" i="4"/>
  <c r="E7" i="4"/>
  <c r="AF205" i="3"/>
  <c r="AB205" i="3"/>
  <c r="AA205" i="3"/>
  <c r="Z205" i="3"/>
  <c r="Y205" i="3"/>
  <c r="V205" i="3"/>
  <c r="W205" i="3" s="1"/>
  <c r="U205" i="3"/>
  <c r="T205" i="3"/>
  <c r="Q205" i="3"/>
  <c r="P205" i="3"/>
  <c r="AF204" i="3"/>
  <c r="AB204" i="3"/>
  <c r="AA204" i="3"/>
  <c r="Z204" i="3"/>
  <c r="Y204" i="3"/>
  <c r="V204" i="3"/>
  <c r="W204" i="3" s="1"/>
  <c r="U204" i="3"/>
  <c r="T204" i="3"/>
  <c r="Q204" i="3"/>
  <c r="P204" i="3"/>
  <c r="AF203" i="3"/>
  <c r="AB203" i="3"/>
  <c r="AA203" i="3"/>
  <c r="Z203" i="3"/>
  <c r="Y203" i="3"/>
  <c r="V203" i="3"/>
  <c r="W203" i="3" s="1"/>
  <c r="U203" i="3"/>
  <c r="T203" i="3"/>
  <c r="Q203" i="3"/>
  <c r="P203" i="3"/>
  <c r="AF202" i="3"/>
  <c r="AB202" i="3"/>
  <c r="AA202" i="3"/>
  <c r="Z202" i="3"/>
  <c r="Y202" i="3"/>
  <c r="V202" i="3"/>
  <c r="W202" i="3" s="1"/>
  <c r="U202" i="3"/>
  <c r="T202" i="3"/>
  <c r="Q202" i="3"/>
  <c r="P202" i="3"/>
  <c r="AF201" i="3"/>
  <c r="AB201" i="3"/>
  <c r="AA201" i="3"/>
  <c r="Z201" i="3"/>
  <c r="Y201" i="3"/>
  <c r="V201" i="3"/>
  <c r="W201" i="3" s="1"/>
  <c r="U201" i="3"/>
  <c r="T201" i="3"/>
  <c r="Q201" i="3"/>
  <c r="P201" i="3"/>
  <c r="AF200" i="3"/>
  <c r="AB200" i="3"/>
  <c r="AA200" i="3"/>
  <c r="Z200" i="3"/>
  <c r="Y200" i="3"/>
  <c r="V200" i="3"/>
  <c r="W200" i="3" s="1"/>
  <c r="U200" i="3"/>
  <c r="T200" i="3"/>
  <c r="Q200" i="3"/>
  <c r="P200" i="3"/>
  <c r="AF199" i="3"/>
  <c r="AB199" i="3"/>
  <c r="AA199" i="3"/>
  <c r="Z199" i="3"/>
  <c r="Y199" i="3"/>
  <c r="V199" i="3"/>
  <c r="W199" i="3" s="1"/>
  <c r="U199" i="3"/>
  <c r="T199" i="3"/>
  <c r="Q199" i="3"/>
  <c r="P199" i="3"/>
  <c r="AF198" i="3"/>
  <c r="AB198" i="3"/>
  <c r="AA198" i="3"/>
  <c r="Z198" i="3"/>
  <c r="Y198" i="3"/>
  <c r="V198" i="3"/>
  <c r="W198" i="3" s="1"/>
  <c r="U198" i="3"/>
  <c r="T198" i="3"/>
  <c r="Q198" i="3"/>
  <c r="P198" i="3"/>
  <c r="AF197" i="3"/>
  <c r="AB197" i="3"/>
  <c r="AA197" i="3"/>
  <c r="Z197" i="3"/>
  <c r="Y197" i="3"/>
  <c r="V197" i="3"/>
  <c r="W197" i="3" s="1"/>
  <c r="U197" i="3"/>
  <c r="T197" i="3"/>
  <c r="Q197" i="3"/>
  <c r="P197" i="3"/>
  <c r="AF196" i="3"/>
  <c r="AB196" i="3"/>
  <c r="AA196" i="3"/>
  <c r="Z196" i="3"/>
  <c r="Y196" i="3"/>
  <c r="V196" i="3"/>
  <c r="W196" i="3" s="1"/>
  <c r="U196" i="3"/>
  <c r="T196" i="3"/>
  <c r="Q196" i="3"/>
  <c r="P196" i="3"/>
  <c r="AF195" i="3"/>
  <c r="AB195" i="3"/>
  <c r="AA195" i="3"/>
  <c r="Z195" i="3"/>
  <c r="Y195" i="3"/>
  <c r="V195" i="3"/>
  <c r="W195" i="3" s="1"/>
  <c r="U195" i="3"/>
  <c r="T195" i="3"/>
  <c r="Q195" i="3"/>
  <c r="P195" i="3"/>
  <c r="AF194" i="3"/>
  <c r="AB194" i="3"/>
  <c r="AA194" i="3"/>
  <c r="Z194" i="3"/>
  <c r="Y194" i="3"/>
  <c r="V194" i="3"/>
  <c r="W194" i="3" s="1"/>
  <c r="U194" i="3"/>
  <c r="T194" i="3"/>
  <c r="Q194" i="3"/>
  <c r="P194" i="3"/>
  <c r="AF193" i="3"/>
  <c r="AB193" i="3"/>
  <c r="AA193" i="3"/>
  <c r="Z193" i="3"/>
  <c r="Y193" i="3"/>
  <c r="V193" i="3"/>
  <c r="W193" i="3" s="1"/>
  <c r="U193" i="3"/>
  <c r="T193" i="3"/>
  <c r="Q193" i="3"/>
  <c r="P193" i="3"/>
  <c r="AF192" i="3"/>
  <c r="AB192" i="3"/>
  <c r="AA192" i="3"/>
  <c r="Z192" i="3"/>
  <c r="Y192" i="3"/>
  <c r="V192" i="3"/>
  <c r="W192" i="3" s="1"/>
  <c r="U192" i="3"/>
  <c r="T192" i="3"/>
  <c r="Q192" i="3"/>
  <c r="P192" i="3"/>
  <c r="AF191" i="3"/>
  <c r="AB191" i="3"/>
  <c r="AA191" i="3"/>
  <c r="Z191" i="3"/>
  <c r="Y191" i="3"/>
  <c r="V191" i="3"/>
  <c r="W191" i="3" s="1"/>
  <c r="U191" i="3"/>
  <c r="T191" i="3"/>
  <c r="Q191" i="3"/>
  <c r="P191" i="3"/>
  <c r="AF190" i="3"/>
  <c r="AB190" i="3"/>
  <c r="AA190" i="3"/>
  <c r="Z190" i="3"/>
  <c r="Y190" i="3"/>
  <c r="V190" i="3"/>
  <c r="W190" i="3" s="1"/>
  <c r="U190" i="3"/>
  <c r="T190" i="3"/>
  <c r="Q190" i="3"/>
  <c r="P190" i="3"/>
  <c r="AF189" i="3"/>
  <c r="AB189" i="3"/>
  <c r="AA189" i="3"/>
  <c r="Z189" i="3"/>
  <c r="Y189" i="3"/>
  <c r="V189" i="3"/>
  <c r="W189" i="3" s="1"/>
  <c r="U189" i="3"/>
  <c r="T189" i="3"/>
  <c r="Q189" i="3"/>
  <c r="P189" i="3"/>
  <c r="AF188" i="3"/>
  <c r="AB188" i="3"/>
  <c r="AA188" i="3"/>
  <c r="Z188" i="3"/>
  <c r="Y188" i="3"/>
  <c r="V188" i="3"/>
  <c r="W188" i="3" s="1"/>
  <c r="U188" i="3"/>
  <c r="T188" i="3"/>
  <c r="Q188" i="3"/>
  <c r="P188" i="3"/>
  <c r="AF187" i="3"/>
  <c r="AB187" i="3"/>
  <c r="AA187" i="3"/>
  <c r="Z187" i="3"/>
  <c r="Y187" i="3"/>
  <c r="V187" i="3"/>
  <c r="W187" i="3" s="1"/>
  <c r="U187" i="3"/>
  <c r="T187" i="3"/>
  <c r="Q187" i="3"/>
  <c r="P187" i="3"/>
  <c r="AF186" i="3"/>
  <c r="AB186" i="3"/>
  <c r="AA186" i="3"/>
  <c r="Z186" i="3"/>
  <c r="Y186" i="3"/>
  <c r="V186" i="3"/>
  <c r="W186" i="3" s="1"/>
  <c r="U186" i="3"/>
  <c r="T186" i="3"/>
  <c r="Q186" i="3"/>
  <c r="P186" i="3"/>
  <c r="AF185" i="3"/>
  <c r="AB185" i="3"/>
  <c r="AA185" i="3"/>
  <c r="Z185" i="3"/>
  <c r="Y185" i="3"/>
  <c r="V185" i="3"/>
  <c r="W185" i="3" s="1"/>
  <c r="U185" i="3"/>
  <c r="T185" i="3"/>
  <c r="Q185" i="3"/>
  <c r="P185" i="3"/>
  <c r="AF184" i="3"/>
  <c r="AB184" i="3"/>
  <c r="AA184" i="3"/>
  <c r="Z184" i="3"/>
  <c r="Y184" i="3"/>
  <c r="V184" i="3"/>
  <c r="W184" i="3" s="1"/>
  <c r="U184" i="3"/>
  <c r="T184" i="3"/>
  <c r="Q184" i="3"/>
  <c r="P184" i="3"/>
  <c r="AF183" i="3"/>
  <c r="AB183" i="3"/>
  <c r="AA183" i="3"/>
  <c r="Z183" i="3"/>
  <c r="Y183" i="3"/>
  <c r="V183" i="3"/>
  <c r="W183" i="3" s="1"/>
  <c r="U183" i="3"/>
  <c r="T183" i="3"/>
  <c r="Q183" i="3"/>
  <c r="P183" i="3"/>
  <c r="AF182" i="3"/>
  <c r="AB182" i="3"/>
  <c r="AA182" i="3"/>
  <c r="Z182" i="3"/>
  <c r="Y182" i="3"/>
  <c r="V182" i="3"/>
  <c r="W182" i="3" s="1"/>
  <c r="U182" i="3"/>
  <c r="T182" i="3"/>
  <c r="Q182" i="3"/>
  <c r="P182" i="3"/>
  <c r="AF181" i="3"/>
  <c r="AB181" i="3"/>
  <c r="AA181" i="3"/>
  <c r="Z181" i="3"/>
  <c r="Y181" i="3"/>
  <c r="V181" i="3"/>
  <c r="W181" i="3" s="1"/>
  <c r="U181" i="3"/>
  <c r="T181" i="3"/>
  <c r="Q181" i="3"/>
  <c r="P181" i="3"/>
  <c r="AF180" i="3"/>
  <c r="AB180" i="3"/>
  <c r="AA180" i="3"/>
  <c r="Z180" i="3"/>
  <c r="Y180" i="3"/>
  <c r="V180" i="3"/>
  <c r="W180" i="3" s="1"/>
  <c r="U180" i="3"/>
  <c r="T180" i="3"/>
  <c r="Q180" i="3"/>
  <c r="P180" i="3"/>
  <c r="AF179" i="3"/>
  <c r="AB179" i="3"/>
  <c r="AA179" i="3"/>
  <c r="Z179" i="3"/>
  <c r="Y179" i="3"/>
  <c r="V179" i="3"/>
  <c r="W179" i="3" s="1"/>
  <c r="U179" i="3"/>
  <c r="T179" i="3"/>
  <c r="Q179" i="3"/>
  <c r="P179" i="3"/>
  <c r="AF178" i="3"/>
  <c r="AB178" i="3"/>
  <c r="AA178" i="3"/>
  <c r="Z178" i="3"/>
  <c r="Y178" i="3"/>
  <c r="V178" i="3"/>
  <c r="W178" i="3" s="1"/>
  <c r="U178" i="3"/>
  <c r="T178" i="3"/>
  <c r="Q178" i="3"/>
  <c r="P178" i="3"/>
  <c r="AF177" i="3"/>
  <c r="AB177" i="3"/>
  <c r="AA177" i="3"/>
  <c r="Z177" i="3"/>
  <c r="Y177" i="3"/>
  <c r="V177" i="3"/>
  <c r="W177" i="3" s="1"/>
  <c r="U177" i="3"/>
  <c r="T177" i="3"/>
  <c r="Q177" i="3"/>
  <c r="P177" i="3"/>
  <c r="AF176" i="3"/>
  <c r="AB176" i="3"/>
  <c r="AA176" i="3"/>
  <c r="Z176" i="3"/>
  <c r="Y176" i="3"/>
  <c r="V176" i="3"/>
  <c r="W176" i="3" s="1"/>
  <c r="U176" i="3"/>
  <c r="T176" i="3"/>
  <c r="Q176" i="3"/>
  <c r="P176" i="3"/>
  <c r="AF175" i="3"/>
  <c r="AB175" i="3"/>
  <c r="AA175" i="3"/>
  <c r="Z175" i="3"/>
  <c r="Y175" i="3"/>
  <c r="V175" i="3"/>
  <c r="W175" i="3" s="1"/>
  <c r="U175" i="3"/>
  <c r="T175" i="3"/>
  <c r="Q175" i="3"/>
  <c r="P175" i="3"/>
  <c r="AF174" i="3"/>
  <c r="AB174" i="3"/>
  <c r="AA174" i="3"/>
  <c r="Z174" i="3"/>
  <c r="Y174" i="3"/>
  <c r="V174" i="3"/>
  <c r="W174" i="3" s="1"/>
  <c r="U174" i="3"/>
  <c r="T174" i="3"/>
  <c r="Q174" i="3"/>
  <c r="P174" i="3"/>
  <c r="AF173" i="3"/>
  <c r="AB173" i="3"/>
  <c r="AA173" i="3"/>
  <c r="Z173" i="3"/>
  <c r="Y173" i="3"/>
  <c r="V173" i="3"/>
  <c r="W173" i="3" s="1"/>
  <c r="U173" i="3"/>
  <c r="T173" i="3"/>
  <c r="Q173" i="3"/>
  <c r="P173" i="3"/>
  <c r="AF172" i="3"/>
  <c r="AB172" i="3"/>
  <c r="AA172" i="3"/>
  <c r="Z172" i="3"/>
  <c r="Y172" i="3"/>
  <c r="V172" i="3"/>
  <c r="W172" i="3" s="1"/>
  <c r="U172" i="3"/>
  <c r="T172" i="3"/>
  <c r="Q172" i="3"/>
  <c r="P172" i="3"/>
  <c r="AF171" i="3"/>
  <c r="AB171" i="3"/>
  <c r="AA171" i="3"/>
  <c r="Z171" i="3"/>
  <c r="Y171" i="3"/>
  <c r="V171" i="3"/>
  <c r="W171" i="3" s="1"/>
  <c r="U171" i="3"/>
  <c r="T171" i="3"/>
  <c r="Q171" i="3"/>
  <c r="P171" i="3"/>
  <c r="AF170" i="3"/>
  <c r="AB170" i="3"/>
  <c r="AA170" i="3"/>
  <c r="Z170" i="3"/>
  <c r="Y170" i="3"/>
  <c r="V170" i="3"/>
  <c r="W170" i="3" s="1"/>
  <c r="U170" i="3"/>
  <c r="T170" i="3"/>
  <c r="Q170" i="3"/>
  <c r="P170" i="3"/>
  <c r="AF169" i="3"/>
  <c r="AB169" i="3"/>
  <c r="AA169" i="3"/>
  <c r="Z169" i="3"/>
  <c r="Y169" i="3"/>
  <c r="V169" i="3"/>
  <c r="W169" i="3" s="1"/>
  <c r="U169" i="3"/>
  <c r="T169" i="3"/>
  <c r="Q169" i="3"/>
  <c r="P169" i="3"/>
  <c r="AF168" i="3"/>
  <c r="AB168" i="3"/>
  <c r="AA168" i="3"/>
  <c r="Z168" i="3"/>
  <c r="Y168" i="3"/>
  <c r="V168" i="3"/>
  <c r="W168" i="3" s="1"/>
  <c r="U168" i="3"/>
  <c r="T168" i="3"/>
  <c r="Q168" i="3"/>
  <c r="P168" i="3"/>
  <c r="AF167" i="3"/>
  <c r="AB167" i="3"/>
  <c r="AA167" i="3"/>
  <c r="Z167" i="3"/>
  <c r="Y167" i="3"/>
  <c r="V167" i="3"/>
  <c r="W167" i="3" s="1"/>
  <c r="U167" i="3"/>
  <c r="T167" i="3"/>
  <c r="Q167" i="3"/>
  <c r="P167" i="3"/>
  <c r="AF166" i="3"/>
  <c r="AB166" i="3"/>
  <c r="AA166" i="3"/>
  <c r="Z166" i="3"/>
  <c r="Y166" i="3"/>
  <c r="V166" i="3"/>
  <c r="W166" i="3" s="1"/>
  <c r="U166" i="3"/>
  <c r="T166" i="3"/>
  <c r="Q166" i="3"/>
  <c r="P166" i="3"/>
  <c r="AF165" i="3"/>
  <c r="AB165" i="3"/>
  <c r="AA165" i="3"/>
  <c r="Z165" i="3"/>
  <c r="Y165" i="3"/>
  <c r="V165" i="3"/>
  <c r="W165" i="3" s="1"/>
  <c r="U165" i="3"/>
  <c r="T165" i="3"/>
  <c r="Q165" i="3"/>
  <c r="P165" i="3"/>
  <c r="AF164" i="3"/>
  <c r="AB164" i="3"/>
  <c r="AA164" i="3"/>
  <c r="Z164" i="3"/>
  <c r="Y164" i="3"/>
  <c r="V164" i="3"/>
  <c r="W164" i="3" s="1"/>
  <c r="U164" i="3"/>
  <c r="T164" i="3"/>
  <c r="Q164" i="3"/>
  <c r="P164" i="3"/>
  <c r="AF163" i="3"/>
  <c r="AB163" i="3"/>
  <c r="AA163" i="3"/>
  <c r="Z163" i="3"/>
  <c r="Y163" i="3"/>
  <c r="V163" i="3"/>
  <c r="W163" i="3" s="1"/>
  <c r="U163" i="3"/>
  <c r="T163" i="3"/>
  <c r="Q163" i="3"/>
  <c r="P163" i="3"/>
  <c r="AF162" i="3"/>
  <c r="AB162" i="3"/>
  <c r="AA162" i="3"/>
  <c r="Z162" i="3"/>
  <c r="Y162" i="3"/>
  <c r="V162" i="3"/>
  <c r="W162" i="3" s="1"/>
  <c r="U162" i="3"/>
  <c r="T162" i="3"/>
  <c r="Q162" i="3"/>
  <c r="P162" i="3"/>
  <c r="AF161" i="3"/>
  <c r="AB161" i="3"/>
  <c r="AA161" i="3"/>
  <c r="Z161" i="3"/>
  <c r="Y161" i="3"/>
  <c r="V161" i="3"/>
  <c r="W161" i="3" s="1"/>
  <c r="U161" i="3"/>
  <c r="T161" i="3"/>
  <c r="Q161" i="3"/>
  <c r="P161" i="3"/>
  <c r="AF160" i="3"/>
  <c r="AB160" i="3"/>
  <c r="AA160" i="3"/>
  <c r="Z160" i="3"/>
  <c r="Y160" i="3"/>
  <c r="V160" i="3"/>
  <c r="W160" i="3" s="1"/>
  <c r="U160" i="3"/>
  <c r="T160" i="3"/>
  <c r="Q160" i="3"/>
  <c r="P160" i="3"/>
  <c r="AF159" i="3"/>
  <c r="AB159" i="3"/>
  <c r="AA159" i="3"/>
  <c r="Z159" i="3"/>
  <c r="Y159" i="3"/>
  <c r="V159" i="3"/>
  <c r="W159" i="3" s="1"/>
  <c r="U159" i="3"/>
  <c r="T159" i="3"/>
  <c r="Q159" i="3"/>
  <c r="P159" i="3"/>
  <c r="AF158" i="3"/>
  <c r="AB158" i="3"/>
  <c r="AA158" i="3"/>
  <c r="Z158" i="3"/>
  <c r="Y158" i="3"/>
  <c r="V158" i="3"/>
  <c r="W158" i="3" s="1"/>
  <c r="U158" i="3"/>
  <c r="T158" i="3"/>
  <c r="Q158" i="3"/>
  <c r="P158" i="3"/>
  <c r="AF157" i="3"/>
  <c r="AB157" i="3"/>
  <c r="AA157" i="3"/>
  <c r="Z157" i="3"/>
  <c r="Y157" i="3"/>
  <c r="V157" i="3"/>
  <c r="W157" i="3" s="1"/>
  <c r="U157" i="3"/>
  <c r="T157" i="3"/>
  <c r="Q157" i="3"/>
  <c r="P157" i="3"/>
  <c r="AF156" i="3"/>
  <c r="AB156" i="3"/>
  <c r="AA156" i="3"/>
  <c r="Z156" i="3"/>
  <c r="Y156" i="3"/>
  <c r="V156" i="3"/>
  <c r="W156" i="3" s="1"/>
  <c r="U156" i="3"/>
  <c r="T156" i="3"/>
  <c r="Q156" i="3"/>
  <c r="P156" i="3"/>
  <c r="AF155" i="3"/>
  <c r="AB155" i="3"/>
  <c r="AA155" i="3"/>
  <c r="Z155" i="3"/>
  <c r="Y155" i="3"/>
  <c r="V155" i="3"/>
  <c r="W155" i="3" s="1"/>
  <c r="U155" i="3"/>
  <c r="T155" i="3"/>
  <c r="Q155" i="3"/>
  <c r="P155" i="3"/>
  <c r="AF154" i="3"/>
  <c r="AB154" i="3"/>
  <c r="AA154" i="3"/>
  <c r="Z154" i="3"/>
  <c r="Y154" i="3"/>
  <c r="V154" i="3"/>
  <c r="W154" i="3" s="1"/>
  <c r="U154" i="3"/>
  <c r="T154" i="3"/>
  <c r="Q154" i="3"/>
  <c r="P154" i="3"/>
  <c r="AF153" i="3"/>
  <c r="AB153" i="3"/>
  <c r="AA153" i="3"/>
  <c r="Z153" i="3"/>
  <c r="Y153" i="3"/>
  <c r="V153" i="3"/>
  <c r="W153" i="3" s="1"/>
  <c r="U153" i="3"/>
  <c r="T153" i="3"/>
  <c r="Q153" i="3"/>
  <c r="P153" i="3"/>
  <c r="AF152" i="3"/>
  <c r="AB152" i="3"/>
  <c r="AA152" i="3"/>
  <c r="Z152" i="3"/>
  <c r="Y152" i="3"/>
  <c r="V152" i="3"/>
  <c r="W152" i="3" s="1"/>
  <c r="U152" i="3"/>
  <c r="T152" i="3"/>
  <c r="Q152" i="3"/>
  <c r="P152" i="3"/>
  <c r="AF151" i="3"/>
  <c r="AB151" i="3"/>
  <c r="AA151" i="3"/>
  <c r="Z151" i="3"/>
  <c r="Y151" i="3"/>
  <c r="V151" i="3"/>
  <c r="W151" i="3" s="1"/>
  <c r="U151" i="3"/>
  <c r="T151" i="3"/>
  <c r="Q151" i="3"/>
  <c r="P151" i="3"/>
  <c r="AF150" i="3"/>
  <c r="AB150" i="3"/>
  <c r="AA150" i="3"/>
  <c r="Z150" i="3"/>
  <c r="Y150" i="3"/>
  <c r="V150" i="3"/>
  <c r="W150" i="3" s="1"/>
  <c r="U150" i="3"/>
  <c r="T150" i="3"/>
  <c r="Q150" i="3"/>
  <c r="P150" i="3"/>
  <c r="AF149" i="3"/>
  <c r="AB149" i="3"/>
  <c r="AA149" i="3"/>
  <c r="Z149" i="3"/>
  <c r="Y149" i="3"/>
  <c r="V149" i="3"/>
  <c r="W149" i="3" s="1"/>
  <c r="U149" i="3"/>
  <c r="T149" i="3"/>
  <c r="Q149" i="3"/>
  <c r="P149" i="3"/>
  <c r="AF148" i="3"/>
  <c r="AB148" i="3"/>
  <c r="AA148" i="3"/>
  <c r="Z148" i="3"/>
  <c r="Y148" i="3"/>
  <c r="V148" i="3"/>
  <c r="W148" i="3" s="1"/>
  <c r="U148" i="3"/>
  <c r="T148" i="3"/>
  <c r="Q148" i="3"/>
  <c r="P148" i="3"/>
  <c r="AF147" i="3"/>
  <c r="AB147" i="3"/>
  <c r="AA147" i="3"/>
  <c r="Z147" i="3"/>
  <c r="Y147" i="3"/>
  <c r="V147" i="3"/>
  <c r="W147" i="3" s="1"/>
  <c r="U147" i="3"/>
  <c r="T147" i="3"/>
  <c r="Q147" i="3"/>
  <c r="P147" i="3"/>
  <c r="AF146" i="3"/>
  <c r="AB146" i="3"/>
  <c r="AA146" i="3"/>
  <c r="Z146" i="3"/>
  <c r="Y146" i="3"/>
  <c r="V146" i="3"/>
  <c r="W146" i="3" s="1"/>
  <c r="U146" i="3"/>
  <c r="T146" i="3"/>
  <c r="Q146" i="3"/>
  <c r="P146" i="3"/>
  <c r="AF145" i="3"/>
  <c r="AB145" i="3"/>
  <c r="AA145" i="3"/>
  <c r="Z145" i="3"/>
  <c r="Y145" i="3"/>
  <c r="V145" i="3"/>
  <c r="W145" i="3" s="1"/>
  <c r="U145" i="3"/>
  <c r="T145" i="3"/>
  <c r="Q145" i="3"/>
  <c r="P145" i="3"/>
  <c r="AF144" i="3"/>
  <c r="AB144" i="3"/>
  <c r="AA144" i="3"/>
  <c r="Z144" i="3"/>
  <c r="Y144" i="3"/>
  <c r="V144" i="3"/>
  <c r="W144" i="3" s="1"/>
  <c r="U144" i="3"/>
  <c r="T144" i="3"/>
  <c r="Q144" i="3"/>
  <c r="P144" i="3"/>
  <c r="AF143" i="3"/>
  <c r="AB143" i="3"/>
  <c r="AA143" i="3"/>
  <c r="Z143" i="3"/>
  <c r="Y143" i="3"/>
  <c r="V143" i="3"/>
  <c r="W143" i="3" s="1"/>
  <c r="U143" i="3"/>
  <c r="T143" i="3"/>
  <c r="Q143" i="3"/>
  <c r="P143" i="3"/>
  <c r="AF142" i="3"/>
  <c r="AB142" i="3"/>
  <c r="AA142" i="3"/>
  <c r="Z142" i="3"/>
  <c r="Y142" i="3"/>
  <c r="V142" i="3"/>
  <c r="W142" i="3" s="1"/>
  <c r="U142" i="3"/>
  <c r="T142" i="3"/>
  <c r="Q142" i="3"/>
  <c r="P142" i="3"/>
  <c r="AF141" i="3"/>
  <c r="AB141" i="3"/>
  <c r="AA141" i="3"/>
  <c r="Z141" i="3"/>
  <c r="Y141" i="3"/>
  <c r="V141" i="3"/>
  <c r="W141" i="3" s="1"/>
  <c r="U141" i="3"/>
  <c r="T141" i="3"/>
  <c r="Q141" i="3"/>
  <c r="P141" i="3"/>
  <c r="AF140" i="3"/>
  <c r="AB140" i="3"/>
  <c r="AA140" i="3"/>
  <c r="Z140" i="3"/>
  <c r="Y140" i="3"/>
  <c r="V140" i="3"/>
  <c r="W140" i="3" s="1"/>
  <c r="U140" i="3"/>
  <c r="T140" i="3"/>
  <c r="Q140" i="3"/>
  <c r="P140" i="3"/>
  <c r="AF139" i="3"/>
  <c r="AB139" i="3"/>
  <c r="AA139" i="3"/>
  <c r="Z139" i="3"/>
  <c r="Y139" i="3"/>
  <c r="V139" i="3"/>
  <c r="W139" i="3" s="1"/>
  <c r="U139" i="3"/>
  <c r="T139" i="3"/>
  <c r="Q139" i="3"/>
  <c r="P139" i="3"/>
  <c r="AF138" i="3"/>
  <c r="AB138" i="3"/>
  <c r="AA138" i="3"/>
  <c r="Z138" i="3"/>
  <c r="Y138" i="3"/>
  <c r="V138" i="3"/>
  <c r="W138" i="3" s="1"/>
  <c r="U138" i="3"/>
  <c r="T138" i="3"/>
  <c r="Q138" i="3"/>
  <c r="P138" i="3"/>
  <c r="AF137" i="3"/>
  <c r="AB137" i="3"/>
  <c r="AA137" i="3"/>
  <c r="Z137" i="3"/>
  <c r="Y137" i="3"/>
  <c r="V137" i="3"/>
  <c r="W137" i="3" s="1"/>
  <c r="U137" i="3"/>
  <c r="T137" i="3"/>
  <c r="Q137" i="3"/>
  <c r="P137" i="3"/>
  <c r="AF136" i="3"/>
  <c r="AB136" i="3"/>
  <c r="AA136" i="3"/>
  <c r="Z136" i="3"/>
  <c r="Y136" i="3"/>
  <c r="V136" i="3"/>
  <c r="W136" i="3" s="1"/>
  <c r="U136" i="3"/>
  <c r="T136" i="3"/>
  <c r="Q136" i="3"/>
  <c r="P136" i="3"/>
  <c r="AF135" i="3"/>
  <c r="AB135" i="3"/>
  <c r="AA135" i="3"/>
  <c r="Z135" i="3"/>
  <c r="Y135" i="3"/>
  <c r="V135" i="3"/>
  <c r="W135" i="3" s="1"/>
  <c r="U135" i="3"/>
  <c r="T135" i="3"/>
  <c r="Q135" i="3"/>
  <c r="P135" i="3"/>
  <c r="AF134" i="3"/>
  <c r="AB134" i="3"/>
  <c r="AA134" i="3"/>
  <c r="Z134" i="3"/>
  <c r="Y134" i="3"/>
  <c r="V134" i="3"/>
  <c r="W134" i="3" s="1"/>
  <c r="U134" i="3"/>
  <c r="T134" i="3"/>
  <c r="Q134" i="3"/>
  <c r="P134" i="3"/>
  <c r="AF133" i="3"/>
  <c r="AB133" i="3"/>
  <c r="AA133" i="3"/>
  <c r="Z133" i="3"/>
  <c r="Y133" i="3"/>
  <c r="V133" i="3"/>
  <c r="W133" i="3" s="1"/>
  <c r="U133" i="3"/>
  <c r="T133" i="3"/>
  <c r="Q133" i="3"/>
  <c r="P133" i="3"/>
  <c r="AF132" i="3"/>
  <c r="AB132" i="3"/>
  <c r="AA132" i="3"/>
  <c r="Z132" i="3"/>
  <c r="Y132" i="3"/>
  <c r="V132" i="3"/>
  <c r="W132" i="3" s="1"/>
  <c r="U132" i="3"/>
  <c r="T132" i="3"/>
  <c r="Q132" i="3"/>
  <c r="P132" i="3"/>
  <c r="AF131" i="3"/>
  <c r="AB131" i="3"/>
  <c r="AA131" i="3"/>
  <c r="Z131" i="3"/>
  <c r="Y131" i="3"/>
  <c r="V131" i="3"/>
  <c r="W131" i="3" s="1"/>
  <c r="U131" i="3"/>
  <c r="T131" i="3"/>
  <c r="Q131" i="3"/>
  <c r="P131" i="3"/>
  <c r="AF130" i="3"/>
  <c r="AB130" i="3"/>
  <c r="AA130" i="3"/>
  <c r="Z130" i="3"/>
  <c r="Y130" i="3"/>
  <c r="V130" i="3"/>
  <c r="W130" i="3" s="1"/>
  <c r="U130" i="3"/>
  <c r="T130" i="3"/>
  <c r="Q130" i="3"/>
  <c r="P130" i="3"/>
  <c r="AF129" i="3"/>
  <c r="AB129" i="3"/>
  <c r="AA129" i="3"/>
  <c r="Z129" i="3"/>
  <c r="Y129" i="3"/>
  <c r="V129" i="3"/>
  <c r="W129" i="3" s="1"/>
  <c r="U129" i="3"/>
  <c r="T129" i="3"/>
  <c r="Q129" i="3"/>
  <c r="P129" i="3"/>
  <c r="AF128" i="3"/>
  <c r="AB128" i="3"/>
  <c r="AA128" i="3"/>
  <c r="Z128" i="3"/>
  <c r="Y128" i="3"/>
  <c r="V128" i="3"/>
  <c r="W128" i="3" s="1"/>
  <c r="U128" i="3"/>
  <c r="T128" i="3"/>
  <c r="Q128" i="3"/>
  <c r="P128" i="3"/>
  <c r="AF127" i="3"/>
  <c r="AB127" i="3"/>
  <c r="AA127" i="3"/>
  <c r="Z127" i="3"/>
  <c r="Y127" i="3"/>
  <c r="V127" i="3"/>
  <c r="W127" i="3" s="1"/>
  <c r="U127" i="3"/>
  <c r="T127" i="3"/>
  <c r="Q127" i="3"/>
  <c r="P127" i="3"/>
  <c r="AF126" i="3"/>
  <c r="AB126" i="3"/>
  <c r="AA126" i="3"/>
  <c r="Z126" i="3"/>
  <c r="Y126" i="3"/>
  <c r="V126" i="3"/>
  <c r="W126" i="3" s="1"/>
  <c r="U126" i="3"/>
  <c r="T126" i="3"/>
  <c r="Q126" i="3"/>
  <c r="P126" i="3"/>
  <c r="AF125" i="3"/>
  <c r="AB125" i="3"/>
  <c r="AA125" i="3"/>
  <c r="Z125" i="3"/>
  <c r="Y125" i="3"/>
  <c r="V125" i="3"/>
  <c r="W125" i="3" s="1"/>
  <c r="U125" i="3"/>
  <c r="T125" i="3"/>
  <c r="Q125" i="3"/>
  <c r="P125" i="3"/>
  <c r="AF124" i="3"/>
  <c r="AB124" i="3"/>
  <c r="AA124" i="3"/>
  <c r="Z124" i="3"/>
  <c r="Y124" i="3"/>
  <c r="V124" i="3"/>
  <c r="W124" i="3" s="1"/>
  <c r="U124" i="3"/>
  <c r="T124" i="3"/>
  <c r="Q124" i="3"/>
  <c r="P124" i="3"/>
  <c r="AF123" i="3"/>
  <c r="AB123" i="3"/>
  <c r="AA123" i="3"/>
  <c r="Z123" i="3"/>
  <c r="Y123" i="3"/>
  <c r="V123" i="3"/>
  <c r="W123" i="3" s="1"/>
  <c r="U123" i="3"/>
  <c r="T123" i="3"/>
  <c r="Q123" i="3"/>
  <c r="P123" i="3"/>
  <c r="AF122" i="3"/>
  <c r="AB122" i="3"/>
  <c r="AA122" i="3"/>
  <c r="Z122" i="3"/>
  <c r="Y122" i="3"/>
  <c r="V122" i="3"/>
  <c r="W122" i="3" s="1"/>
  <c r="U122" i="3"/>
  <c r="T122" i="3"/>
  <c r="Q122" i="3"/>
  <c r="P122" i="3"/>
  <c r="AF121" i="3"/>
  <c r="AB121" i="3"/>
  <c r="AA121" i="3"/>
  <c r="Z121" i="3"/>
  <c r="Y121" i="3"/>
  <c r="V121" i="3"/>
  <c r="W121" i="3" s="1"/>
  <c r="U121" i="3"/>
  <c r="T121" i="3"/>
  <c r="Q121" i="3"/>
  <c r="P121" i="3"/>
  <c r="AF120" i="3"/>
  <c r="AB120" i="3"/>
  <c r="AA120" i="3"/>
  <c r="Z120" i="3"/>
  <c r="Y120" i="3"/>
  <c r="V120" i="3"/>
  <c r="W120" i="3" s="1"/>
  <c r="U120" i="3"/>
  <c r="T120" i="3"/>
  <c r="Q120" i="3"/>
  <c r="P120" i="3"/>
  <c r="AF119" i="3"/>
  <c r="AB119" i="3"/>
  <c r="AA119" i="3"/>
  <c r="Z119" i="3"/>
  <c r="Y119" i="3"/>
  <c r="V119" i="3"/>
  <c r="W119" i="3" s="1"/>
  <c r="U119" i="3"/>
  <c r="T119" i="3"/>
  <c r="Q119" i="3"/>
  <c r="P119" i="3"/>
  <c r="AF118" i="3"/>
  <c r="AB118" i="3"/>
  <c r="AA118" i="3"/>
  <c r="Z118" i="3"/>
  <c r="Y118" i="3"/>
  <c r="V118" i="3"/>
  <c r="W118" i="3" s="1"/>
  <c r="U118" i="3"/>
  <c r="T118" i="3"/>
  <c r="Q118" i="3"/>
  <c r="P118" i="3"/>
  <c r="AF117" i="3"/>
  <c r="AB117" i="3"/>
  <c r="AA117" i="3"/>
  <c r="Z117" i="3"/>
  <c r="Y117" i="3"/>
  <c r="V117" i="3"/>
  <c r="W117" i="3" s="1"/>
  <c r="U117" i="3"/>
  <c r="T117" i="3"/>
  <c r="Q117" i="3"/>
  <c r="P117" i="3"/>
  <c r="AF116" i="3"/>
  <c r="AB116" i="3"/>
  <c r="AA116" i="3"/>
  <c r="Z116" i="3"/>
  <c r="Y116" i="3"/>
  <c r="V116" i="3"/>
  <c r="W116" i="3" s="1"/>
  <c r="U116" i="3"/>
  <c r="T116" i="3"/>
  <c r="Q116" i="3"/>
  <c r="P116" i="3"/>
  <c r="AF115" i="3"/>
  <c r="AB115" i="3"/>
  <c r="AA115" i="3"/>
  <c r="Z115" i="3"/>
  <c r="Y115" i="3"/>
  <c r="V115" i="3"/>
  <c r="W115" i="3" s="1"/>
  <c r="U115" i="3"/>
  <c r="T115" i="3"/>
  <c r="Q115" i="3"/>
  <c r="P115" i="3"/>
  <c r="AF114" i="3"/>
  <c r="AB114" i="3"/>
  <c r="AA114" i="3"/>
  <c r="Z114" i="3"/>
  <c r="Y114" i="3"/>
  <c r="V114" i="3"/>
  <c r="W114" i="3" s="1"/>
  <c r="U114" i="3"/>
  <c r="T114" i="3"/>
  <c r="Q114" i="3"/>
  <c r="P114" i="3"/>
  <c r="AF113" i="3"/>
  <c r="AB113" i="3"/>
  <c r="AA113" i="3"/>
  <c r="Z113" i="3"/>
  <c r="Y113" i="3"/>
  <c r="V113" i="3"/>
  <c r="W113" i="3" s="1"/>
  <c r="U113" i="3"/>
  <c r="T113" i="3"/>
  <c r="Q113" i="3"/>
  <c r="P113" i="3"/>
  <c r="AF112" i="3"/>
  <c r="AB112" i="3"/>
  <c r="AA112" i="3"/>
  <c r="Z112" i="3"/>
  <c r="Y112" i="3"/>
  <c r="V112" i="3"/>
  <c r="W112" i="3" s="1"/>
  <c r="U112" i="3"/>
  <c r="T112" i="3"/>
  <c r="Q112" i="3"/>
  <c r="P112" i="3"/>
  <c r="AF111" i="3"/>
  <c r="AB111" i="3"/>
  <c r="AA111" i="3"/>
  <c r="Z111" i="3"/>
  <c r="Y111" i="3"/>
  <c r="V111" i="3"/>
  <c r="W111" i="3" s="1"/>
  <c r="U111" i="3"/>
  <c r="T111" i="3"/>
  <c r="Q111" i="3"/>
  <c r="P111" i="3"/>
  <c r="AF110" i="3"/>
  <c r="AB110" i="3"/>
  <c r="AA110" i="3"/>
  <c r="Z110" i="3"/>
  <c r="Y110" i="3"/>
  <c r="V110" i="3"/>
  <c r="W110" i="3" s="1"/>
  <c r="U110" i="3"/>
  <c r="T110" i="3"/>
  <c r="Q110" i="3"/>
  <c r="P110" i="3"/>
  <c r="AF109" i="3"/>
  <c r="AB109" i="3"/>
  <c r="AA109" i="3"/>
  <c r="Z109" i="3"/>
  <c r="Y109" i="3"/>
  <c r="V109" i="3"/>
  <c r="W109" i="3" s="1"/>
  <c r="U109" i="3"/>
  <c r="T109" i="3"/>
  <c r="Q109" i="3"/>
  <c r="P109" i="3"/>
  <c r="AF108" i="3"/>
  <c r="AB108" i="3"/>
  <c r="AA108" i="3"/>
  <c r="Z108" i="3"/>
  <c r="Y108" i="3"/>
  <c r="V108" i="3"/>
  <c r="W108" i="3" s="1"/>
  <c r="U108" i="3"/>
  <c r="T108" i="3"/>
  <c r="Q108" i="3"/>
  <c r="P108" i="3"/>
  <c r="AF107" i="3"/>
  <c r="AB107" i="3"/>
  <c r="AA107" i="3"/>
  <c r="Z107" i="3"/>
  <c r="Y107" i="3"/>
  <c r="V107" i="3"/>
  <c r="W107" i="3" s="1"/>
  <c r="U107" i="3"/>
  <c r="T107" i="3"/>
  <c r="Q107" i="3"/>
  <c r="P107" i="3"/>
  <c r="AF106" i="3"/>
  <c r="AB106" i="3"/>
  <c r="AA106" i="3"/>
  <c r="Z106" i="3"/>
  <c r="Y106" i="3"/>
  <c r="V106" i="3"/>
  <c r="W106" i="3" s="1"/>
  <c r="U106" i="3"/>
  <c r="T106" i="3"/>
  <c r="Q106" i="3"/>
  <c r="P106" i="3"/>
  <c r="AF105" i="3"/>
  <c r="AB105" i="3"/>
  <c r="AA105" i="3"/>
  <c r="Z105" i="3"/>
  <c r="Y105" i="3"/>
  <c r="V105" i="3"/>
  <c r="W105" i="3" s="1"/>
  <c r="U105" i="3"/>
  <c r="T105" i="3"/>
  <c r="Q105" i="3"/>
  <c r="P105" i="3"/>
  <c r="AF104" i="3"/>
  <c r="AB104" i="3"/>
  <c r="AA104" i="3"/>
  <c r="Z104" i="3"/>
  <c r="Y104" i="3"/>
  <c r="V104" i="3"/>
  <c r="W104" i="3" s="1"/>
  <c r="U104" i="3"/>
  <c r="T104" i="3"/>
  <c r="Q104" i="3"/>
  <c r="P104" i="3"/>
  <c r="AF103" i="3"/>
  <c r="AB103" i="3"/>
  <c r="AA103" i="3"/>
  <c r="Z103" i="3"/>
  <c r="Y103" i="3"/>
  <c r="V103" i="3"/>
  <c r="W103" i="3" s="1"/>
  <c r="U103" i="3"/>
  <c r="T103" i="3"/>
  <c r="Q103" i="3"/>
  <c r="P103" i="3"/>
  <c r="AF102" i="3"/>
  <c r="AB102" i="3"/>
  <c r="AA102" i="3"/>
  <c r="Z102" i="3"/>
  <c r="Y102" i="3"/>
  <c r="V102" i="3"/>
  <c r="W102" i="3" s="1"/>
  <c r="U102" i="3"/>
  <c r="T102" i="3"/>
  <c r="Q102" i="3"/>
  <c r="P102" i="3"/>
  <c r="AF101" i="3"/>
  <c r="AB101" i="3"/>
  <c r="AA101" i="3"/>
  <c r="Z101" i="3"/>
  <c r="Y101" i="3"/>
  <c r="V101" i="3"/>
  <c r="W101" i="3" s="1"/>
  <c r="U101" i="3"/>
  <c r="T101" i="3"/>
  <c r="Q101" i="3"/>
  <c r="P101" i="3"/>
  <c r="AF100" i="3"/>
  <c r="AB100" i="3"/>
  <c r="AA100" i="3"/>
  <c r="Z100" i="3"/>
  <c r="Y100" i="3"/>
  <c r="V100" i="3"/>
  <c r="W100" i="3" s="1"/>
  <c r="U100" i="3"/>
  <c r="T100" i="3"/>
  <c r="Q100" i="3"/>
  <c r="P100" i="3"/>
  <c r="AF99" i="3"/>
  <c r="AB99" i="3"/>
  <c r="AA99" i="3"/>
  <c r="Z99" i="3"/>
  <c r="Y99" i="3"/>
  <c r="V99" i="3"/>
  <c r="W99" i="3" s="1"/>
  <c r="U99" i="3"/>
  <c r="T99" i="3"/>
  <c r="Q99" i="3"/>
  <c r="P99" i="3"/>
  <c r="AF98" i="3"/>
  <c r="AB98" i="3"/>
  <c r="AA98" i="3"/>
  <c r="Z98" i="3"/>
  <c r="Y98" i="3"/>
  <c r="V98" i="3"/>
  <c r="W98" i="3" s="1"/>
  <c r="U98" i="3"/>
  <c r="T98" i="3"/>
  <c r="Q98" i="3"/>
  <c r="P98" i="3"/>
  <c r="AF97" i="3"/>
  <c r="AB97" i="3"/>
  <c r="AA97" i="3"/>
  <c r="Z97" i="3"/>
  <c r="Y97" i="3"/>
  <c r="V97" i="3"/>
  <c r="W97" i="3" s="1"/>
  <c r="U97" i="3"/>
  <c r="T97" i="3"/>
  <c r="Q97" i="3"/>
  <c r="P97" i="3"/>
  <c r="AF96" i="3"/>
  <c r="AB96" i="3"/>
  <c r="AA96" i="3"/>
  <c r="Z96" i="3"/>
  <c r="Y96" i="3"/>
  <c r="V96" i="3"/>
  <c r="W96" i="3" s="1"/>
  <c r="U96" i="3"/>
  <c r="T96" i="3"/>
  <c r="Q96" i="3"/>
  <c r="P96" i="3"/>
  <c r="AF95" i="3"/>
  <c r="AB95" i="3"/>
  <c r="AA95" i="3"/>
  <c r="Z95" i="3"/>
  <c r="Y95" i="3"/>
  <c r="V95" i="3"/>
  <c r="W95" i="3" s="1"/>
  <c r="U95" i="3"/>
  <c r="T95" i="3"/>
  <c r="Q95" i="3"/>
  <c r="P95" i="3"/>
  <c r="AF94" i="3"/>
  <c r="AB94" i="3"/>
  <c r="AA94" i="3"/>
  <c r="Z94" i="3"/>
  <c r="Y94" i="3"/>
  <c r="V94" i="3"/>
  <c r="W94" i="3" s="1"/>
  <c r="U94" i="3"/>
  <c r="T94" i="3"/>
  <c r="Q94" i="3"/>
  <c r="P94" i="3"/>
  <c r="AF93" i="3"/>
  <c r="AB93" i="3"/>
  <c r="AA93" i="3"/>
  <c r="Z93" i="3"/>
  <c r="Y93" i="3"/>
  <c r="V93" i="3"/>
  <c r="W93" i="3" s="1"/>
  <c r="U93" i="3"/>
  <c r="T93" i="3"/>
  <c r="Q93" i="3"/>
  <c r="P93" i="3"/>
  <c r="AF92" i="3"/>
  <c r="AB92" i="3"/>
  <c r="AA92" i="3"/>
  <c r="Z92" i="3"/>
  <c r="Y92" i="3"/>
  <c r="V92" i="3"/>
  <c r="W92" i="3" s="1"/>
  <c r="U92" i="3"/>
  <c r="T92" i="3"/>
  <c r="Q92" i="3"/>
  <c r="P92" i="3"/>
  <c r="AF91" i="3"/>
  <c r="AB91" i="3"/>
  <c r="AA91" i="3"/>
  <c r="Z91" i="3"/>
  <c r="Y91" i="3"/>
  <c r="V91" i="3"/>
  <c r="W91" i="3" s="1"/>
  <c r="U91" i="3"/>
  <c r="T91" i="3"/>
  <c r="Q91" i="3"/>
  <c r="P91" i="3"/>
  <c r="AF90" i="3"/>
  <c r="AB90" i="3"/>
  <c r="AA90" i="3"/>
  <c r="Z90" i="3"/>
  <c r="Y90" i="3"/>
  <c r="V90" i="3"/>
  <c r="W90" i="3" s="1"/>
  <c r="U90" i="3"/>
  <c r="T90" i="3"/>
  <c r="Q90" i="3"/>
  <c r="P90" i="3"/>
  <c r="AF89" i="3"/>
  <c r="AB89" i="3"/>
  <c r="AA89" i="3"/>
  <c r="Z89" i="3"/>
  <c r="Y89" i="3"/>
  <c r="V89" i="3"/>
  <c r="W89" i="3" s="1"/>
  <c r="U89" i="3"/>
  <c r="T89" i="3"/>
  <c r="Q89" i="3"/>
  <c r="P89" i="3"/>
  <c r="AF88" i="3"/>
  <c r="AB88" i="3"/>
  <c r="AA88" i="3"/>
  <c r="Z88" i="3"/>
  <c r="Y88" i="3"/>
  <c r="V88" i="3"/>
  <c r="W88" i="3" s="1"/>
  <c r="U88" i="3"/>
  <c r="T88" i="3"/>
  <c r="Q88" i="3"/>
  <c r="P88" i="3"/>
  <c r="AF87" i="3"/>
  <c r="AB87" i="3"/>
  <c r="AA87" i="3"/>
  <c r="Z87" i="3"/>
  <c r="Y87" i="3"/>
  <c r="V87" i="3"/>
  <c r="W87" i="3" s="1"/>
  <c r="U87" i="3"/>
  <c r="T87" i="3"/>
  <c r="Q87" i="3"/>
  <c r="P87" i="3"/>
  <c r="AF86" i="3"/>
  <c r="AB86" i="3"/>
  <c r="AA86" i="3"/>
  <c r="Z86" i="3"/>
  <c r="Y86" i="3"/>
  <c r="V86" i="3"/>
  <c r="W86" i="3" s="1"/>
  <c r="U86" i="3"/>
  <c r="T86" i="3"/>
  <c r="Q86" i="3"/>
  <c r="P86" i="3"/>
  <c r="AF85" i="3"/>
  <c r="AB85" i="3"/>
  <c r="AA85" i="3"/>
  <c r="Z85" i="3"/>
  <c r="Y85" i="3"/>
  <c r="V85" i="3"/>
  <c r="W85" i="3" s="1"/>
  <c r="U85" i="3"/>
  <c r="T85" i="3"/>
  <c r="Q85" i="3"/>
  <c r="P85" i="3"/>
  <c r="AF84" i="3"/>
  <c r="AB84" i="3"/>
  <c r="AA84" i="3"/>
  <c r="Z84" i="3"/>
  <c r="Y84" i="3"/>
  <c r="V84" i="3"/>
  <c r="W84" i="3" s="1"/>
  <c r="U84" i="3"/>
  <c r="T84" i="3"/>
  <c r="Q84" i="3"/>
  <c r="P84" i="3"/>
  <c r="AF83" i="3"/>
  <c r="AB83" i="3"/>
  <c r="AA83" i="3"/>
  <c r="Z83" i="3"/>
  <c r="Y83" i="3"/>
  <c r="V83" i="3"/>
  <c r="W83" i="3" s="1"/>
  <c r="U83" i="3"/>
  <c r="T83" i="3"/>
  <c r="Q83" i="3"/>
  <c r="P83" i="3"/>
  <c r="AF82" i="3"/>
  <c r="AB82" i="3"/>
  <c r="AA82" i="3"/>
  <c r="Z82" i="3"/>
  <c r="Y82" i="3"/>
  <c r="V82" i="3"/>
  <c r="W82" i="3" s="1"/>
  <c r="U82" i="3"/>
  <c r="T82" i="3"/>
  <c r="Q82" i="3"/>
  <c r="P82" i="3"/>
  <c r="AF81" i="3"/>
  <c r="AB81" i="3"/>
  <c r="AA81" i="3"/>
  <c r="Z81" i="3"/>
  <c r="Y81" i="3"/>
  <c r="V81" i="3"/>
  <c r="W81" i="3" s="1"/>
  <c r="U81" i="3"/>
  <c r="T81" i="3"/>
  <c r="Q81" i="3"/>
  <c r="P81" i="3"/>
  <c r="AF80" i="3"/>
  <c r="AB80" i="3"/>
  <c r="AA80" i="3"/>
  <c r="Z80" i="3"/>
  <c r="Y80" i="3"/>
  <c r="V80" i="3"/>
  <c r="W80" i="3" s="1"/>
  <c r="U80" i="3"/>
  <c r="T80" i="3"/>
  <c r="Q80" i="3"/>
  <c r="P80" i="3"/>
  <c r="AF79" i="3"/>
  <c r="AB79" i="3"/>
  <c r="AA79" i="3"/>
  <c r="Z79" i="3"/>
  <c r="Y79" i="3"/>
  <c r="V79" i="3"/>
  <c r="W79" i="3" s="1"/>
  <c r="U79" i="3"/>
  <c r="T79" i="3"/>
  <c r="Q79" i="3"/>
  <c r="P79" i="3"/>
  <c r="AF78" i="3"/>
  <c r="AB78" i="3"/>
  <c r="AA78" i="3"/>
  <c r="Z78" i="3"/>
  <c r="Y78" i="3"/>
  <c r="V78" i="3"/>
  <c r="W78" i="3" s="1"/>
  <c r="U78" i="3"/>
  <c r="T78" i="3"/>
  <c r="Q78" i="3"/>
  <c r="P78" i="3"/>
  <c r="AF77" i="3"/>
  <c r="AB77" i="3"/>
  <c r="AA77" i="3"/>
  <c r="Z77" i="3"/>
  <c r="Y77" i="3"/>
  <c r="V77" i="3"/>
  <c r="W77" i="3" s="1"/>
  <c r="U77" i="3"/>
  <c r="T77" i="3"/>
  <c r="Q77" i="3"/>
  <c r="P77" i="3"/>
  <c r="AF76" i="3"/>
  <c r="AB76" i="3"/>
  <c r="AA76" i="3"/>
  <c r="Z76" i="3"/>
  <c r="Y76" i="3"/>
  <c r="V76" i="3"/>
  <c r="W76" i="3" s="1"/>
  <c r="U76" i="3"/>
  <c r="T76" i="3"/>
  <c r="Q76" i="3"/>
  <c r="P76" i="3"/>
  <c r="AF75" i="3"/>
  <c r="AB75" i="3"/>
  <c r="AA75" i="3"/>
  <c r="Z75" i="3"/>
  <c r="Y75" i="3"/>
  <c r="V75" i="3"/>
  <c r="W75" i="3" s="1"/>
  <c r="U75" i="3"/>
  <c r="T75" i="3"/>
  <c r="Q75" i="3"/>
  <c r="P75" i="3"/>
  <c r="AF74" i="3"/>
  <c r="AB74" i="3"/>
  <c r="AA74" i="3"/>
  <c r="Z74" i="3"/>
  <c r="Y74" i="3"/>
  <c r="V74" i="3"/>
  <c r="W74" i="3" s="1"/>
  <c r="U74" i="3"/>
  <c r="T74" i="3"/>
  <c r="Q74" i="3"/>
  <c r="P74" i="3"/>
  <c r="AF73" i="3"/>
  <c r="AB73" i="3"/>
  <c r="AA73" i="3"/>
  <c r="Z73" i="3"/>
  <c r="Y73" i="3"/>
  <c r="V73" i="3"/>
  <c r="W73" i="3" s="1"/>
  <c r="U73" i="3"/>
  <c r="T73" i="3"/>
  <c r="Q73" i="3"/>
  <c r="P73" i="3"/>
  <c r="AF72" i="3"/>
  <c r="AB72" i="3"/>
  <c r="AA72" i="3"/>
  <c r="Z72" i="3"/>
  <c r="Y72" i="3"/>
  <c r="V72" i="3"/>
  <c r="W72" i="3" s="1"/>
  <c r="U72" i="3"/>
  <c r="T72" i="3"/>
  <c r="Q72" i="3"/>
  <c r="P72" i="3"/>
  <c r="AF71" i="3"/>
  <c r="AB71" i="3"/>
  <c r="AA71" i="3"/>
  <c r="Z71" i="3"/>
  <c r="Y71" i="3"/>
  <c r="V71" i="3"/>
  <c r="W71" i="3" s="1"/>
  <c r="U71" i="3"/>
  <c r="T71" i="3"/>
  <c r="Q71" i="3"/>
  <c r="P71" i="3"/>
  <c r="AF70" i="3"/>
  <c r="AB70" i="3"/>
  <c r="AA70" i="3"/>
  <c r="Z70" i="3"/>
  <c r="Y70" i="3"/>
  <c r="V70" i="3"/>
  <c r="W70" i="3" s="1"/>
  <c r="U70" i="3"/>
  <c r="T70" i="3"/>
  <c r="Q70" i="3"/>
  <c r="P70" i="3"/>
  <c r="AF69" i="3"/>
  <c r="AB69" i="3"/>
  <c r="AA69" i="3"/>
  <c r="Z69" i="3"/>
  <c r="Y69" i="3"/>
  <c r="V69" i="3"/>
  <c r="W69" i="3" s="1"/>
  <c r="U69" i="3"/>
  <c r="T69" i="3"/>
  <c r="Q69" i="3"/>
  <c r="P69" i="3"/>
  <c r="AF68" i="3"/>
  <c r="AB68" i="3"/>
  <c r="AA68" i="3"/>
  <c r="Z68" i="3"/>
  <c r="Y68" i="3"/>
  <c r="V68" i="3"/>
  <c r="W68" i="3" s="1"/>
  <c r="U68" i="3"/>
  <c r="T68" i="3"/>
  <c r="Q68" i="3"/>
  <c r="P68" i="3"/>
  <c r="AF67" i="3"/>
  <c r="AB67" i="3"/>
  <c r="AA67" i="3"/>
  <c r="Z67" i="3"/>
  <c r="Y67" i="3"/>
  <c r="V67" i="3"/>
  <c r="W67" i="3" s="1"/>
  <c r="U67" i="3"/>
  <c r="T67" i="3"/>
  <c r="Q67" i="3"/>
  <c r="P67" i="3"/>
  <c r="AF66" i="3"/>
  <c r="AB66" i="3"/>
  <c r="AA66" i="3"/>
  <c r="Z66" i="3"/>
  <c r="Y66" i="3"/>
  <c r="V66" i="3"/>
  <c r="W66" i="3" s="1"/>
  <c r="U66" i="3"/>
  <c r="T66" i="3"/>
  <c r="Q66" i="3"/>
  <c r="P66" i="3"/>
  <c r="AF65" i="3"/>
  <c r="AB65" i="3"/>
  <c r="AA65" i="3"/>
  <c r="Z65" i="3"/>
  <c r="Y65" i="3"/>
  <c r="V65" i="3"/>
  <c r="W65" i="3" s="1"/>
  <c r="U65" i="3"/>
  <c r="T65" i="3"/>
  <c r="Q65" i="3"/>
  <c r="P65" i="3"/>
  <c r="AF64" i="3"/>
  <c r="AB64" i="3"/>
  <c r="AA64" i="3"/>
  <c r="Z64" i="3"/>
  <c r="Y64" i="3"/>
  <c r="V64" i="3"/>
  <c r="W64" i="3" s="1"/>
  <c r="U64" i="3"/>
  <c r="T64" i="3"/>
  <c r="Q64" i="3"/>
  <c r="P64" i="3"/>
  <c r="AF63" i="3"/>
  <c r="AB63" i="3"/>
  <c r="AA63" i="3"/>
  <c r="Z63" i="3"/>
  <c r="Y63" i="3"/>
  <c r="V63" i="3"/>
  <c r="W63" i="3" s="1"/>
  <c r="U63" i="3"/>
  <c r="T63" i="3"/>
  <c r="Q63" i="3"/>
  <c r="P63" i="3"/>
  <c r="AF62" i="3"/>
  <c r="AB62" i="3"/>
  <c r="AA62" i="3"/>
  <c r="Z62" i="3"/>
  <c r="Y62" i="3"/>
  <c r="V62" i="3"/>
  <c r="W62" i="3" s="1"/>
  <c r="U62" i="3"/>
  <c r="T62" i="3"/>
  <c r="Q62" i="3"/>
  <c r="P62" i="3"/>
  <c r="AF61" i="3"/>
  <c r="AB61" i="3"/>
  <c r="AA61" i="3"/>
  <c r="Z61" i="3"/>
  <c r="Y61" i="3"/>
  <c r="V61" i="3"/>
  <c r="W61" i="3" s="1"/>
  <c r="U61" i="3"/>
  <c r="T61" i="3"/>
  <c r="Q61" i="3"/>
  <c r="P61" i="3"/>
  <c r="AF60" i="3"/>
  <c r="AB60" i="3"/>
  <c r="AA60" i="3"/>
  <c r="Z60" i="3"/>
  <c r="Y60" i="3"/>
  <c r="V60" i="3"/>
  <c r="W60" i="3" s="1"/>
  <c r="U60" i="3"/>
  <c r="T60" i="3"/>
  <c r="Q60" i="3"/>
  <c r="P60" i="3"/>
  <c r="AF59" i="3"/>
  <c r="AB59" i="3"/>
  <c r="AA59" i="3"/>
  <c r="Z59" i="3"/>
  <c r="Y59" i="3"/>
  <c r="V59" i="3"/>
  <c r="W59" i="3" s="1"/>
  <c r="U59" i="3"/>
  <c r="T59" i="3"/>
  <c r="Q59" i="3"/>
  <c r="P59" i="3"/>
  <c r="AF58" i="3"/>
  <c r="AB58" i="3"/>
  <c r="AA58" i="3"/>
  <c r="Z58" i="3"/>
  <c r="Y58" i="3"/>
  <c r="V58" i="3"/>
  <c r="W58" i="3" s="1"/>
  <c r="U58" i="3"/>
  <c r="T58" i="3"/>
  <c r="Q58" i="3"/>
  <c r="P58" i="3"/>
  <c r="AF57" i="3"/>
  <c r="AB57" i="3"/>
  <c r="AA57" i="3"/>
  <c r="Z57" i="3"/>
  <c r="Y57" i="3"/>
  <c r="V57" i="3"/>
  <c r="W57" i="3" s="1"/>
  <c r="U57" i="3"/>
  <c r="T57" i="3"/>
  <c r="Q57" i="3"/>
  <c r="P57" i="3"/>
  <c r="AF56" i="3"/>
  <c r="AB56" i="3"/>
  <c r="AA56" i="3"/>
  <c r="Z56" i="3"/>
  <c r="Y56" i="3"/>
  <c r="V56" i="3"/>
  <c r="W56" i="3" s="1"/>
  <c r="U56" i="3"/>
  <c r="T56" i="3"/>
  <c r="Q56" i="3"/>
  <c r="P56" i="3"/>
  <c r="AF55" i="3"/>
  <c r="AB55" i="3"/>
  <c r="AA55" i="3"/>
  <c r="Z55" i="3"/>
  <c r="Y55" i="3"/>
  <c r="V55" i="3"/>
  <c r="W55" i="3" s="1"/>
  <c r="U55" i="3"/>
  <c r="T55" i="3"/>
  <c r="Q55" i="3"/>
  <c r="P55" i="3"/>
  <c r="AF54" i="3"/>
  <c r="AB54" i="3"/>
  <c r="AA54" i="3"/>
  <c r="Z54" i="3"/>
  <c r="Y54" i="3"/>
  <c r="V54" i="3"/>
  <c r="W54" i="3" s="1"/>
  <c r="U54" i="3"/>
  <c r="T54" i="3"/>
  <c r="Q54" i="3"/>
  <c r="P54" i="3"/>
  <c r="AF53" i="3"/>
  <c r="AB53" i="3"/>
  <c r="AA53" i="3"/>
  <c r="Z53" i="3"/>
  <c r="Y53" i="3"/>
  <c r="V53" i="3"/>
  <c r="W53" i="3" s="1"/>
  <c r="U53" i="3"/>
  <c r="T53" i="3"/>
  <c r="Q53" i="3"/>
  <c r="P53" i="3"/>
  <c r="AF52" i="3"/>
  <c r="AB52" i="3"/>
  <c r="AA52" i="3"/>
  <c r="Z52" i="3"/>
  <c r="Y52" i="3"/>
  <c r="V52" i="3"/>
  <c r="W52" i="3" s="1"/>
  <c r="U52" i="3"/>
  <c r="T52" i="3"/>
  <c r="Q52" i="3"/>
  <c r="P52" i="3"/>
  <c r="AF51" i="3"/>
  <c r="AB51" i="3"/>
  <c r="AA51" i="3"/>
  <c r="Z51" i="3"/>
  <c r="Y51" i="3"/>
  <c r="V51" i="3"/>
  <c r="W51" i="3" s="1"/>
  <c r="U51" i="3"/>
  <c r="T51" i="3"/>
  <c r="Q51" i="3"/>
  <c r="P51" i="3"/>
  <c r="AF50" i="3"/>
  <c r="AB50" i="3"/>
  <c r="AA50" i="3"/>
  <c r="Z50" i="3"/>
  <c r="Y50" i="3"/>
  <c r="V50" i="3"/>
  <c r="W50" i="3" s="1"/>
  <c r="U50" i="3"/>
  <c r="T50" i="3"/>
  <c r="Q50" i="3"/>
  <c r="P50" i="3"/>
  <c r="AF49" i="3"/>
  <c r="AB49" i="3"/>
  <c r="AA49" i="3"/>
  <c r="Z49" i="3"/>
  <c r="Y49" i="3"/>
  <c r="V49" i="3"/>
  <c r="W49" i="3" s="1"/>
  <c r="U49" i="3"/>
  <c r="T49" i="3"/>
  <c r="Q49" i="3"/>
  <c r="P49" i="3"/>
  <c r="AF48" i="3"/>
  <c r="AB48" i="3"/>
  <c r="AA48" i="3"/>
  <c r="Z48" i="3"/>
  <c r="Y48" i="3"/>
  <c r="V48" i="3"/>
  <c r="W48" i="3" s="1"/>
  <c r="U48" i="3"/>
  <c r="T48" i="3"/>
  <c r="Q48" i="3"/>
  <c r="P48" i="3"/>
  <c r="AF47" i="3"/>
  <c r="AB47" i="3"/>
  <c r="AA47" i="3"/>
  <c r="Z47" i="3"/>
  <c r="Y47" i="3"/>
  <c r="V47" i="3"/>
  <c r="W47" i="3" s="1"/>
  <c r="U47" i="3"/>
  <c r="T47" i="3"/>
  <c r="Q47" i="3"/>
  <c r="P47" i="3"/>
  <c r="AF46" i="3"/>
  <c r="AB46" i="3"/>
  <c r="AA46" i="3"/>
  <c r="Z46" i="3"/>
  <c r="Y46" i="3"/>
  <c r="V46" i="3"/>
  <c r="W46" i="3" s="1"/>
  <c r="U46" i="3"/>
  <c r="T46" i="3"/>
  <c r="Q46" i="3"/>
  <c r="P46" i="3"/>
  <c r="AF45" i="3"/>
  <c r="AB45" i="3"/>
  <c r="AA45" i="3"/>
  <c r="Z45" i="3"/>
  <c r="Y45" i="3"/>
  <c r="V45" i="3"/>
  <c r="W45" i="3" s="1"/>
  <c r="U45" i="3"/>
  <c r="T45" i="3"/>
  <c r="Q45" i="3"/>
  <c r="P45" i="3"/>
  <c r="AF44" i="3"/>
  <c r="AB44" i="3"/>
  <c r="AA44" i="3"/>
  <c r="Z44" i="3"/>
  <c r="Y44" i="3"/>
  <c r="V44" i="3"/>
  <c r="W44" i="3" s="1"/>
  <c r="U44" i="3"/>
  <c r="T44" i="3"/>
  <c r="Q44" i="3"/>
  <c r="P44" i="3"/>
  <c r="AF43" i="3"/>
  <c r="AB43" i="3"/>
  <c r="AA43" i="3"/>
  <c r="Z43" i="3"/>
  <c r="Y43" i="3"/>
  <c r="V43" i="3"/>
  <c r="W43" i="3" s="1"/>
  <c r="U43" i="3"/>
  <c r="T43" i="3"/>
  <c r="Q43" i="3"/>
  <c r="P43" i="3"/>
  <c r="AF42" i="3"/>
  <c r="AB42" i="3"/>
  <c r="AA42" i="3"/>
  <c r="Z42" i="3"/>
  <c r="Y42" i="3"/>
  <c r="V42" i="3"/>
  <c r="W42" i="3" s="1"/>
  <c r="U42" i="3"/>
  <c r="T42" i="3"/>
  <c r="Q42" i="3"/>
  <c r="P42" i="3"/>
  <c r="AF41" i="3"/>
  <c r="AB41" i="3"/>
  <c r="AA41" i="3"/>
  <c r="Z41" i="3"/>
  <c r="Y41" i="3"/>
  <c r="V41" i="3"/>
  <c r="W41" i="3" s="1"/>
  <c r="U41" i="3"/>
  <c r="T41" i="3"/>
  <c r="Q41" i="3"/>
  <c r="P41" i="3"/>
  <c r="AF40" i="3"/>
  <c r="AB40" i="3"/>
  <c r="AA40" i="3"/>
  <c r="Z40" i="3"/>
  <c r="Y40" i="3"/>
  <c r="V40" i="3"/>
  <c r="W40" i="3" s="1"/>
  <c r="U40" i="3"/>
  <c r="T40" i="3"/>
  <c r="Q40" i="3"/>
  <c r="P40" i="3"/>
  <c r="AF39" i="3"/>
  <c r="AB39" i="3"/>
  <c r="AA39" i="3"/>
  <c r="Z39" i="3"/>
  <c r="Y39" i="3"/>
  <c r="V39" i="3"/>
  <c r="W39" i="3" s="1"/>
  <c r="U39" i="3"/>
  <c r="T39" i="3"/>
  <c r="Q39" i="3"/>
  <c r="P39" i="3"/>
  <c r="AF38" i="3"/>
  <c r="AB38" i="3"/>
  <c r="AA38" i="3"/>
  <c r="Z38" i="3"/>
  <c r="Y38" i="3"/>
  <c r="V38" i="3"/>
  <c r="W38" i="3" s="1"/>
  <c r="U38" i="3"/>
  <c r="T38" i="3"/>
  <c r="Q38" i="3"/>
  <c r="P38" i="3"/>
  <c r="AF37" i="3"/>
  <c r="AB37" i="3"/>
  <c r="AA37" i="3"/>
  <c r="Z37" i="3"/>
  <c r="Y37" i="3"/>
  <c r="V37" i="3"/>
  <c r="W37" i="3" s="1"/>
  <c r="U37" i="3"/>
  <c r="T37" i="3"/>
  <c r="Q37" i="3"/>
  <c r="P37" i="3"/>
  <c r="AF36" i="3"/>
  <c r="AB36" i="3"/>
  <c r="AA36" i="3"/>
  <c r="Z36" i="3"/>
  <c r="Y36" i="3"/>
  <c r="V36" i="3"/>
  <c r="W36" i="3" s="1"/>
  <c r="U36" i="3"/>
  <c r="T36" i="3"/>
  <c r="Q36" i="3"/>
  <c r="P36" i="3"/>
  <c r="AF35" i="3"/>
  <c r="AB35" i="3"/>
  <c r="AA35" i="3"/>
  <c r="Z35" i="3"/>
  <c r="Y35" i="3"/>
  <c r="V35" i="3"/>
  <c r="W35" i="3" s="1"/>
  <c r="U35" i="3"/>
  <c r="T35" i="3"/>
  <c r="Q35" i="3"/>
  <c r="P35" i="3"/>
  <c r="AF34" i="3"/>
  <c r="AB34" i="3"/>
  <c r="AA34" i="3"/>
  <c r="Z34" i="3"/>
  <c r="Y34" i="3"/>
  <c r="V34" i="3"/>
  <c r="W34" i="3" s="1"/>
  <c r="U34" i="3"/>
  <c r="T34" i="3"/>
  <c r="Q34" i="3"/>
  <c r="P34" i="3"/>
  <c r="AF33" i="3"/>
  <c r="AB33" i="3"/>
  <c r="AA33" i="3"/>
  <c r="Z33" i="3"/>
  <c r="Y33" i="3"/>
  <c r="V33" i="3"/>
  <c r="W33" i="3" s="1"/>
  <c r="U33" i="3"/>
  <c r="T33" i="3"/>
  <c r="Q33" i="3"/>
  <c r="P33" i="3"/>
  <c r="AF32" i="3"/>
  <c r="AB32" i="3"/>
  <c r="AA32" i="3"/>
  <c r="Z32" i="3"/>
  <c r="Y32" i="3"/>
  <c r="V32" i="3"/>
  <c r="W32" i="3" s="1"/>
  <c r="U32" i="3"/>
  <c r="T32" i="3"/>
  <c r="Q32" i="3"/>
  <c r="P32" i="3"/>
  <c r="AF31" i="3"/>
  <c r="AB31" i="3"/>
  <c r="AA31" i="3"/>
  <c r="Z31" i="3"/>
  <c r="Y31" i="3"/>
  <c r="V31" i="3"/>
  <c r="W31" i="3" s="1"/>
  <c r="U31" i="3"/>
  <c r="T31" i="3"/>
  <c r="Q31" i="3"/>
  <c r="P31" i="3"/>
  <c r="AF30" i="3"/>
  <c r="AB30" i="3"/>
  <c r="AA30" i="3"/>
  <c r="Z30" i="3"/>
  <c r="Y30" i="3"/>
  <c r="V30" i="3"/>
  <c r="W30" i="3" s="1"/>
  <c r="U30" i="3"/>
  <c r="T30" i="3"/>
  <c r="Q30" i="3"/>
  <c r="P30" i="3"/>
  <c r="AF29" i="3"/>
  <c r="AB29" i="3"/>
  <c r="AA29" i="3"/>
  <c r="Z29" i="3"/>
  <c r="Y29" i="3"/>
  <c r="V29" i="3"/>
  <c r="W29" i="3" s="1"/>
  <c r="U29" i="3"/>
  <c r="T29" i="3"/>
  <c r="Q29" i="3"/>
  <c r="P29" i="3"/>
  <c r="AF28" i="3"/>
  <c r="AB28" i="3"/>
  <c r="AA28" i="3"/>
  <c r="Z28" i="3"/>
  <c r="Y28" i="3"/>
  <c r="V28" i="3"/>
  <c r="W28" i="3" s="1"/>
  <c r="U28" i="3"/>
  <c r="T28" i="3"/>
  <c r="Q28" i="3"/>
  <c r="P28" i="3"/>
  <c r="AF27" i="3"/>
  <c r="AB27" i="3"/>
  <c r="AA27" i="3"/>
  <c r="Z27" i="3"/>
  <c r="Y27" i="3"/>
  <c r="V27" i="3"/>
  <c r="W27" i="3" s="1"/>
  <c r="U27" i="3"/>
  <c r="T27" i="3"/>
  <c r="Q27" i="3"/>
  <c r="P27" i="3"/>
  <c r="AF26" i="3"/>
  <c r="AB26" i="3"/>
  <c r="AA26" i="3"/>
  <c r="Z26" i="3"/>
  <c r="Y26" i="3"/>
  <c r="V26" i="3"/>
  <c r="W26" i="3" s="1"/>
  <c r="U26" i="3"/>
  <c r="T26" i="3"/>
  <c r="Q26" i="3"/>
  <c r="P26" i="3"/>
  <c r="AF25" i="3"/>
  <c r="AB25" i="3"/>
  <c r="AA25" i="3"/>
  <c r="Z25" i="3"/>
  <c r="Y25" i="3"/>
  <c r="V25" i="3"/>
  <c r="W25" i="3" s="1"/>
  <c r="U25" i="3"/>
  <c r="T25" i="3"/>
  <c r="Q25" i="3"/>
  <c r="P25" i="3"/>
  <c r="AF24" i="3"/>
  <c r="AB24" i="3"/>
  <c r="AA24" i="3"/>
  <c r="Z24" i="3"/>
  <c r="Y24" i="3"/>
  <c r="V24" i="3"/>
  <c r="W24" i="3" s="1"/>
  <c r="U24" i="3"/>
  <c r="T24" i="3"/>
  <c r="Q24" i="3"/>
  <c r="P24" i="3"/>
  <c r="AF23" i="3"/>
  <c r="AB23" i="3"/>
  <c r="AA23" i="3"/>
  <c r="Z23" i="3"/>
  <c r="Y23" i="3"/>
  <c r="V23" i="3"/>
  <c r="W23" i="3" s="1"/>
  <c r="U23" i="3"/>
  <c r="T23" i="3"/>
  <c r="Q23" i="3"/>
  <c r="P23" i="3"/>
  <c r="AF22" i="3"/>
  <c r="AB22" i="3"/>
  <c r="AA22" i="3"/>
  <c r="Z22" i="3"/>
  <c r="Y22" i="3"/>
  <c r="V22" i="3"/>
  <c r="W22" i="3" s="1"/>
  <c r="U22" i="3"/>
  <c r="T22" i="3"/>
  <c r="Q22" i="3"/>
  <c r="P22" i="3"/>
  <c r="AF21" i="3"/>
  <c r="AB21" i="3"/>
  <c r="AA21" i="3"/>
  <c r="Z21" i="3"/>
  <c r="Y21" i="3"/>
  <c r="V21" i="3"/>
  <c r="W21" i="3" s="1"/>
  <c r="U21" i="3"/>
  <c r="T21" i="3"/>
  <c r="Q21" i="3"/>
  <c r="P21" i="3"/>
  <c r="AF20" i="3"/>
  <c r="AB20" i="3"/>
  <c r="AA20" i="3"/>
  <c r="Z20" i="3"/>
  <c r="Y20" i="3"/>
  <c r="V20" i="3"/>
  <c r="W20" i="3" s="1"/>
  <c r="U20" i="3"/>
  <c r="T20" i="3"/>
  <c r="Q20" i="3"/>
  <c r="P20" i="3"/>
  <c r="AF19" i="3"/>
  <c r="AB19" i="3"/>
  <c r="AA19" i="3"/>
  <c r="Z19" i="3"/>
  <c r="Y19" i="3"/>
  <c r="V19" i="3"/>
  <c r="W19" i="3" s="1"/>
  <c r="U19" i="3"/>
  <c r="T19" i="3"/>
  <c r="Q19" i="3"/>
  <c r="P19" i="3"/>
  <c r="AF18" i="3"/>
  <c r="AB18" i="3"/>
  <c r="AA18" i="3"/>
  <c r="Z18" i="3"/>
  <c r="Y18" i="3"/>
  <c r="V18" i="3"/>
  <c r="W18" i="3" s="1"/>
  <c r="U18" i="3"/>
  <c r="T18" i="3"/>
  <c r="Q18" i="3"/>
  <c r="P18" i="3"/>
  <c r="AF17" i="3"/>
  <c r="AB17" i="3"/>
  <c r="AA17" i="3"/>
  <c r="Z17" i="3"/>
  <c r="Y17" i="3"/>
  <c r="V17" i="3"/>
  <c r="W17" i="3" s="1"/>
  <c r="U17" i="3"/>
  <c r="T17" i="3"/>
  <c r="Q17" i="3"/>
  <c r="P17" i="3"/>
  <c r="AF16" i="3"/>
  <c r="AB16" i="3"/>
  <c r="AA16" i="3"/>
  <c r="Z16" i="3"/>
  <c r="Y16" i="3"/>
  <c r="V16" i="3"/>
  <c r="W16" i="3" s="1"/>
  <c r="U16" i="3"/>
  <c r="T16" i="3"/>
  <c r="Q16" i="3"/>
  <c r="P16" i="3"/>
  <c r="AF15" i="3"/>
  <c r="AB15" i="3"/>
  <c r="AA15" i="3"/>
  <c r="Z15" i="3"/>
  <c r="E50" i="1" s="1"/>
  <c r="Y15" i="3"/>
  <c r="D50" i="1" s="1"/>
  <c r="Q15" i="3"/>
  <c r="E43" i="1" s="1"/>
  <c r="P15" i="3"/>
  <c r="D43" i="1" s="1"/>
  <c r="AF14" i="3"/>
  <c r="AB14" i="3"/>
  <c r="AA14" i="3"/>
  <c r="Z14" i="3"/>
  <c r="Y14" i="3"/>
  <c r="Q14" i="3"/>
  <c r="E42" i="1" s="1"/>
  <c r="P14" i="3"/>
  <c r="AF13" i="3"/>
  <c r="AB13" i="3"/>
  <c r="AA13" i="3"/>
  <c r="Z13" i="3"/>
  <c r="E54" i="1" s="1"/>
  <c r="Y13" i="3"/>
  <c r="D54" i="1" s="1"/>
  <c r="Q13" i="3"/>
  <c r="P13" i="3"/>
  <c r="D41" i="1" s="1"/>
  <c r="AF12" i="3"/>
  <c r="AB12" i="3"/>
  <c r="AA12" i="3"/>
  <c r="Z12" i="3"/>
  <c r="Y12" i="3"/>
  <c r="Q12" i="3"/>
  <c r="P12" i="3"/>
  <c r="AF11" i="3"/>
  <c r="AB11" i="3"/>
  <c r="AA11" i="3"/>
  <c r="Z11" i="3"/>
  <c r="Y11" i="3"/>
  <c r="Q11" i="3"/>
  <c r="E39" i="1" s="1"/>
  <c r="P11" i="3"/>
  <c r="AF10" i="3"/>
  <c r="AB10" i="3"/>
  <c r="AA10" i="3"/>
  <c r="Z10" i="3"/>
  <c r="Y10" i="3"/>
  <c r="Q10" i="3"/>
  <c r="P10" i="3"/>
  <c r="AF9" i="3"/>
  <c r="AB9" i="3"/>
  <c r="AA9" i="3"/>
  <c r="Z9" i="3"/>
  <c r="Y9" i="3"/>
  <c r="D52" i="1" s="1"/>
  <c r="Q9" i="3"/>
  <c r="P9" i="3"/>
  <c r="AF8" i="3"/>
  <c r="AB8" i="3"/>
  <c r="AA8" i="3"/>
  <c r="Z8" i="3"/>
  <c r="Y8" i="3"/>
  <c r="Q8" i="3"/>
  <c r="P8" i="3"/>
  <c r="AF7" i="3"/>
  <c r="AB7" i="3"/>
  <c r="AA7" i="3"/>
  <c r="Z7" i="3"/>
  <c r="E49" i="1" s="1"/>
  <c r="Y7" i="3"/>
  <c r="Q7" i="3"/>
  <c r="P7" i="3"/>
  <c r="AF6" i="3"/>
  <c r="AB6" i="3"/>
  <c r="AA6" i="3"/>
  <c r="Z6" i="3"/>
  <c r="Y6" i="3"/>
  <c r="Q6" i="3"/>
  <c r="P6" i="3"/>
  <c r="D34" i="1" s="1"/>
  <c r="L77" i="2"/>
  <c r="H77" i="2"/>
  <c r="G77" i="2"/>
  <c r="P76" i="2"/>
  <c r="O76" i="2"/>
  <c r="L76" i="2"/>
  <c r="K76" i="2"/>
  <c r="J76" i="2"/>
  <c r="I76" i="2"/>
  <c r="H76" i="2"/>
  <c r="G76" i="2"/>
  <c r="P75" i="2"/>
  <c r="O75" i="2"/>
  <c r="L75" i="2"/>
  <c r="K75" i="2"/>
  <c r="J75" i="2"/>
  <c r="I75" i="2"/>
  <c r="H75" i="2"/>
  <c r="G75" i="2"/>
  <c r="P74" i="2"/>
  <c r="O74" i="2"/>
  <c r="L74" i="2"/>
  <c r="K74" i="2"/>
  <c r="J74" i="2"/>
  <c r="I74" i="2"/>
  <c r="H74" i="2"/>
  <c r="G74" i="2"/>
  <c r="P73" i="2"/>
  <c r="O73" i="2"/>
  <c r="L73" i="2"/>
  <c r="K73" i="2"/>
  <c r="J73" i="2"/>
  <c r="I73" i="2"/>
  <c r="H73" i="2"/>
  <c r="G73" i="2"/>
  <c r="P72" i="2"/>
  <c r="O72" i="2"/>
  <c r="L72" i="2"/>
  <c r="K72" i="2"/>
  <c r="J72" i="2"/>
  <c r="I72" i="2"/>
  <c r="H72" i="2"/>
  <c r="G72" i="2"/>
  <c r="P71" i="2"/>
  <c r="O71" i="2"/>
  <c r="L71" i="2"/>
  <c r="K71" i="2"/>
  <c r="J71" i="2"/>
  <c r="I71" i="2"/>
  <c r="H71" i="2"/>
  <c r="G71" i="2"/>
  <c r="P70" i="2"/>
  <c r="O70" i="2"/>
  <c r="L70" i="2"/>
  <c r="K70" i="2"/>
  <c r="J70" i="2"/>
  <c r="I70" i="2"/>
  <c r="H70" i="2"/>
  <c r="G70" i="2"/>
  <c r="P69" i="2"/>
  <c r="O69" i="2"/>
  <c r="L69" i="2"/>
  <c r="K69" i="2"/>
  <c r="J69" i="2"/>
  <c r="I69" i="2"/>
  <c r="H69" i="2"/>
  <c r="G69" i="2"/>
  <c r="P68" i="2"/>
  <c r="O68" i="2"/>
  <c r="L68" i="2"/>
  <c r="K68" i="2"/>
  <c r="J68" i="2"/>
  <c r="I68" i="2"/>
  <c r="H68" i="2"/>
  <c r="G68" i="2"/>
  <c r="P67" i="2"/>
  <c r="O67" i="2"/>
  <c r="L67" i="2"/>
  <c r="K67" i="2"/>
  <c r="J67" i="2"/>
  <c r="I67" i="2"/>
  <c r="H67" i="2"/>
  <c r="G67" i="2"/>
  <c r="P66" i="2"/>
  <c r="O66" i="2"/>
  <c r="L66" i="2"/>
  <c r="K66" i="2"/>
  <c r="J66" i="2"/>
  <c r="I66" i="2"/>
  <c r="H66" i="2"/>
  <c r="G66" i="2"/>
  <c r="P65" i="2"/>
  <c r="O65" i="2"/>
  <c r="L65" i="2"/>
  <c r="K65" i="2"/>
  <c r="J65" i="2"/>
  <c r="I65" i="2"/>
  <c r="H65" i="2"/>
  <c r="G65" i="2"/>
  <c r="P64" i="2"/>
  <c r="O64" i="2"/>
  <c r="L64" i="2"/>
  <c r="K64" i="2"/>
  <c r="J64" i="2"/>
  <c r="I64" i="2"/>
  <c r="H64" i="2"/>
  <c r="G64" i="2"/>
  <c r="P63" i="2"/>
  <c r="O63" i="2"/>
  <c r="L63" i="2"/>
  <c r="K63" i="2"/>
  <c r="J63" i="2"/>
  <c r="I63" i="2"/>
  <c r="H63" i="2"/>
  <c r="G63" i="2"/>
  <c r="P62" i="2"/>
  <c r="O62" i="2"/>
  <c r="L62" i="2"/>
  <c r="K62" i="2"/>
  <c r="J62" i="2"/>
  <c r="I62" i="2"/>
  <c r="H62" i="2"/>
  <c r="G62" i="2"/>
  <c r="P61" i="2"/>
  <c r="O61" i="2"/>
  <c r="L61" i="2"/>
  <c r="K61" i="2"/>
  <c r="J61" i="2"/>
  <c r="I61" i="2"/>
  <c r="H61" i="2"/>
  <c r="G61" i="2"/>
  <c r="P60" i="2"/>
  <c r="O60" i="2"/>
  <c r="L60" i="2"/>
  <c r="K60" i="2"/>
  <c r="J60" i="2"/>
  <c r="I60" i="2"/>
  <c r="H60" i="2"/>
  <c r="G60" i="2"/>
  <c r="P59" i="2"/>
  <c r="O59" i="2"/>
  <c r="L59" i="2"/>
  <c r="K59" i="2"/>
  <c r="J59" i="2"/>
  <c r="I59" i="2"/>
  <c r="H59" i="2"/>
  <c r="G59" i="2"/>
  <c r="P58" i="2"/>
  <c r="O58" i="2"/>
  <c r="L58" i="2"/>
  <c r="K58" i="2"/>
  <c r="J58" i="2"/>
  <c r="I58" i="2"/>
  <c r="H58" i="2"/>
  <c r="G58" i="2"/>
  <c r="P57" i="2"/>
  <c r="O57" i="2"/>
  <c r="L57" i="2"/>
  <c r="K57" i="2"/>
  <c r="J57" i="2"/>
  <c r="I57" i="2"/>
  <c r="H57" i="2"/>
  <c r="G57" i="2"/>
  <c r="P56" i="2"/>
  <c r="O56" i="2"/>
  <c r="L56" i="2"/>
  <c r="K56" i="2"/>
  <c r="J56" i="2"/>
  <c r="I56" i="2"/>
  <c r="H56" i="2"/>
  <c r="G56" i="2"/>
  <c r="P55" i="2"/>
  <c r="O55" i="2"/>
  <c r="L55" i="2"/>
  <c r="K55" i="2"/>
  <c r="J55" i="2"/>
  <c r="I55" i="2"/>
  <c r="H55" i="2"/>
  <c r="G55" i="2"/>
  <c r="P54" i="2"/>
  <c r="O54" i="2"/>
  <c r="L54" i="2"/>
  <c r="K54" i="2"/>
  <c r="J54" i="2"/>
  <c r="I54" i="2"/>
  <c r="H54" i="2"/>
  <c r="G54" i="2"/>
  <c r="P53" i="2"/>
  <c r="O53" i="2"/>
  <c r="L53" i="2"/>
  <c r="K53" i="2"/>
  <c r="J53" i="2"/>
  <c r="I53" i="2"/>
  <c r="H53" i="2"/>
  <c r="G53" i="2"/>
  <c r="P52" i="2"/>
  <c r="O52" i="2"/>
  <c r="L52" i="2"/>
  <c r="K52" i="2"/>
  <c r="J52" i="2"/>
  <c r="I52" i="2"/>
  <c r="H52" i="2"/>
  <c r="G52" i="2"/>
  <c r="P51" i="2"/>
  <c r="O51" i="2"/>
  <c r="L51" i="2"/>
  <c r="K51" i="2"/>
  <c r="J51" i="2"/>
  <c r="I51" i="2"/>
  <c r="H51" i="2"/>
  <c r="G51" i="2"/>
  <c r="P50" i="2"/>
  <c r="O50" i="2"/>
  <c r="L50" i="2"/>
  <c r="K50" i="2"/>
  <c r="J50" i="2"/>
  <c r="I50" i="2"/>
  <c r="H50" i="2"/>
  <c r="G50" i="2"/>
  <c r="P49" i="2"/>
  <c r="O49" i="2"/>
  <c r="L49" i="2"/>
  <c r="K49" i="2"/>
  <c r="J49" i="2"/>
  <c r="I49" i="2"/>
  <c r="H49" i="2"/>
  <c r="G49" i="2"/>
  <c r="P48" i="2"/>
  <c r="O48" i="2"/>
  <c r="L48" i="2"/>
  <c r="K48" i="2"/>
  <c r="J48" i="2"/>
  <c r="I48" i="2"/>
  <c r="H48" i="2"/>
  <c r="G48" i="2"/>
  <c r="P47" i="2"/>
  <c r="O47" i="2"/>
  <c r="L47" i="2"/>
  <c r="K47" i="2"/>
  <c r="J47" i="2"/>
  <c r="I47" i="2"/>
  <c r="H47" i="2"/>
  <c r="G47" i="2"/>
  <c r="P46" i="2"/>
  <c r="O46" i="2"/>
  <c r="L46" i="2"/>
  <c r="K46" i="2"/>
  <c r="J46" i="2"/>
  <c r="I46" i="2"/>
  <c r="H46" i="2"/>
  <c r="G46" i="2"/>
  <c r="P45" i="2"/>
  <c r="O45" i="2"/>
  <c r="L45" i="2"/>
  <c r="K45" i="2"/>
  <c r="J45" i="2"/>
  <c r="I45" i="2"/>
  <c r="H45" i="2"/>
  <c r="G45" i="2"/>
  <c r="P44" i="2"/>
  <c r="O44" i="2"/>
  <c r="L44" i="2"/>
  <c r="K44" i="2"/>
  <c r="J44" i="2"/>
  <c r="I44" i="2"/>
  <c r="H44" i="2"/>
  <c r="G44" i="2"/>
  <c r="P43" i="2"/>
  <c r="O43" i="2"/>
  <c r="L43" i="2"/>
  <c r="K43" i="2"/>
  <c r="J43" i="2"/>
  <c r="I43" i="2"/>
  <c r="H43" i="2"/>
  <c r="G43" i="2"/>
  <c r="P42" i="2"/>
  <c r="O42" i="2"/>
  <c r="L42" i="2"/>
  <c r="K42" i="2"/>
  <c r="J42" i="2"/>
  <c r="I42" i="2"/>
  <c r="H42" i="2"/>
  <c r="G42" i="2"/>
  <c r="P41" i="2"/>
  <c r="O41" i="2"/>
  <c r="L41" i="2"/>
  <c r="K41" i="2"/>
  <c r="J41" i="2"/>
  <c r="I41" i="2"/>
  <c r="H41" i="2"/>
  <c r="G41" i="2"/>
  <c r="P40" i="2"/>
  <c r="O40" i="2"/>
  <c r="L40" i="2"/>
  <c r="K40" i="2"/>
  <c r="J40" i="2"/>
  <c r="I40" i="2"/>
  <c r="H40" i="2"/>
  <c r="G40" i="2"/>
  <c r="P39" i="2"/>
  <c r="O39" i="2"/>
  <c r="L39" i="2"/>
  <c r="K39" i="2"/>
  <c r="J39" i="2"/>
  <c r="I39" i="2"/>
  <c r="H39" i="2"/>
  <c r="G39" i="2"/>
  <c r="P38" i="2"/>
  <c r="O38" i="2"/>
  <c r="L38" i="2"/>
  <c r="K38" i="2"/>
  <c r="J38" i="2"/>
  <c r="I38" i="2"/>
  <c r="H38" i="2"/>
  <c r="G38" i="2"/>
  <c r="P37" i="2"/>
  <c r="O37" i="2"/>
  <c r="L37" i="2"/>
  <c r="K37" i="2"/>
  <c r="J37" i="2"/>
  <c r="I37" i="2"/>
  <c r="H37" i="2"/>
  <c r="G37" i="2"/>
  <c r="P36" i="2"/>
  <c r="O36" i="2"/>
  <c r="L36" i="2"/>
  <c r="K36" i="2"/>
  <c r="J36" i="2"/>
  <c r="I36" i="2"/>
  <c r="H36" i="2"/>
  <c r="G36" i="2"/>
  <c r="P35" i="2"/>
  <c r="O35" i="2"/>
  <c r="L35" i="2"/>
  <c r="K35" i="2"/>
  <c r="J35" i="2"/>
  <c r="I35" i="2"/>
  <c r="H35" i="2"/>
  <c r="G35" i="2"/>
  <c r="P34" i="2"/>
  <c r="O34" i="2"/>
  <c r="L34" i="2"/>
  <c r="K34" i="2"/>
  <c r="J34" i="2"/>
  <c r="I34" i="2"/>
  <c r="H34" i="2"/>
  <c r="G34" i="2"/>
  <c r="P33" i="2"/>
  <c r="O33" i="2"/>
  <c r="L33" i="2"/>
  <c r="K33" i="2"/>
  <c r="J33" i="2"/>
  <c r="I33" i="2"/>
  <c r="H33" i="2"/>
  <c r="G33" i="2"/>
  <c r="P32" i="2"/>
  <c r="O32" i="2"/>
  <c r="L32" i="2"/>
  <c r="K32" i="2"/>
  <c r="J32" i="2"/>
  <c r="I32" i="2"/>
  <c r="H32" i="2"/>
  <c r="G32" i="2"/>
  <c r="P31" i="2"/>
  <c r="O31" i="2"/>
  <c r="L31" i="2"/>
  <c r="K31" i="2"/>
  <c r="J31" i="2"/>
  <c r="I31" i="2"/>
  <c r="H31" i="2"/>
  <c r="G31" i="2"/>
  <c r="P30" i="2"/>
  <c r="O30" i="2"/>
  <c r="L30" i="2"/>
  <c r="K30" i="2"/>
  <c r="J30" i="2"/>
  <c r="I30" i="2"/>
  <c r="H30" i="2"/>
  <c r="G30" i="2"/>
  <c r="P29" i="2"/>
  <c r="O29" i="2"/>
  <c r="L29" i="2"/>
  <c r="K29" i="2"/>
  <c r="J29" i="2"/>
  <c r="I29" i="2"/>
  <c r="H29" i="2"/>
  <c r="G29" i="2"/>
  <c r="P28" i="2"/>
  <c r="O28" i="2"/>
  <c r="L28" i="2"/>
  <c r="K28" i="2"/>
  <c r="J28" i="2"/>
  <c r="I28" i="2"/>
  <c r="H28" i="2"/>
  <c r="G28" i="2"/>
  <c r="P27" i="2"/>
  <c r="O27" i="2"/>
  <c r="L27" i="2"/>
  <c r="K27" i="2"/>
  <c r="J27" i="2"/>
  <c r="I27" i="2"/>
  <c r="H27" i="2"/>
  <c r="G27" i="2"/>
  <c r="P26" i="2"/>
  <c r="O26" i="2"/>
  <c r="L26" i="2"/>
  <c r="K26" i="2"/>
  <c r="J26" i="2"/>
  <c r="I26" i="2"/>
  <c r="H26" i="2"/>
  <c r="G26" i="2"/>
  <c r="P25" i="2"/>
  <c r="O25" i="2"/>
  <c r="L25" i="2"/>
  <c r="K25" i="2"/>
  <c r="J25" i="2"/>
  <c r="I25" i="2"/>
  <c r="H25" i="2"/>
  <c r="G25" i="2"/>
  <c r="P24" i="2"/>
  <c r="O24" i="2"/>
  <c r="L24" i="2"/>
  <c r="K24" i="2"/>
  <c r="J24" i="2"/>
  <c r="I24" i="2"/>
  <c r="H24" i="2"/>
  <c r="G24" i="2"/>
  <c r="P23" i="2"/>
  <c r="O23" i="2"/>
  <c r="L23" i="2"/>
  <c r="K23" i="2"/>
  <c r="J23" i="2"/>
  <c r="I23" i="2"/>
  <c r="H23" i="2"/>
  <c r="G23" i="2"/>
  <c r="P22" i="2"/>
  <c r="O22" i="2"/>
  <c r="L22" i="2"/>
  <c r="K22" i="2"/>
  <c r="J22" i="2"/>
  <c r="I22" i="2"/>
  <c r="H22" i="2"/>
  <c r="G22" i="2"/>
  <c r="P21" i="2"/>
  <c r="O21" i="2"/>
  <c r="L21" i="2"/>
  <c r="K21" i="2"/>
  <c r="J21" i="2"/>
  <c r="I21" i="2"/>
  <c r="H21" i="2"/>
  <c r="G21" i="2"/>
  <c r="P20" i="2"/>
  <c r="O20" i="2"/>
  <c r="L20" i="2"/>
  <c r="K20" i="2"/>
  <c r="J20" i="2"/>
  <c r="I20" i="2"/>
  <c r="H20" i="2"/>
  <c r="G20" i="2"/>
  <c r="P19" i="2"/>
  <c r="O19" i="2"/>
  <c r="L19" i="2"/>
  <c r="K19" i="2"/>
  <c r="J19" i="2"/>
  <c r="I19" i="2"/>
  <c r="H19" i="2"/>
  <c r="G19" i="2"/>
  <c r="P18" i="2"/>
  <c r="O18" i="2"/>
  <c r="L18" i="2"/>
  <c r="K18" i="2"/>
  <c r="J18" i="2"/>
  <c r="I18" i="2"/>
  <c r="H18" i="2"/>
  <c r="G18" i="2"/>
  <c r="P17" i="2"/>
  <c r="O17" i="2"/>
  <c r="L17" i="2"/>
  <c r="K17" i="2"/>
  <c r="J17" i="2"/>
  <c r="I17" i="2"/>
  <c r="H17" i="2"/>
  <c r="G17" i="2"/>
  <c r="P16" i="2"/>
  <c r="O16" i="2"/>
  <c r="L16" i="2"/>
  <c r="K16" i="2"/>
  <c r="J16" i="2"/>
  <c r="I16" i="2"/>
  <c r="H16" i="2"/>
  <c r="G16" i="2"/>
  <c r="P15" i="2"/>
  <c r="O15" i="2"/>
  <c r="L15" i="2"/>
  <c r="K15" i="2"/>
  <c r="J15" i="2"/>
  <c r="I15" i="2"/>
  <c r="H15" i="2"/>
  <c r="G15" i="2"/>
  <c r="P14" i="2"/>
  <c r="O14" i="2"/>
  <c r="L14" i="2"/>
  <c r="K14" i="2"/>
  <c r="J14" i="2"/>
  <c r="I14" i="2"/>
  <c r="H14" i="2"/>
  <c r="G14" i="2"/>
  <c r="P13" i="2"/>
  <c r="O13" i="2"/>
  <c r="L13" i="2"/>
  <c r="K13" i="2"/>
  <c r="N13" i="2" s="1"/>
  <c r="J13" i="2"/>
  <c r="I13" i="2"/>
  <c r="H13" i="2"/>
  <c r="G13" i="2"/>
  <c r="P12" i="2"/>
  <c r="O12" i="2"/>
  <c r="L12" i="2"/>
  <c r="K12" i="2"/>
  <c r="J12" i="2"/>
  <c r="I12" i="2"/>
  <c r="H12" i="2"/>
  <c r="G12" i="2"/>
  <c r="P11" i="2"/>
  <c r="O11" i="2"/>
  <c r="L11" i="2"/>
  <c r="K11" i="2"/>
  <c r="J11" i="2"/>
  <c r="I11" i="2"/>
  <c r="H11" i="2"/>
  <c r="G11" i="2"/>
  <c r="P10" i="2"/>
  <c r="O10" i="2"/>
  <c r="L10" i="2"/>
  <c r="K10" i="2"/>
  <c r="J10" i="2"/>
  <c r="I10" i="2"/>
  <c r="H10" i="2"/>
  <c r="G10" i="2"/>
  <c r="P9" i="2"/>
  <c r="O9" i="2"/>
  <c r="L9" i="2"/>
  <c r="K9" i="2"/>
  <c r="J9" i="2"/>
  <c r="I9" i="2"/>
  <c r="H9" i="2"/>
  <c r="G9" i="2"/>
  <c r="P8" i="2"/>
  <c r="O8" i="2"/>
  <c r="L8" i="2"/>
  <c r="K8" i="2"/>
  <c r="J8" i="2"/>
  <c r="I8" i="2"/>
  <c r="H8" i="2"/>
  <c r="G8" i="2"/>
  <c r="P7" i="2"/>
  <c r="O7" i="2"/>
  <c r="L7" i="2"/>
  <c r="K7" i="2"/>
  <c r="J7" i="2"/>
  <c r="I7" i="2"/>
  <c r="H7" i="2"/>
  <c r="G7" i="2"/>
  <c r="P6" i="2"/>
  <c r="O6" i="2"/>
  <c r="L6" i="2"/>
  <c r="K6" i="2"/>
  <c r="J6" i="2"/>
  <c r="I6" i="2"/>
  <c r="H6" i="2"/>
  <c r="G6" i="2"/>
  <c r="P5" i="2"/>
  <c r="O5" i="2"/>
  <c r="L5" i="2"/>
  <c r="K5" i="2"/>
  <c r="J5" i="2"/>
  <c r="I5" i="2"/>
  <c r="H5" i="2"/>
  <c r="G5" i="2"/>
  <c r="H77" i="1"/>
  <c r="G77" i="1"/>
  <c r="E77" i="1"/>
  <c r="D77" i="1"/>
  <c r="F77" i="1" s="1"/>
  <c r="C77" i="1"/>
  <c r="H76" i="1"/>
  <c r="G76" i="1"/>
  <c r="E76" i="1"/>
  <c r="D76" i="1"/>
  <c r="C76" i="1"/>
  <c r="H75" i="1"/>
  <c r="G75" i="1"/>
  <c r="E75" i="1"/>
  <c r="D75" i="1"/>
  <c r="C75" i="1"/>
  <c r="H74" i="1"/>
  <c r="G74" i="1"/>
  <c r="E74" i="1"/>
  <c r="D74" i="1"/>
  <c r="F74" i="1" s="1"/>
  <c r="C74" i="1"/>
  <c r="G73" i="1"/>
  <c r="E73" i="1"/>
  <c r="D73" i="1"/>
  <c r="C73" i="1"/>
  <c r="H72" i="1"/>
  <c r="G72" i="1"/>
  <c r="E72" i="1"/>
  <c r="D72" i="1"/>
  <c r="F72" i="1" s="1"/>
  <c r="C72" i="1"/>
  <c r="E65" i="1"/>
  <c r="H55" i="1"/>
  <c r="F55" i="1"/>
  <c r="E55" i="1"/>
  <c r="D55" i="1"/>
  <c r="C55" i="1"/>
  <c r="F54" i="1"/>
  <c r="C54" i="1"/>
  <c r="E53" i="1"/>
  <c r="D53" i="1"/>
  <c r="C53" i="1"/>
  <c r="F52" i="1"/>
  <c r="G52" i="1" s="1"/>
  <c r="E52" i="1"/>
  <c r="C52" i="1"/>
  <c r="F51" i="1"/>
  <c r="E51" i="1"/>
  <c r="D51" i="1"/>
  <c r="C51" i="1"/>
  <c r="C50" i="1"/>
  <c r="F49" i="1"/>
  <c r="D49" i="1"/>
  <c r="C49" i="1"/>
  <c r="I44" i="1"/>
  <c r="H44" i="1"/>
  <c r="G44" i="1"/>
  <c r="F44" i="1"/>
  <c r="E44" i="1"/>
  <c r="D44" i="1"/>
  <c r="C44" i="1"/>
  <c r="I42" i="1"/>
  <c r="C42" i="1"/>
  <c r="I41" i="1"/>
  <c r="E41" i="1"/>
  <c r="C41" i="1"/>
  <c r="I40" i="1"/>
  <c r="D40" i="1"/>
  <c r="C40" i="1"/>
  <c r="I39" i="1"/>
  <c r="D39" i="1"/>
  <c r="C39" i="1"/>
  <c r="I38" i="1"/>
  <c r="E38" i="1"/>
  <c r="C38" i="1"/>
  <c r="I37" i="1"/>
  <c r="E37" i="1"/>
  <c r="D37" i="1"/>
  <c r="C37" i="1"/>
  <c r="I36" i="1"/>
  <c r="E36" i="1"/>
  <c r="C36" i="1"/>
  <c r="I35" i="1"/>
  <c r="E35" i="1"/>
  <c r="D35" i="1"/>
  <c r="C35" i="1"/>
  <c r="I34" i="1"/>
  <c r="C34" i="1"/>
  <c r="H8" i="1"/>
  <c r="F8" i="1"/>
  <c r="D28" i="1" l="1"/>
  <c r="E26" i="1"/>
  <c r="F24" i="1"/>
  <c r="F23" i="1"/>
  <c r="C27" i="1"/>
  <c r="G28" i="1"/>
  <c r="D23" i="1"/>
  <c r="G26" i="1"/>
  <c r="C23" i="1"/>
  <c r="F26" i="1"/>
  <c r="C28" i="1"/>
  <c r="D26" i="1"/>
  <c r="E24" i="1"/>
  <c r="H29" i="1"/>
  <c r="C26" i="1"/>
  <c r="D24" i="1"/>
  <c r="G29" i="1"/>
  <c r="H27" i="1"/>
  <c r="H25" i="1"/>
  <c r="C24" i="1"/>
  <c r="F29" i="1"/>
  <c r="G27" i="1"/>
  <c r="G25" i="1"/>
  <c r="E29" i="1"/>
  <c r="F27" i="1"/>
  <c r="F25" i="1"/>
  <c r="H23" i="1"/>
  <c r="D29" i="1"/>
  <c r="E27" i="1"/>
  <c r="E25" i="1"/>
  <c r="G23" i="1"/>
  <c r="C29" i="1"/>
  <c r="D27" i="1"/>
  <c r="D25" i="1"/>
  <c r="H28" i="1"/>
  <c r="C25" i="1"/>
  <c r="E23" i="1"/>
  <c r="H26" i="1"/>
  <c r="F28" i="1"/>
  <c r="H24" i="1"/>
  <c r="E28" i="1"/>
  <c r="G24" i="1"/>
  <c r="H18" i="1"/>
  <c r="H16" i="1"/>
  <c r="H14" i="1"/>
  <c r="C13" i="1"/>
  <c r="G18" i="1"/>
  <c r="G16" i="1"/>
  <c r="G14" i="1"/>
  <c r="F17" i="1"/>
  <c r="E15" i="1"/>
  <c r="C15" i="1"/>
  <c r="F18" i="1"/>
  <c r="F16" i="1"/>
  <c r="F14" i="1"/>
  <c r="C14" i="1"/>
  <c r="H13" i="1"/>
  <c r="G13" i="1"/>
  <c r="D15" i="1"/>
  <c r="D13" i="1"/>
  <c r="E18" i="1"/>
  <c r="E16" i="1"/>
  <c r="E14" i="1"/>
  <c r="C16" i="1"/>
  <c r="H15" i="1"/>
  <c r="G15" i="1"/>
  <c r="E17" i="1"/>
  <c r="E13" i="1"/>
  <c r="D18" i="1"/>
  <c r="D16" i="1"/>
  <c r="D14" i="1"/>
  <c r="C18" i="1"/>
  <c r="H17" i="1"/>
  <c r="G17" i="1"/>
  <c r="F15" i="1"/>
  <c r="F13" i="1"/>
  <c r="C17" i="1"/>
  <c r="D17" i="1"/>
  <c r="F50" i="1"/>
  <c r="M15" i="2"/>
  <c r="M16" i="2"/>
  <c r="M22" i="2"/>
  <c r="M29" i="2"/>
  <c r="M30" i="2"/>
  <c r="M36" i="2"/>
  <c r="M37" i="2"/>
  <c r="M38" i="2"/>
  <c r="M41" i="2"/>
  <c r="M46" i="2"/>
  <c r="M47" i="2"/>
  <c r="M48" i="2"/>
  <c r="M58" i="2"/>
  <c r="G54" i="1"/>
  <c r="G49" i="1"/>
  <c r="G62" i="1"/>
  <c r="H63" i="1"/>
  <c r="G50" i="1"/>
  <c r="G51" i="1"/>
  <c r="G65" i="1"/>
  <c r="G55" i="1"/>
  <c r="T10" i="3"/>
  <c r="U12" i="3"/>
  <c r="D63" i="1"/>
  <c r="F76" i="1"/>
  <c r="N33" i="2"/>
  <c r="N40" i="2"/>
  <c r="N57" i="2"/>
  <c r="N72" i="2"/>
  <c r="N73" i="2"/>
  <c r="N74" i="2"/>
  <c r="N54" i="2"/>
  <c r="N41" i="2"/>
  <c r="N42" i="2"/>
  <c r="N47" i="2"/>
  <c r="N49" i="2"/>
  <c r="N71" i="2"/>
  <c r="N59" i="2"/>
  <c r="T9" i="3"/>
  <c r="F37" i="1" s="1"/>
  <c r="F62" i="1"/>
  <c r="F73" i="1"/>
  <c r="M6" i="2"/>
  <c r="M9" i="2"/>
  <c r="M10" i="2"/>
  <c r="F53" i="1"/>
  <c r="G53" i="1" s="1"/>
  <c r="T14" i="3"/>
  <c r="U15" i="3"/>
  <c r="N14" i="2"/>
  <c r="N20" i="2"/>
  <c r="N38" i="2"/>
  <c r="M59" i="2"/>
  <c r="M65" i="2"/>
  <c r="M66" i="2"/>
  <c r="M67" i="2"/>
  <c r="M68" i="2"/>
  <c r="M72" i="2"/>
  <c r="M75" i="2"/>
  <c r="N50" i="2"/>
  <c r="N52" i="2"/>
  <c r="N55" i="2"/>
  <c r="N56" i="2"/>
  <c r="M76" i="2"/>
  <c r="T12" i="3"/>
  <c r="H78" i="2"/>
  <c r="N58" i="2"/>
  <c r="C65" i="1"/>
  <c r="M21" i="2"/>
  <c r="M23" i="2"/>
  <c r="M33" i="2"/>
  <c r="M5" i="2"/>
  <c r="M8" i="2"/>
  <c r="M12" i="2"/>
  <c r="C78" i="1"/>
  <c r="M34" i="2"/>
  <c r="M35" i="2"/>
  <c r="N60" i="2"/>
  <c r="N61" i="2"/>
  <c r="N62" i="2"/>
  <c r="N64" i="2"/>
  <c r="N67" i="2"/>
  <c r="N68" i="2"/>
  <c r="M39" i="2"/>
  <c r="M40" i="2"/>
  <c r="N6" i="2"/>
  <c r="N8" i="2"/>
  <c r="N11" i="2"/>
  <c r="N15" i="2"/>
  <c r="M45" i="2"/>
  <c r="N75" i="2"/>
  <c r="D8" i="1" a="1"/>
  <c r="D8" i="1" s="1"/>
  <c r="F75" i="1"/>
  <c r="M51" i="2"/>
  <c r="M52" i="2"/>
  <c r="N76" i="2"/>
  <c r="N34" i="2"/>
  <c r="N35" i="2"/>
  <c r="N36" i="2"/>
  <c r="M69" i="2"/>
  <c r="M70" i="2"/>
  <c r="M71" i="2"/>
  <c r="N18" i="2"/>
  <c r="N21" i="2"/>
  <c r="N26" i="2"/>
  <c r="N28" i="2"/>
  <c r="N31" i="2"/>
  <c r="N32" i="2"/>
  <c r="H6" i="1"/>
  <c r="N39" i="2"/>
  <c r="G78" i="2"/>
  <c r="N23" i="2"/>
  <c r="N25" i="2"/>
  <c r="E64" i="1"/>
  <c r="N63" i="2"/>
  <c r="E78" i="1"/>
  <c r="N43" i="2"/>
  <c r="N44" i="2"/>
  <c r="N45" i="2"/>
  <c r="N27" i="2"/>
  <c r="M31" i="2"/>
  <c r="M32" i="2"/>
  <c r="C56" i="1"/>
  <c r="N7" i="2"/>
  <c r="M14" i="2"/>
  <c r="N46" i="2"/>
  <c r="M50" i="2"/>
  <c r="D56" i="1"/>
  <c r="H62" i="1"/>
  <c r="N9" i="2"/>
  <c r="N29" i="2"/>
  <c r="N65" i="2"/>
  <c r="U6" i="3"/>
  <c r="G34" i="1" s="1"/>
  <c r="I62" i="1"/>
  <c r="N12" i="2"/>
  <c r="N30" i="2"/>
  <c r="N48" i="2"/>
  <c r="M57" i="2"/>
  <c r="N66" i="2"/>
  <c r="T6" i="3"/>
  <c r="N22" i="2"/>
  <c r="M53" i="2"/>
  <c r="M54" i="2"/>
  <c r="D77" i="4"/>
  <c r="F63" i="1"/>
  <c r="M17" i="2"/>
  <c r="M18" i="2"/>
  <c r="M42" i="2"/>
  <c r="N51" i="2"/>
  <c r="N69" i="2"/>
  <c r="N70" i="2"/>
  <c r="M73" i="2"/>
  <c r="M74" i="2"/>
  <c r="U7" i="3"/>
  <c r="D79" i="4"/>
  <c r="U8" i="3"/>
  <c r="U11" i="3"/>
  <c r="G39" i="1" s="1"/>
  <c r="N16" i="2"/>
  <c r="M27" i="2"/>
  <c r="M28" i="2"/>
  <c r="N53" i="2"/>
  <c r="M63" i="2"/>
  <c r="M64" i="2"/>
  <c r="O77" i="2"/>
  <c r="O78" i="2" s="1"/>
  <c r="T8" i="3"/>
  <c r="U13" i="3"/>
  <c r="G41" i="1" s="1"/>
  <c r="U14" i="3"/>
  <c r="G42" i="1" s="1"/>
  <c r="P77" i="2"/>
  <c r="P78" i="2" s="1"/>
  <c r="N19" i="2"/>
  <c r="M24" i="2"/>
  <c r="M25" i="2"/>
  <c r="M26" i="2"/>
  <c r="M44" i="2"/>
  <c r="M60" i="2"/>
  <c r="M62" i="2"/>
  <c r="M11" i="2"/>
  <c r="E62" i="1"/>
  <c r="D36" i="1"/>
  <c r="N10" i="2"/>
  <c r="E56" i="1"/>
  <c r="D42" i="1"/>
  <c r="D78" i="1"/>
  <c r="G78" i="1"/>
  <c r="F78" i="2"/>
  <c r="N37" i="2"/>
  <c r="N24" i="2"/>
  <c r="I77" i="2"/>
  <c r="M77" i="2" s="1"/>
  <c r="D64" i="1"/>
  <c r="D38" i="1"/>
  <c r="N5" i="2"/>
  <c r="L78" i="2"/>
  <c r="N17" i="2"/>
  <c r="C63" i="1"/>
  <c r="M61" i="2"/>
  <c r="U10" i="3"/>
  <c r="G38" i="1" s="1"/>
  <c r="E63" i="1"/>
  <c r="D65" i="1"/>
  <c r="M19" i="2"/>
  <c r="M55" i="2"/>
  <c r="M20" i="2"/>
  <c r="M56" i="2"/>
  <c r="J77" i="2"/>
  <c r="J78" i="2" s="1"/>
  <c r="E34" i="1"/>
  <c r="G63" i="1"/>
  <c r="F65" i="1"/>
  <c r="M13" i="2"/>
  <c r="M49" i="2"/>
  <c r="T15" i="3"/>
  <c r="F43" i="1" s="1"/>
  <c r="C62" i="1"/>
  <c r="I63" i="1"/>
  <c r="H65" i="1"/>
  <c r="M7" i="2"/>
  <c r="M43" i="2"/>
  <c r="T7" i="3"/>
  <c r="T11" i="3"/>
  <c r="T13" i="3"/>
  <c r="E40" i="1"/>
  <c r="D62" i="1"/>
  <c r="C64" i="1"/>
  <c r="U9" i="3"/>
  <c r="D78" i="4"/>
  <c r="I28" i="1" l="1"/>
  <c r="I14" i="1"/>
  <c r="I25" i="1"/>
  <c r="I23" i="1"/>
  <c r="I16" i="1"/>
  <c r="I24" i="1"/>
  <c r="I26" i="1"/>
  <c r="I29" i="1"/>
  <c r="I27" i="1"/>
  <c r="I17" i="1"/>
  <c r="I15" i="1"/>
  <c r="I13" i="1"/>
  <c r="I18" i="1"/>
  <c r="H50" i="1"/>
  <c r="G43" i="1"/>
  <c r="G40" i="1"/>
  <c r="H53" i="1"/>
  <c r="V15" i="3"/>
  <c r="D81" i="4"/>
  <c r="F56" i="1"/>
  <c r="G56" i="1" s="1"/>
  <c r="H54" i="1"/>
  <c r="F78" i="1"/>
  <c r="V12" i="3"/>
  <c r="F40" i="1"/>
  <c r="G36" i="1"/>
  <c r="H51" i="1"/>
  <c r="H49" i="1"/>
  <c r="G35" i="1"/>
  <c r="V13" i="3"/>
  <c r="F41" i="1"/>
  <c r="V11" i="3"/>
  <c r="F39" i="1"/>
  <c r="V6" i="3"/>
  <c r="F34" i="1"/>
  <c r="F64" i="1"/>
  <c r="F66" i="1" s="1"/>
  <c r="V7" i="3"/>
  <c r="F35" i="1"/>
  <c r="F36" i="1"/>
  <c r="V8" i="3"/>
  <c r="H52" i="1"/>
  <c r="V9" i="3"/>
  <c r="G64" i="1"/>
  <c r="G66" i="1" s="1"/>
  <c r="G37" i="1"/>
  <c r="E66" i="1"/>
  <c r="I78" i="2"/>
  <c r="D66" i="1"/>
  <c r="C66" i="1"/>
  <c r="F38" i="1"/>
  <c r="V10" i="3"/>
  <c r="B6" i="1"/>
  <c r="D6" i="1"/>
  <c r="V14" i="3"/>
  <c r="F42" i="1"/>
  <c r="W15" i="3" l="1"/>
  <c r="H43" i="1"/>
  <c r="H56" i="1"/>
  <c r="W12" i="3"/>
  <c r="H40" i="1"/>
  <c r="W8" i="3"/>
  <c r="H36" i="1"/>
  <c r="W10" i="3"/>
  <c r="H38" i="1"/>
  <c r="H35" i="1"/>
  <c r="W7" i="3"/>
  <c r="H34" i="1"/>
  <c r="W6" i="3"/>
  <c r="K77" i="2"/>
  <c r="H73" i="1"/>
  <c r="H78" i="1" s="1"/>
  <c r="I64" i="1"/>
  <c r="I66" i="1" s="1"/>
  <c r="I65" i="1"/>
  <c r="H64" i="1"/>
  <c r="H66" i="1" s="1"/>
  <c r="H39" i="1"/>
  <c r="W11" i="3"/>
  <c r="H37" i="1"/>
  <c r="W9" i="3"/>
  <c r="H41" i="1"/>
  <c r="W13" i="3"/>
  <c r="W14" i="3"/>
  <c r="H42" i="1"/>
  <c r="N77" i="2" l="1"/>
  <c r="B8" i="1"/>
  <c r="F6" i="1"/>
  <c r="K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tc={FEF935A7-2AAE-4C06-987A-418CB11DC58F}</author>
  </authors>
  <commentList>
    <comment ref="D8" authorId="0" shapeId="0" xr:uid="{FEF935A7-2AAE-4C06-987A-418CB11DC58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any Portfolio-Wide initiative exists, counts properties acquired by that initiative's date. Otherwise counts distinct properties with any logged initiative.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<sst xmlns="http://schemas.openxmlformats.org/spreadsheetml/2006/main" count="1128" uniqueCount="647">
  <si>
    <t xml:space="preserve">  As of: July 24, 2026  |  All figures from property renovation capital initiatives</t>
  </si>
  <si>
    <t>PORTFOLIO-WIDE IMPACT  (Completed Initiatives)</t>
  </si>
  <si>
    <t>Annual kWh Saved</t>
  </si>
  <si>
    <t>Annual Gallons Saved</t>
  </si>
  <si>
    <t>Annual $ Savings</t>
  </si>
  <si>
    <t>Total Capital Deployed</t>
  </si>
  <si>
    <t>Total Initiatives Logged</t>
  </si>
  <si>
    <t>Completed Initiatives</t>
  </si>
  <si>
    <t>SAVINGS BY FUND</t>
  </si>
  <si>
    <t>Fund</t>
  </si>
  <si>
    <t>Properties</t>
  </si>
  <si>
    <t>Annual Gal Saved</t>
  </si>
  <si>
    <t>Total Capital</t>
  </si>
  <si>
    <t>Payback (yrs)</t>
  </si>
  <si>
    <t>SAVINGS BY REGION</t>
  </si>
  <si>
    <t>SAVINGS BY INITIATIVE TYPE</t>
  </si>
  <si>
    <t>Initiative Type</t>
  </si>
  <si>
    <t># Completed</t>
  </si>
  <si>
    <t>Annual Energy $</t>
  </si>
  <si>
    <t>Annual Water $</t>
  </si>
  <si>
    <t>Total Annual $</t>
  </si>
  <si>
    <t>LED Lighting</t>
  </si>
  <si>
    <t>Low-Flow Toilet</t>
  </si>
  <si>
    <t>Low-Flow Faucet (Bathroom)</t>
  </si>
  <si>
    <t>Low-Flow Faucet (Kitchen)</t>
  </si>
  <si>
    <t>Energy Star Refrigerator</t>
  </si>
  <si>
    <t>Energy Star Range</t>
  </si>
  <si>
    <t>Energy Star Dishwasher</t>
  </si>
  <si>
    <t>Energy Star Washer/Dryer</t>
  </si>
  <si>
    <t>Energy Star AC Unit</t>
  </si>
  <si>
    <t>Other</t>
  </si>
  <si>
    <t>WATER CONSERVATION</t>
  </si>
  <si>
    <t>Baseline Water Use
(gal/yr)</t>
  </si>
  <si>
    <t>Current Water Use
(gal/yr)</t>
  </si>
  <si>
    <t>Water Saved
(gal/yr)</t>
  </si>
  <si>
    <t>Water Saved
(%)</t>
  </si>
  <si>
    <t>Annual Water
$ Savings</t>
  </si>
  <si>
    <t>Low-Flow Shower Head</t>
  </si>
  <si>
    <t>PORTFOLIO TOTAL</t>
  </si>
  <si>
    <t>ANNUAL PERFORMANCE SUMMARY  (Completed Initiatives by Calendar Year)</t>
  </si>
  <si>
    <t>Tip: Filter Initiative Log by Fiscal Year (col AA) or Quarter (col AB) for period-specific views.</t>
  </si>
  <si>
    <t>Year</t>
  </si>
  <si>
    <t># Initiatives
Completed</t>
  </si>
  <si>
    <t>Annual kWh
Saved</t>
  </si>
  <si>
    <t>Annual Gal
Saved</t>
  </si>
  <si>
    <t>Annual Energy
$ Savings</t>
  </si>
  <si>
    <t>Total Annual
$ Savings</t>
  </si>
  <si>
    <t>Cumulative
$ Savings</t>
  </si>
  <si>
    <t>ALL YEARS</t>
  </si>
  <si>
    <t>RENOVATION PROGRESS BY UNIT TYPE  (All Logged Initiatives)</t>
  </si>
  <si>
    <t>Tracks units planned and completed per initiative.  Update 'Units Planned' (col AD) and 'Units Renovated' (col AE) in Initiative Log to reflect progress.</t>
  </si>
  <si>
    <t>Unit Type</t>
  </si>
  <si>
    <t># Initiatives
Logged</t>
  </si>
  <si>
    <t>Units
Planned</t>
  </si>
  <si>
    <t>Units
Renovated</t>
  </si>
  <si>
    <t>% Renovation
Complete</t>
  </si>
  <si>
    <t>Completed
Initiatives</t>
  </si>
  <si>
    <t>Annual $
Savings (Comp.)</t>
  </si>
  <si>
    <t>Studio</t>
  </si>
  <si>
    <t>1 Bedroom</t>
  </si>
  <si>
    <t>2 Bedroom</t>
  </si>
  <si>
    <t>3 Bedroom</t>
  </si>
  <si>
    <t>Mixed</t>
  </si>
  <si>
    <t>Common Area</t>
  </si>
  <si>
    <t>Property-Level ESG Savings Summary - Completed Initiatives</t>
  </si>
  <si>
    <t>Property</t>
  </si>
  <si>
    <t>Region</t>
  </si>
  <si>
    <t>State</t>
  </si>
  <si>
    <t>Total Units</t>
  </si>
  <si>
    <t># Initiatives
(All)</t>
  </si>
  <si>
    <t>Annual $
Savings</t>
  </si>
  <si>
    <t>Total
Capital Cost</t>
  </si>
  <si>
    <t>kWh / Unit</t>
  </si>
  <si>
    <t>Baseline Water
(gal/yr)</t>
  </si>
  <si>
    <t>New Water
(gal/yr)</t>
  </si>
  <si>
    <t xml:space="preserve">  Enter one row per ESG initiative per property.  Blue text = editable input cells.  Black text = auto-calculated formulas - do not edit. </t>
  </si>
  <si>
    <t>ID</t>
  </si>
  <si>
    <t>DATE</t>
  </si>
  <si>
    <t>PROPERTY INFO</t>
  </si>
  <si>
    <t>INITIATIVE</t>
  </si>
  <si>
    <t>STATUS</t>
  </si>
  <si>
    <t>QUANTITY INPUTS</t>
  </si>
  <si>
    <t>COST</t>
  </si>
  <si>
    <t>SAVINGS CALCULATION</t>
  </si>
  <si>
    <t>ANNUAL $ IMPACT</t>
  </si>
  <si>
    <t>PAYBACK</t>
  </si>
  <si>
    <t>NOTES</t>
  </si>
  <si>
    <t>BEFORE &amp; AFTER WATER</t>
  </si>
  <si>
    <t>PERIOD</t>
  </si>
  <si>
    <t>RENOVATION PROGRESS</t>
  </si>
  <si>
    <t>#</t>
  </si>
  <si>
    <t>Date Logged</t>
  </si>
  <si>
    <t>Category</t>
  </si>
  <si>
    <t>Status</t>
  </si>
  <si>
    <t>Completion Date</t>
  </si>
  <si>
    <t>Qty</t>
  </si>
  <si>
    <t>Hrs/Day
(LED)</t>
  </si>
  <si>
    <t>Upfront Cost ($)</t>
  </si>
  <si>
    <t>Elec Rate
($/kWh)</t>
  </si>
  <si>
    <t>Water Rate
($/gal)</t>
  </si>
  <si>
    <t>Payback
(yrs)</t>
  </si>
  <si>
    <t>Notes</t>
  </si>
  <si>
    <t>Fiscal
Year</t>
  </si>
  <si>
    <t>Quarter</t>
  </si>
  <si>
    <t xml:space="preserve">% Complete
</t>
  </si>
  <si>
    <t>Completed</t>
  </si>
  <si>
    <t>ESG Tracker - Assumptions &amp; Reference Tables</t>
  </si>
  <si>
    <t>A.  LED LIGHTING</t>
  </si>
  <si>
    <t>A1. Fixture Specifications   (Source: Green Items List 2025-11-13)</t>
  </si>
  <si>
    <t>Fixture</t>
  </si>
  <si>
    <t>Old Watts</t>
  </si>
  <si>
    <t>New Watts</t>
  </si>
  <si>
    <t>Watts
Saved</t>
  </si>
  <si>
    <t>Efficiency
(lm/w)</t>
  </si>
  <si>
    <t>Ferguson Part #</t>
  </si>
  <si>
    <t>HD Supply #</t>
  </si>
  <si>
    <t>32" Kitchen Light</t>
  </si>
  <si>
    <t>9211711 / 10049912</t>
  </si>
  <si>
    <t>292936 / 395841</t>
  </si>
  <si>
    <t>10" Ceiling Disk</t>
  </si>
  <si>
    <t>9211702 / 10049910</t>
  </si>
  <si>
    <t>-</t>
  </si>
  <si>
    <t>4 per 1BR unit.</t>
  </si>
  <si>
    <t>14" Ceiling Disk</t>
  </si>
  <si>
    <t>9211719 / 10049911</t>
  </si>
  <si>
    <t>5 per 2BR unit.</t>
  </si>
  <si>
    <t>24" Vanity Bar</t>
  </si>
  <si>
    <t>10075660 / 10049916</t>
  </si>
  <si>
    <t>Bathroom vanity.</t>
  </si>
  <si>
    <t>A2. LED Annual Savings by Unit Type    
Hrs/Day (yellow cells) is an editable input.  Studio and 3BR wattages are estimates - adjust to match your fixture specs.</t>
  </si>
  <si>
    <t>Total Watts
Saved / Unit</t>
  </si>
  <si>
    <t>Hrs/Day</t>
  </si>
  <si>
    <t>kWh Saved /
Unit / yr</t>
  </si>
  <si>
    <t>B.  WATER FIXTURES - BEFORE &amp; AFTER</t>
  </si>
  <si>
    <t>Old Rate</t>
  </si>
  <si>
    <t>New Rate</t>
  </si>
  <si>
    <t>Savings
Rate</t>
  </si>
  <si>
    <t>Unit</t>
  </si>
  <si>
    <t>Usage / Unit / yr</t>
  </si>
  <si>
    <t>BEFORE
gal / unit / yr</t>
  </si>
  <si>
    <t>AFTER
gal / unit / yr</t>
  </si>
  <si>
    <t>SAVINGS
gal / unit / yr</t>
  </si>
  <si>
    <t>Products Used</t>
  </si>
  <si>
    <t>Toilet</t>
  </si>
  <si>
    <t>GPF</t>
  </si>
  <si>
    <t>2,000 flushes/yr
- Basis: 1BR / 1BA, single tenant
- 1 tenant: 1,800-2,000 flushes/yr
- 2 tenants: 3,600-4,000 flushes/yr</t>
  </si>
  <si>
    <t>HD Supply #245812; Ferguson #4783475 / #4384583</t>
  </si>
  <si>
    <t>Shower Head</t>
  </si>
  <si>
    <t>GPM</t>
  </si>
  <si>
    <t>Bathroom Faucet</t>
  </si>
  <si>
    <t>Kitchen Faucet</t>
  </si>
  <si>
    <t>C.  ENERGY STAR APPLIANCES - BEFORE &amp; AFTER</t>
  </si>
  <si>
    <t>Appliance</t>
  </si>
  <si>
    <t>Models (Reno)</t>
  </si>
  <si>
    <t>Models (Turn)</t>
  </si>
  <si>
    <t>Old
kWh/yr</t>
  </si>
  <si>
    <t>New
kWh/yr</t>
  </si>
  <si>
    <t>kWh
Saved</t>
  </si>
  <si>
    <t>Old
Gal/yr</t>
  </si>
  <si>
    <t>New
Gal/yr</t>
  </si>
  <si>
    <t>Gal Saved</t>
  </si>
  <si>
    <t>Basis / Notes</t>
  </si>
  <si>
    <t>Refrigerator</t>
  </si>
  <si>
    <t>GTE18GSNRSS
GTE17GSNRSS</t>
  </si>
  <si>
    <t>GTE18GTNRWW
GTE18GTNRBB</t>
  </si>
  <si>
    <t>Spec: 352-436 kWh/yr (new) vs ~600 kWh/yr (std). GE Energy Star.</t>
  </si>
  <si>
    <t>Range</t>
  </si>
  <si>
    <t>EPA Energy Star certified electric ranges. GE.</t>
  </si>
  <si>
    <t>Dishwasher</t>
  </si>
  <si>
    <t>Energy Star: 270-240 kWh/yr; ~8-5 gal/cycle × 90 cycles/yr.</t>
  </si>
  <si>
    <t>Washing Machine</t>
  </si>
  <si>
    <t>Same</t>
  </si>
  <si>
    <t>GE Energy Star front-load washer. ~370 kWh/yr savings (included in pair total).</t>
  </si>
  <si>
    <t>Dryer</t>
  </si>
  <si>
    <t>WPA12100UC</t>
  </si>
  <si>
    <t>GE Energy Star dryer. ~300 kWh/yr savings (pair total = 670 kWh).</t>
  </si>
  <si>
    <t>AC Unit</t>
  </si>
  <si>
    <t>Energy Star window ACs. Savings vary by BTU. Avg ~250 kWh/yr assumed.</t>
  </si>
  <si>
    <t xml:space="preserve">D.  INITIATIVE SAVINGS LOOKUP TABLE  </t>
  </si>
  <si>
    <t>kWh Saved
/ Unit / yr</t>
  </si>
  <si>
    <t>Gal Saved
/ Unit / yr</t>
  </si>
  <si>
    <t>Baseline
kWh / Unit</t>
  </si>
  <si>
    <t>New
kWh / Unit</t>
  </si>
  <si>
    <t>Baseline
Gal / Unit</t>
  </si>
  <si>
    <t>New
Gal / Unit</t>
  </si>
  <si>
    <t>kWh formula uses watts×hrs×365/1000 (LED section above). No water impact.</t>
  </si>
  <si>
    <t>E.  STATE ELECTRICITY RATES</t>
  </si>
  <si>
    <t>Rate (¢/kWh)</t>
  </si>
  <si>
    <t>Rate ($/kWh) auto</t>
  </si>
  <si>
    <t>Source</t>
  </si>
  <si>
    <t>Estimate</t>
  </si>
  <si>
    <t>F.  STATE WATER RATES</t>
  </si>
  <si>
    <t>Rate ($/1,000 gal)</t>
  </si>
  <si>
    <t>Rate ($/gal) auto</t>
  </si>
  <si>
    <t>G.  PORTFOLIO UNIT COMPOSITION</t>
  </si>
  <si>
    <t>Total # Units
(Portfolio)</t>
  </si>
  <si>
    <t>% of
Portfolio</t>
  </si>
  <si>
    <t>Avg Bedrooms</t>
  </si>
  <si>
    <t>Avg Bathrooms</t>
  </si>
  <si>
    <t>TOTAL</t>
  </si>
  <si>
    <t>Short Name</t>
  </si>
  <si>
    <t>Full Property Name</t>
  </si>
  <si>
    <t>Entity Name</t>
  </si>
  <si>
    <t>Acquisition Date</t>
  </si>
  <si>
    <t>Guide &amp; Tracker Update Procedures</t>
  </si>
  <si>
    <t>1.  OVERVIEW - WHAT THIS TRACKER DOES</t>
  </si>
  <si>
    <t>Purpose</t>
  </si>
  <si>
    <t>Primary outputs</t>
  </si>
  <si>
    <t>Dashboard: portfolio-wide KPIs.  Property Summary: property-level detail.  Initiative Log: full audit trail.</t>
  </si>
  <si>
    <t>Step 1 - Open Initiative Log</t>
  </si>
  <si>
    <t>Go to the 'Initiative Log' tab. This is your primary data entry screen.</t>
  </si>
  <si>
    <t>Step 2 - Add new initiatives</t>
  </si>
  <si>
    <t>Step 3 - Set Status + Completion Date</t>
  </si>
  <si>
    <t>Critical for accuracy</t>
  </si>
  <si>
    <t>Step 4 - Enter Quantity and Cost</t>
  </si>
  <si>
    <t>LED only</t>
  </si>
  <si>
    <t>Step 6 - Review auto-calculated columns</t>
  </si>
  <si>
    <t>Formula cells - read-only</t>
  </si>
  <si>
    <t>Step 7 - Check Fiscal Year &amp; Quarter</t>
  </si>
  <si>
    <t>Cols AA (Year) and AB (Quarter) auto-fill from Completion Date. Verify they look correct.</t>
  </si>
  <si>
    <t>Cols AA and AB</t>
  </si>
  <si>
    <t>Step 8 - Review Dashboard</t>
  </si>
  <si>
    <t>Switch to Dashboard tab. All KPIs, fund/region breakdowns, water before/after, and year-over-year table update automatically.</t>
  </si>
  <si>
    <t>Dashboard tab</t>
  </si>
  <si>
    <t>No manual entry needed</t>
  </si>
  <si>
    <t>3.  ANNUAL REVIEW  (do this after year-end close)</t>
  </si>
  <si>
    <t>Review Year-over-Year table</t>
  </si>
  <si>
    <t>Dashboard -- 'Annual Performance Summary' table. Compare completed initiatives and savings YOY.</t>
  </si>
  <si>
    <t>Validate vs. utility bills</t>
  </si>
  <si>
    <t>Cross-check kWh saved against actual utility bill reductions at completed properties where possible.</t>
  </si>
  <si>
    <t>Update electricity/water rates</t>
  </si>
  <si>
    <t>Go to Assumptions tab -- Sections E (electricity) and F (water). Update rates if EIA data or local rates changed.</t>
  </si>
  <si>
    <t>Assumptions tab</t>
  </si>
  <si>
    <t>Update LED fixture assumptions</t>
  </si>
  <si>
    <t>If new fixtures are being used, update Section A of Assumptions with new wattage and product numbers.</t>
  </si>
  <si>
    <t>Assumptions -- Section A</t>
  </si>
  <si>
    <t>Extend Year-over-Year table</t>
  </si>
  <si>
    <t>If new years are needed, copy a Year row in the Dashboard Annual Summary table and update the year number.</t>
  </si>
  <si>
    <t>Dashboard -- add row</t>
  </si>
  <si>
    <t>4.  MONITORING PROGRESS - KEY METRICS TO WATCH EACH QUARTER</t>
  </si>
  <si>
    <t>Metric</t>
  </si>
  <si>
    <t>Where to Find It</t>
  </si>
  <si>
    <t>Target / Benchmark</t>
  </si>
  <si>
    <t>Action if Off Track</t>
  </si>
  <si>
    <t>Annual kWh Saved (portfolio)</t>
  </si>
  <si>
    <t>Dashboard -- Portfolio-Wide Impact tile</t>
  </si>
  <si>
    <t>Track YOY growth. No fixed target yet.</t>
  </si>
  <si>
    <t>Review Initiative Log for data entry gaps.</t>
  </si>
  <si>
    <t>Annual Gallons Saved (portfolio)</t>
  </si>
  <si>
    <t>Compare vs. 4.03M gal 2025 program baseline.</t>
  </si>
  <si>
    <t>Check water fixture initiatives in Log.</t>
  </si>
  <si>
    <t>Total Annual $ Savings</t>
  </si>
  <si>
    <t>Track cumulative payback progress.</t>
  </si>
  <si>
    <t>Update Assumptions rates if market changed.</t>
  </si>
  <si>
    <t>Water % Reduction (by type)</t>
  </si>
  <si>
    <t>Dashboard -- Water Conservation Before/After</t>
  </si>
  <si>
    <t>Payback Period (avg)</t>
  </si>
  <si>
    <t># Initiatives Completed (YTD)</t>
  </si>
  <si>
    <t>Dashboard -- Annual Performance Summary table</t>
  </si>
  <si>
    <t>Properties with zero completions</t>
  </si>
  <si>
    <t>5.  INITIATIVE LOG - COLUMN REFERENCE</t>
  </si>
  <si>
    <t>Column</t>
  </si>
  <si>
    <t>Field Name</t>
  </si>
  <si>
    <t>Entry Method</t>
  </si>
  <si>
    <t>Auto</t>
  </si>
  <si>
    <t>Auto-numbered. Do not edit.</t>
  </si>
  <si>
    <t>Col B</t>
  </si>
  <si>
    <t>Manual</t>
  </si>
  <si>
    <t>Date this row was entered into the tracker.</t>
  </si>
  <si>
    <t>Col C</t>
  </si>
  <si>
    <t>Dropdown</t>
  </si>
  <si>
    <t>Select from dropdown. Fund/Region/State/Units auto-fill.</t>
  </si>
  <si>
    <t>Fund / Region / State / Units</t>
  </si>
  <si>
    <t>VLOOKUP from Portfolio List. Do not edit.</t>
  </si>
  <si>
    <t>Col I</t>
  </si>
  <si>
    <t>Col J</t>
  </si>
  <si>
    <t>Planned / In Progress / Completed. Only Completed rows count toward savings.</t>
  </si>
  <si>
    <t>Col K</t>
  </si>
  <si>
    <t>Actual date work was done. Drives Fiscal Year (AA) and Quarter (AB).</t>
  </si>
  <si>
    <t>Col L</t>
  </si>
  <si>
    <t># of units, fixtures, or appliances installed.</t>
  </si>
  <si>
    <t>Col M</t>
  </si>
  <si>
    <t>Col N</t>
  </si>
  <si>
    <t>Hrs/Day (LED only)</t>
  </si>
  <si>
    <t>Daily operating hours. Defaults to 3. Editable.</t>
  </si>
  <si>
    <t>Col O</t>
  </si>
  <si>
    <t>Total installed capital cost for this initiative.</t>
  </si>
  <si>
    <t>Col P</t>
  </si>
  <si>
    <t>Formula: watts × hrs × 365 / 1000 × qty (LED) or VLOOKUP × qty (other).</t>
  </si>
  <si>
    <t>Col Q</t>
  </si>
  <si>
    <t>Formula: VLOOKUP from Assumptions × qty.</t>
  </si>
  <si>
    <t>Col R-S</t>
  </si>
  <si>
    <t>Elec/Water Rate</t>
  </si>
  <si>
    <t>VLOOKUP from Assumptions by State. Update rates in Assumptions tab.</t>
  </si>
  <si>
    <t>Col T</t>
  </si>
  <si>
    <t>Annual Energy $ Savings</t>
  </si>
  <si>
    <t>kWh × elec rate.</t>
  </si>
  <si>
    <t>Col U</t>
  </si>
  <si>
    <t>Annual Water $ Savings</t>
  </si>
  <si>
    <t>Gal × water rate.</t>
  </si>
  <si>
    <t>Col V</t>
  </si>
  <si>
    <t>Energy $ + Water $.</t>
  </si>
  <si>
    <t>Col W</t>
  </si>
  <si>
    <t>Upfront Cost / Total Annual $ Savings.</t>
  </si>
  <si>
    <t>Col X</t>
  </si>
  <si>
    <t>Free text. Product model numbers, vendor, scope notes.</t>
  </si>
  <si>
    <t>Col Y</t>
  </si>
  <si>
    <t>Baseline Water (gal/yr)</t>
  </si>
  <si>
    <t>Old flow rate × usage × qty. Used in Before/After water reporting.</t>
  </si>
  <si>
    <t>Col Z</t>
  </si>
  <si>
    <t>New Water (gal/yr)</t>
  </si>
  <si>
    <t>New flow rate × usage × qty. Used in Before/After water reporting.</t>
  </si>
  <si>
    <t>Col AA</t>
  </si>
  <si>
    <t>Fiscal Year</t>
  </si>
  <si>
    <t>YEAR(Completion Date). Used by Year-over-Year dashboard table.</t>
  </si>
  <si>
    <t>Col AB</t>
  </si>
  <si>
    <t>Q1-Q4 from Completion Date month. Used for quarterly filtering.</t>
  </si>
  <si>
    <t>6.  ASSUMPTIONS TAB - WHAT TO UPDATE AND WHEN</t>
  </si>
  <si>
    <t>Section A - LED Lighting</t>
  </si>
  <si>
    <t>Update if new fixture models are introduced with different wattage or hours/day assumptions.</t>
  </si>
  <si>
    <t>Section B - Water Fixtures</t>
  </si>
  <si>
    <t>Reference only. Update if new products with different GPM/GPF are used across the portfolio.</t>
  </si>
  <si>
    <t>Reference table</t>
  </si>
  <si>
    <t>Section C - Energy Star Appliances</t>
  </si>
  <si>
    <t>Reference only. Update kWh/gal figures if newer model specifications differ from listed values.</t>
  </si>
  <si>
    <t>Section D - Initiative Lookup</t>
  </si>
  <si>
    <t>Do not modify structure or row order. Formulas in Initiative Log reference col positions exactly.</t>
  </si>
  <si>
    <t>DO NOT EDIT STRUCTURE</t>
  </si>
  <si>
    <t>Critical - changing rows breaks formulas</t>
  </si>
  <si>
    <t>Section E - Electricity Rates</t>
  </si>
  <si>
    <t>Update annually from EIA.gov (state-level residential/commercial rates).</t>
  </si>
  <si>
    <t>Update annually (Jan)</t>
  </si>
  <si>
    <t>EIA.gov / ElectricChoice</t>
  </si>
  <si>
    <t>Section F - Water Rates</t>
  </si>
  <si>
    <t>Update if local utility rates change significantly. Estimates - verify with each utility.</t>
  </si>
  <si>
    <t>Verify with local utility</t>
  </si>
  <si>
    <t>7.  HOW TO ADD A NEW INITIATIVE TYPE</t>
  </si>
  <si>
    <t>Step 1 - Add row to Assumptions lookup</t>
  </si>
  <si>
    <t>Step 2 - Extend Initiative Log ranges</t>
  </si>
  <si>
    <t>Cols P, Q, Y, Z</t>
  </si>
  <si>
    <t>Must be copied down every used row - not just row 5.</t>
  </si>
  <si>
    <t>Step 3 - Update Category formula</t>
  </si>
  <si>
    <t>Add the new initiative name into the Energy / Water / Both / Other IF logic, then copy down all rows.</t>
  </si>
  <si>
    <t>Formula hardcodes each initiative name - it is not a lookup.</t>
  </si>
  <si>
    <t>Step 4 - Add to dropdown list</t>
  </si>
  <si>
    <t>Append the new initiative name to the data validation list so it appears when selecting Initiative Type.</t>
  </si>
  <si>
    <t>8.  TIPS &amp; BEST PRACTICES</t>
  </si>
  <si>
    <t>Phased rollouts</t>
  </si>
  <si>
    <t>Log each phase as a separate Initiative Log row with its own date and quantity.</t>
  </si>
  <si>
    <t>Multiple initiative types at one property</t>
  </si>
  <si>
    <t>Add a separate row for each type (e.g., LEDs and toilets = two separate rows).</t>
  </si>
  <si>
    <t>Filtering by period</t>
  </si>
  <si>
    <t>Use Excel AutoFilter on col AA (Fiscal Year) or col AB (Quarter) to view a specific period.</t>
  </si>
  <si>
    <t>Formula cells</t>
  </si>
  <si>
    <t>Color legend</t>
  </si>
  <si>
    <t>Blue text = hardcoded input you can edit (dates, dropdown picks, quantities, costs, assumptions). Black text = formulas/auto-calculated - do not overwrite.</t>
  </si>
  <si>
    <t>Properties with Initiatives</t>
  </si>
  <si>
    <t xml:space="preserve">2.  PERIODICALLY UPDATE PROCEDURE </t>
  </si>
  <si>
    <t>Timing: as per the frequency required</t>
  </si>
  <si>
    <t>Typical Sq Ft</t>
  </si>
  <si>
    <t>Col D</t>
  </si>
  <si>
    <t>Col E-H</t>
  </si>
  <si>
    <t>LED Lighting / Low-Flow Toilet / Low-Flow Faucet (Bathroom, Kitchen) / Low-Flow Shower Head / Energy Star Refrigerator, Range, Dishwasher, Washer/Dryer, AC Unit / Other.</t>
  </si>
  <si>
    <t>Energy / Water / Both / Other - auto-fills from Initiative Type (hardcoded logic, not a lookup).</t>
  </si>
  <si>
    <t>Col AC</t>
  </si>
  <si>
    <t>Unit Type (Renovation)</t>
  </si>
  <si>
    <t>Studio / 1 Bedroom / 2 Bedroom / 3 Bedroom / Mixed / Common Area. Also drives LED per-unit wattage lookup for the LED kWh formula.</t>
  </si>
  <si>
    <t>Col AD</t>
  </si>
  <si>
    <t>Units Planned</t>
  </si>
  <si>
    <t># units this row's initiative is planned to cover. Feeds Dashboard Renovation Progress table.</t>
  </si>
  <si>
    <t>Col AE</t>
  </si>
  <si>
    <t>Units Renovated</t>
  </si>
  <si>
    <t># units actually completed so far for this row. Feeds Dashboard Renovation Progress table.</t>
  </si>
  <si>
    <t>Col AF</t>
  </si>
  <si>
    <t>% Complete</t>
  </si>
  <si>
    <t>Units Renovated / Units Planned.</t>
  </si>
  <si>
    <t>One row per initiative per property. Select Property from dropdown (col D). Fund/Region/State auto-fill.</t>
  </si>
  <si>
    <t>Col D -- dropdown</t>
  </si>
  <si>
    <t>Set col K = 'Completed' and enter Completion Date in col L. Only 'Completed' rows appear in summaries.</t>
  </si>
  <si>
    <t>Cols K and L</t>
  </si>
  <si>
    <t>Qty (col M) = # units/fixtures/appliances. Upfront Cost (col O) = total capital spend for the initiative.</t>
  </si>
  <si>
    <t>Cols M and O</t>
  </si>
  <si>
    <t>Step 5 - For LED: set Hrs/Day + Unit Type</t>
  </si>
  <si>
    <t>Hrs/Day (col N): daily operating hours (default 3). Unit Type (col AC) also drives per-unit LED wattage - must be set for LED rows.</t>
  </si>
  <si>
    <t>Cols N and AC</t>
  </si>
  <si>
    <t>Cols P-W and Y-Z calculate automatically: kWh, gallons, rates, $ savings, and before/after water - shown in black text. Col X (Notes) is manual. Do NOT edit black cells.</t>
  </si>
  <si>
    <t>Cols P-W, Y-Z (black)</t>
  </si>
  <si>
    <t>Property Summary -- Payback col (N)</t>
  </si>
  <si>
    <t>Property Summary - sort by col H (# Completed)</t>
  </si>
  <si>
    <t>Insert a new row directly above the 'E. STATE ELECTRICITY RATES' section and enter the new initiative's name and kWh/Gal Saved values there.</t>
  </si>
  <si>
    <t>Assumptions, insert above row 51</t>
  </si>
  <si>
    <t>Match columns B-H used by existing rows 40-50.</t>
  </si>
  <si>
    <t>Change the VLOOKUP range from $B$40:$H$50 to $B$40:$H$51 in each affected column, then copy down all rows.</t>
  </si>
  <si>
    <t>Col I validation list</t>
  </si>
  <si>
    <t>Dropdown source is Assumptions!$B$40:$B$50 - extending the lookup table (Step 1) automatically extends this list too.</t>
  </si>
  <si>
    <t>Columns P-W, Y-Z, AA-AB and AF are auto-calculated (shown in black text). Col X (Notes) and Cols AC-AE (Renovation Progress inputs) are manual. Do not type over black cells.</t>
  </si>
  <si>
    <t>Auto from col L</t>
  </si>
  <si>
    <t>Dashboard row ~59+</t>
  </si>
  <si>
    <t>ESG Energy &amp; Water Savings Tracker</t>
  </si>
  <si>
    <t>ESG Initiative Log</t>
  </si>
  <si>
    <t xml:space="preserve">  Auto-calculated from Initiative Log (Completed initiatives only).</t>
  </si>
  <si>
    <t>Average Portfolio Payback</t>
  </si>
  <si>
    <t>Prop 1</t>
  </si>
  <si>
    <t>Prop 2</t>
  </si>
  <si>
    <t>Prop 3</t>
  </si>
  <si>
    <t>Prop 4</t>
  </si>
  <si>
    <t>Prop 5</t>
  </si>
  <si>
    <t>Prop 6</t>
  </si>
  <si>
    <t>Prop 7</t>
  </si>
  <si>
    <t>Prop 8</t>
  </si>
  <si>
    <t>Prop 9</t>
  </si>
  <si>
    <t>Prop 10</t>
  </si>
  <si>
    <t>Prop 11</t>
  </si>
  <si>
    <t>Prop 12</t>
  </si>
  <si>
    <t>Prop 13</t>
  </si>
  <si>
    <t>Prop 14</t>
  </si>
  <si>
    <t>Prop 15</t>
  </si>
  <si>
    <t>Prop 16</t>
  </si>
  <si>
    <t>Prop 17</t>
  </si>
  <si>
    <t>Prop 18</t>
  </si>
  <si>
    <t>Prop 19</t>
  </si>
  <si>
    <t>Prop 20</t>
  </si>
  <si>
    <t>Prop 21</t>
  </si>
  <si>
    <t>Prop 22</t>
  </si>
  <si>
    <t>Prop 23</t>
  </si>
  <si>
    <t>Prop 24</t>
  </si>
  <si>
    <t>Prop 25</t>
  </si>
  <si>
    <t>Prop 26</t>
  </si>
  <si>
    <t>Prop 27</t>
  </si>
  <si>
    <t>Prop 28</t>
  </si>
  <si>
    <t>Prop 29</t>
  </si>
  <si>
    <t>Prop 30</t>
  </si>
  <si>
    <t>Prop 31</t>
  </si>
  <si>
    <t>Prop 32</t>
  </si>
  <si>
    <t>Prop 33</t>
  </si>
  <si>
    <t>Prop 34</t>
  </si>
  <si>
    <t>Prop 35</t>
  </si>
  <si>
    <t>Prop 36</t>
  </si>
  <si>
    <t>Prop 37</t>
  </si>
  <si>
    <t>Prop 38</t>
  </si>
  <si>
    <t>Prop 39</t>
  </si>
  <si>
    <t>Prop 40</t>
  </si>
  <si>
    <t>Prop 41</t>
  </si>
  <si>
    <t>Prop 42</t>
  </si>
  <si>
    <t>Prop 43</t>
  </si>
  <si>
    <t>Prop 44</t>
  </si>
  <si>
    <t>Prop 45</t>
  </si>
  <si>
    <t>Prop 46</t>
  </si>
  <si>
    <t>Prop 47</t>
  </si>
  <si>
    <t>Prop 48</t>
  </si>
  <si>
    <t>Prop 49</t>
  </si>
  <si>
    <t>Prop 50</t>
  </si>
  <si>
    <t>Prop 51</t>
  </si>
  <si>
    <t>Prop 52</t>
  </si>
  <si>
    <t>Prop 53</t>
  </si>
  <si>
    <t>Prop 54</t>
  </si>
  <si>
    <t>Prop 55</t>
  </si>
  <si>
    <t>Prop 56</t>
  </si>
  <si>
    <t>Prop 57</t>
  </si>
  <si>
    <t>Prop 58</t>
  </si>
  <si>
    <t>Prop 59</t>
  </si>
  <si>
    <t>Prop 60</t>
  </si>
  <si>
    <t>Prop 61</t>
  </si>
  <si>
    <t>Prop 62</t>
  </si>
  <si>
    <t>Prop 63</t>
  </si>
  <si>
    <t>Prop 64</t>
  </si>
  <si>
    <t>Prop 65</t>
  </si>
  <si>
    <t>Prop 66</t>
  </si>
  <si>
    <t>Prop 67</t>
  </si>
  <si>
    <t>Prop 68</t>
  </si>
  <si>
    <t>Prop 69</t>
  </si>
  <si>
    <t>Prop 70</t>
  </si>
  <si>
    <t>Prop 71</t>
  </si>
  <si>
    <t>Prop 72</t>
  </si>
  <si>
    <t>Prop 73</t>
  </si>
  <si>
    <t>Property 1</t>
  </si>
  <si>
    <t>Property 2</t>
  </si>
  <si>
    <t>Property 3</t>
  </si>
  <si>
    <t>Property 4</t>
  </si>
  <si>
    <t>Property 5</t>
  </si>
  <si>
    <t>Property 6</t>
  </si>
  <si>
    <t>Property 7</t>
  </si>
  <si>
    <t>Property 8</t>
  </si>
  <si>
    <t>Property 9</t>
  </si>
  <si>
    <t>Property 10</t>
  </si>
  <si>
    <t>Property 11</t>
  </si>
  <si>
    <t>Property 12</t>
  </si>
  <si>
    <t>Property 13</t>
  </si>
  <si>
    <t>Property 14</t>
  </si>
  <si>
    <t>Property 15</t>
  </si>
  <si>
    <t>Property 16</t>
  </si>
  <si>
    <t>Property 17</t>
  </si>
  <si>
    <t>Property 18</t>
  </si>
  <si>
    <t>Property 19</t>
  </si>
  <si>
    <t>Property 20</t>
  </si>
  <si>
    <t>Property 21</t>
  </si>
  <si>
    <t>Property 22</t>
  </si>
  <si>
    <t>Property 23</t>
  </si>
  <si>
    <t>Property 24</t>
  </si>
  <si>
    <t>Property 25</t>
  </si>
  <si>
    <t>Property 26</t>
  </si>
  <si>
    <t>Property 27</t>
  </si>
  <si>
    <t>Property 28</t>
  </si>
  <si>
    <t>Property 29</t>
  </si>
  <si>
    <t>Property 30</t>
  </si>
  <si>
    <t>Property 31</t>
  </si>
  <si>
    <t>Property 32</t>
  </si>
  <si>
    <t>Property 33</t>
  </si>
  <si>
    <t>Property 34</t>
  </si>
  <si>
    <t>Property 35</t>
  </si>
  <si>
    <t>Property 36</t>
  </si>
  <si>
    <t>Property 37</t>
  </si>
  <si>
    <t>Property 38</t>
  </si>
  <si>
    <t>Property 39</t>
  </si>
  <si>
    <t>Property 40</t>
  </si>
  <si>
    <t>Property 41</t>
  </si>
  <si>
    <t>Property 42</t>
  </si>
  <si>
    <t>Property 43</t>
  </si>
  <si>
    <t>Property 44</t>
  </si>
  <si>
    <t>Property 45</t>
  </si>
  <si>
    <t>Property 46</t>
  </si>
  <si>
    <t>Property 47</t>
  </si>
  <si>
    <t>Property 48</t>
  </si>
  <si>
    <t>Property 49</t>
  </si>
  <si>
    <t>Property 50</t>
  </si>
  <si>
    <t>Property 51</t>
  </si>
  <si>
    <t>Property 52</t>
  </si>
  <si>
    <t>Property 53</t>
  </si>
  <si>
    <t>Property 54</t>
  </si>
  <si>
    <t>Property 55</t>
  </si>
  <si>
    <t>Property 56</t>
  </si>
  <si>
    <t>Property 57</t>
  </si>
  <si>
    <t>Property 58</t>
  </si>
  <si>
    <t>Property 59</t>
  </si>
  <si>
    <t>Property 60</t>
  </si>
  <si>
    <t>Property 61</t>
  </si>
  <si>
    <t>Property 62</t>
  </si>
  <si>
    <t>Property 63</t>
  </si>
  <si>
    <t>Property 64</t>
  </si>
  <si>
    <t>Property 65</t>
  </si>
  <si>
    <t>Property 66</t>
  </si>
  <si>
    <t>Property 67</t>
  </si>
  <si>
    <t>Property 68</t>
  </si>
  <si>
    <t>Property 69</t>
  </si>
  <si>
    <t>Property 70</t>
  </si>
  <si>
    <t>Property 71</t>
  </si>
  <si>
    <t>Property 72</t>
  </si>
  <si>
    <t>Property 73</t>
  </si>
  <si>
    <t>Entity 1</t>
  </si>
  <si>
    <t>Entity 2</t>
  </si>
  <si>
    <t>Entity 3</t>
  </si>
  <si>
    <t>Entity 4</t>
  </si>
  <si>
    <t>Entity 5</t>
  </si>
  <si>
    <t>Entity 6</t>
  </si>
  <si>
    <t>Entity 7</t>
  </si>
  <si>
    <t>Entity 8</t>
  </si>
  <si>
    <t>Entity 9</t>
  </si>
  <si>
    <t>Entity 10</t>
  </si>
  <si>
    <t>Entity 11</t>
  </si>
  <si>
    <t>Entity 12</t>
  </si>
  <si>
    <t>Entity 13</t>
  </si>
  <si>
    <t>Entity 14</t>
  </si>
  <si>
    <t>Entity 15</t>
  </si>
  <si>
    <t>Entity 16</t>
  </si>
  <si>
    <t>Entity 17</t>
  </si>
  <si>
    <t>Entity 18</t>
  </si>
  <si>
    <t>Entity 19</t>
  </si>
  <si>
    <t>Entity 20</t>
  </si>
  <si>
    <t>Entity 21</t>
  </si>
  <si>
    <t>Entity 22</t>
  </si>
  <si>
    <t>Entity 23</t>
  </si>
  <si>
    <t>Entity 24</t>
  </si>
  <si>
    <t>Entity 25</t>
  </si>
  <si>
    <t>Entity 26</t>
  </si>
  <si>
    <t>Entity 27</t>
  </si>
  <si>
    <t>Entity 28</t>
  </si>
  <si>
    <t>Entity 29</t>
  </si>
  <si>
    <t>Entity 30</t>
  </si>
  <si>
    <t>Entity 31</t>
  </si>
  <si>
    <t>Entity 32</t>
  </si>
  <si>
    <t>Entity 33</t>
  </si>
  <si>
    <t>Entity 34</t>
  </si>
  <si>
    <t>Entity 35</t>
  </si>
  <si>
    <t>Entity 36</t>
  </si>
  <si>
    <t>Entity 37</t>
  </si>
  <si>
    <t>Entity 38</t>
  </si>
  <si>
    <t>Entity 39</t>
  </si>
  <si>
    <t>Entity 40</t>
  </si>
  <si>
    <t>Entity 41</t>
  </si>
  <si>
    <t>Entity 42</t>
  </si>
  <si>
    <t>Entity 43</t>
  </si>
  <si>
    <t>Entity 44</t>
  </si>
  <si>
    <t>Entity 45</t>
  </si>
  <si>
    <t>Entity 46</t>
  </si>
  <si>
    <t>Entity 47</t>
  </si>
  <si>
    <t>Entity 48</t>
  </si>
  <si>
    <t>Entity 49</t>
  </si>
  <si>
    <t>Entity 50</t>
  </si>
  <si>
    <t>Entity 51</t>
  </si>
  <si>
    <t>Entity 52</t>
  </si>
  <si>
    <t>Entity 53</t>
  </si>
  <si>
    <t>Entity 54</t>
  </si>
  <si>
    <t>Entity 55</t>
  </si>
  <si>
    <t>Entity 56</t>
  </si>
  <si>
    <t>Entity 57</t>
  </si>
  <si>
    <t>Entity 58</t>
  </si>
  <si>
    <t>Entity 59</t>
  </si>
  <si>
    <t>Entity 60</t>
  </si>
  <si>
    <t>Entity 61</t>
  </si>
  <si>
    <t>Entity 62</t>
  </si>
  <si>
    <t>Entity 63</t>
  </si>
  <si>
    <t>Entity 64</t>
  </si>
  <si>
    <t>Entity 65</t>
  </si>
  <si>
    <t>Entity 66</t>
  </si>
  <si>
    <t>Entity 67</t>
  </si>
  <si>
    <t>Entity 68</t>
  </si>
  <si>
    <t>Entity 69</t>
  </si>
  <si>
    <t>Entity 70</t>
  </si>
  <si>
    <t>Entity 71</t>
  </si>
  <si>
    <t>Entity 72</t>
  </si>
  <si>
    <t>Entity 73</t>
  </si>
  <si>
    <t>Fund 1</t>
  </si>
  <si>
    <t>Fund 2</t>
  </si>
  <si>
    <t>Fund 3</t>
  </si>
  <si>
    <t>Fund 4</t>
  </si>
  <si>
    <t>Fund 5</t>
  </si>
  <si>
    <t>Fund 6</t>
  </si>
  <si>
    <t>Fund 7</t>
  </si>
  <si>
    <t>Portfolio - Active Properties</t>
  </si>
  <si>
    <t>Portfolio Tracker | Track energy &amp; water savings from capital initiatives</t>
  </si>
  <si>
    <t>Captures energy and water savings from capital initiatives across the portfolio.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</si>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</sst>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#,##0.0"/>
    <numFmt numFmtId="166" formatCode="0.0%"/>
    <numFmt numFmtId="167" formatCode="mm/dd/yyyy"/>
    <numFmt numFmtId="168" formatCode="\$#,##0.0000"/>
    <numFmt numFmtId="169" formatCode="0.0"/>
    <numFmt numFmtId="170" formatCode="\$0.0000"/>
    <numFmt numFmtId="171" formatCode="\$0.00000"/>
  </numFmts>
  <fonts count="34" x14ac:knownFonts="1">
    <font>
      <sz val="11"/>
      <color theme="1"/>
      <name val="Calibri"/>
      <family val="2"/>
      <charset val="1"/>
    </font>
    <font>
      <sz val="16"/>
      <color theme="1"/>
      <name val="Arial"/>
      <family val="2"/>
      <charset val="1"/>
    </font>
    <font>
      <b/>
      <sz val="16"/>
      <color rgb="FFFFFFFF"/>
      <name val="Calibri"/>
      <family val="2"/>
      <charset val="1"/>
    </font>
    <font>
      <sz val="8"/>
      <color theme="1"/>
      <name val="Arial"/>
      <family val="2"/>
      <charset val="1"/>
    </font>
    <font>
      <i/>
      <sz val="8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theme="1"/>
      <name val="Arial"/>
      <family val="2"/>
      <charset val="1"/>
    </font>
    <font>
      <sz val="16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9"/>
      <color theme="1"/>
      <name val="Calibri"/>
      <family val="2"/>
      <charset val="1"/>
    </font>
    <font>
      <sz val="9"/>
      <color rgb="FF0000FF"/>
      <name val="Calibri"/>
      <family val="2"/>
      <charset val="1"/>
    </font>
    <font>
      <b/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9"/>
      <color theme="0"/>
      <name val="Calibri"/>
      <family val="2"/>
      <charset val="1"/>
    </font>
    <font>
      <sz val="9"/>
      <color theme="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FF"/>
      <name val="Calibri"/>
      <family val="2"/>
      <charset val="1"/>
    </font>
    <font>
      <i/>
      <sz val="8"/>
      <color rgb="FF0000FF"/>
      <name val="Calibri"/>
      <family val="2"/>
      <charset val="1"/>
    </font>
    <font>
      <b/>
      <i/>
      <sz val="9"/>
      <color rgb="FFFFFFFF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i/>
      <sz val="9"/>
      <color theme="1"/>
      <name val="Calibri"/>
      <family val="2"/>
      <charset val="1"/>
    </font>
    <font>
      <sz val="11"/>
      <color theme="1"/>
      <name val="Cambria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27426F"/>
      </patternFill>
    </fill>
    <fill>
      <patternFill patternType="solid">
        <fgColor rgb="FF27426F"/>
        <bgColor rgb="FF2C4A7C"/>
      </patternFill>
    </fill>
    <fill>
      <patternFill patternType="solid">
        <fgColor rgb="FF2C4A7C"/>
        <bgColor rgb="FF27426F"/>
      </patternFill>
    </fill>
    <fill>
      <patternFill patternType="solid">
        <fgColor rgb="FFEBF0FA"/>
        <bgColor rgb="FFF8FAFC"/>
      </patternFill>
    </fill>
    <fill>
      <patternFill patternType="solid">
        <fgColor rgb="FFF8FAFC"/>
        <bgColor rgb="FFFFFFFF"/>
      </patternFill>
    </fill>
  </fills>
  <borders count="2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medium">
        <color rgb="FF1E3A5F"/>
      </left>
      <right/>
      <top/>
      <bottom/>
      <diagonal/>
    </border>
    <border>
      <left style="thick">
        <color rgb="FF1E3A5F"/>
      </left>
      <right style="thick">
        <color rgb="FF1E3A5F"/>
      </right>
      <top style="thick">
        <color rgb="FF1E3A5F"/>
      </top>
      <bottom style="thick">
        <color rgb="FF1E3A5F"/>
      </bottom>
      <diagonal/>
    </border>
    <border>
      <left style="thick">
        <color rgb="FF1E3A5F"/>
      </left>
      <right/>
      <top/>
      <bottom/>
      <diagonal/>
    </border>
    <border>
      <left style="thick">
        <color rgb="FF1E3A5F"/>
      </left>
      <right style="medium">
        <color rgb="FF1E3A5F"/>
      </right>
      <top style="thick">
        <color rgb="FF1E3A5F"/>
      </top>
      <bottom/>
      <diagonal/>
    </border>
    <border>
      <left style="thick">
        <color rgb="FF1E3A5F"/>
      </left>
      <right style="medium">
        <color rgb="FF1E3A5F"/>
      </right>
      <top/>
      <bottom style="thick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1E3A5F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1E3A5F"/>
      </left>
      <right style="medium">
        <color rgb="FF1E3A5F"/>
      </right>
      <top style="thin">
        <color auto="1"/>
      </top>
      <bottom style="thin">
        <color auto="1"/>
      </bottom>
      <diagonal/>
    </border>
    <border>
      <left style="thin">
        <color theme="1" tint="0.49989318521683401"/>
      </left>
      <right style="thin">
        <color theme="1" tint="0.49989318521683401"/>
      </right>
      <top style="medium">
        <color rgb="FF1E3A5F"/>
      </top>
      <bottom style="thin">
        <color theme="1" tint="0.49989318521683401"/>
      </bottom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  <border>
      <left style="medium">
        <color rgb="FF1E3A5F"/>
      </left>
      <right style="medium">
        <color rgb="FF1E3A5F"/>
      </right>
      <top/>
      <bottom style="medium">
        <color rgb="FF1E3A5F"/>
      </bottom>
      <diagonal/>
    </border>
    <border>
      <left/>
      <right/>
      <top/>
      <bottom style="thin">
        <color theme="1" tint="0.49989318521683401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/>
    <xf numFmtId="0" fontId="0" fillId="0" borderId="2" xfId="0" applyBorder="1"/>
    <xf numFmtId="0" fontId="3" fillId="0" borderId="0" xfId="0" applyFont="1"/>
    <xf numFmtId="0" fontId="0" fillId="0" borderId="4" xfId="0" applyBorder="1"/>
    <xf numFmtId="0" fontId="6" fillId="0" borderId="0" xfId="0" applyFont="1"/>
    <xf numFmtId="0" fontId="7" fillId="0" borderId="0" xfId="0" applyFont="1"/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7" xfId="0" applyFont="1" applyFill="1" applyBorder="1" applyAlignment="1">
      <alignment horizontal="left" vertical="center"/>
    </xf>
    <xf numFmtId="3" fontId="9" fillId="5" borderId="7" xfId="0" applyNumberFormat="1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/>
    </xf>
    <xf numFmtId="166" fontId="9" fillId="5" borderId="7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2" borderId="1" xfId="0" applyFont="1" applyFill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4" fillId="5" borderId="7" xfId="0" applyFont="1" applyFill="1" applyBorder="1" applyAlignment="1">
      <alignment horizontal="left" vertical="center"/>
    </xf>
    <xf numFmtId="0" fontId="17" fillId="0" borderId="8" xfId="0" applyFont="1" applyBorder="1"/>
    <xf numFmtId="0" fontId="17" fillId="0" borderId="9" xfId="0" applyFont="1" applyBorder="1"/>
    <xf numFmtId="0" fontId="17" fillId="0" borderId="0" xfId="0" applyFont="1"/>
    <xf numFmtId="0" fontId="11" fillId="5" borderId="7" xfId="0" applyFont="1" applyFill="1" applyBorder="1" applyAlignment="1">
      <alignment horizontal="center" vertical="center"/>
    </xf>
    <xf numFmtId="1" fontId="9" fillId="5" borderId="7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/>
    </xf>
    <xf numFmtId="3" fontId="9" fillId="5" borderId="11" xfId="0" applyNumberFormat="1" applyFont="1" applyFill="1" applyBorder="1" applyAlignment="1">
      <alignment horizontal="center" vertical="center"/>
    </xf>
    <xf numFmtId="9" fontId="9" fillId="5" borderId="11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4" fontId="9" fillId="5" borderId="11" xfId="0" applyNumberFormat="1" applyFont="1" applyFill="1" applyBorder="1" applyAlignment="1">
      <alignment horizontal="center" vertical="center"/>
    </xf>
    <xf numFmtId="9" fontId="9" fillId="5" borderId="7" xfId="0" applyNumberFormat="1" applyFont="1" applyFill="1" applyBorder="1" applyAlignment="1">
      <alignment horizontal="center" vertical="center"/>
    </xf>
    <xf numFmtId="9" fontId="13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3" fontId="9" fillId="0" borderId="12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3" fontId="9" fillId="0" borderId="13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3" fontId="9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21" fillId="3" borderId="15" xfId="0" applyFont="1" applyFill="1" applyBorder="1"/>
    <xf numFmtId="0" fontId="22" fillId="3" borderId="15" xfId="0" applyFont="1" applyFill="1" applyBorder="1"/>
    <xf numFmtId="3" fontId="21" fillId="3" borderId="16" xfId="0" applyNumberFormat="1" applyFont="1" applyFill="1" applyBorder="1" applyAlignment="1">
      <alignment horizontal="center"/>
    </xf>
    <xf numFmtId="164" fontId="21" fillId="3" borderId="16" xfId="0" applyNumberFormat="1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3" fontId="21" fillId="3" borderId="16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/>
    <xf numFmtId="0" fontId="25" fillId="3" borderId="1" xfId="0" applyFont="1" applyFill="1" applyBorder="1"/>
    <xf numFmtId="0" fontId="24" fillId="3" borderId="1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left" vertical="center"/>
    </xf>
    <xf numFmtId="3" fontId="26" fillId="5" borderId="12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vertical="center"/>
    </xf>
    <xf numFmtId="0" fontId="27" fillId="5" borderId="12" xfId="0" applyFont="1" applyFill="1" applyBorder="1" applyAlignment="1">
      <alignment horizontal="center" vertical="center"/>
    </xf>
    <xf numFmtId="3" fontId="27" fillId="5" borderId="12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164" fontId="20" fillId="5" borderId="12" xfId="0" applyNumberFormat="1" applyFont="1" applyFill="1" applyBorder="1" applyAlignment="1">
      <alignment horizontal="center" vertical="center"/>
    </xf>
    <xf numFmtId="168" fontId="26" fillId="5" borderId="12" xfId="0" applyNumberFormat="1" applyFont="1" applyFill="1" applyBorder="1" applyAlignment="1">
      <alignment horizontal="center" vertical="center"/>
    </xf>
    <xf numFmtId="164" fontId="26" fillId="5" borderId="12" xfId="0" applyNumberFormat="1" applyFont="1" applyFill="1" applyBorder="1" applyAlignment="1">
      <alignment horizontal="center" vertical="center"/>
    </xf>
    <xf numFmtId="165" fontId="26" fillId="5" borderId="12" xfId="0" applyNumberFormat="1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left" vertical="center" wrapText="1"/>
    </xf>
    <xf numFmtId="1" fontId="26" fillId="5" borderId="12" xfId="0" applyNumberFormat="1" applyFont="1" applyFill="1" applyBorder="1" applyAlignment="1">
      <alignment horizontal="center" vertical="center"/>
    </xf>
    <xf numFmtId="3" fontId="20" fillId="5" borderId="12" xfId="0" applyNumberFormat="1" applyFont="1" applyFill="1" applyBorder="1" applyAlignment="1">
      <alignment horizontal="center" vertical="center"/>
    </xf>
    <xf numFmtId="9" fontId="26" fillId="5" borderId="12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67" fontId="20" fillId="5" borderId="13" xfId="0" applyNumberFormat="1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left" vertical="center"/>
    </xf>
    <xf numFmtId="3" fontId="26" fillId="5" borderId="13" xfId="0" applyNumberFormat="1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left" vertical="center"/>
    </xf>
    <xf numFmtId="0" fontId="27" fillId="5" borderId="13" xfId="0" applyFont="1" applyFill="1" applyBorder="1" applyAlignment="1">
      <alignment horizontal="center" vertical="center"/>
    </xf>
    <xf numFmtId="3" fontId="27" fillId="5" borderId="13" xfId="0" applyNumberFormat="1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64" fontId="20" fillId="5" borderId="13" xfId="0" applyNumberFormat="1" applyFont="1" applyFill="1" applyBorder="1" applyAlignment="1">
      <alignment horizontal="center" vertical="center"/>
    </xf>
    <xf numFmtId="164" fontId="26" fillId="5" borderId="13" xfId="0" applyNumberFormat="1" applyFont="1" applyFill="1" applyBorder="1" applyAlignment="1">
      <alignment horizontal="center" vertical="center"/>
    </xf>
    <xf numFmtId="165" fontId="26" fillId="5" borderId="13" xfId="0" applyNumberFormat="1" applyFont="1" applyFill="1" applyBorder="1" applyAlignment="1">
      <alignment horizontal="center" vertical="center"/>
    </xf>
    <xf numFmtId="0" fontId="28" fillId="5" borderId="13" xfId="0" applyFont="1" applyFill="1" applyBorder="1" applyAlignment="1">
      <alignment horizontal="left" vertical="center" wrapText="1"/>
    </xf>
    <xf numFmtId="1" fontId="26" fillId="5" borderId="13" xfId="0" applyNumberFormat="1" applyFont="1" applyFill="1" applyBorder="1" applyAlignment="1">
      <alignment horizontal="center" vertical="center"/>
    </xf>
    <xf numFmtId="3" fontId="20" fillId="5" borderId="13" xfId="0" applyNumberFormat="1" applyFont="1" applyFill="1" applyBorder="1" applyAlignment="1">
      <alignment horizontal="center" vertical="center"/>
    </xf>
    <xf numFmtId="9" fontId="26" fillId="5" borderId="13" xfId="0" applyNumberFormat="1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17" xfId="0" applyFont="1" applyBorder="1" applyAlignment="1">
      <alignment horizontal="left" vertical="center"/>
    </xf>
    <xf numFmtId="1" fontId="20" fillId="0" borderId="17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1" fontId="30" fillId="0" borderId="18" xfId="0" applyNumberFormat="1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169" fontId="20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4" fillId="0" borderId="0" xfId="0" applyFont="1" applyAlignment="1">
      <alignment wrapText="1"/>
    </xf>
    <xf numFmtId="165" fontId="30" fillId="0" borderId="18" xfId="0" applyNumberFormat="1" applyFont="1" applyBorder="1" applyAlignment="1">
      <alignment horizontal="center" vertical="center"/>
    </xf>
    <xf numFmtId="169" fontId="31" fillId="0" borderId="18" xfId="0" applyNumberFormat="1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5" fontId="30" fillId="0" borderId="0" xfId="0" applyNumberFormat="1" applyFont="1" applyAlignment="1">
      <alignment horizontal="center" vertical="center"/>
    </xf>
    <xf numFmtId="169" fontId="31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/>
    </xf>
    <xf numFmtId="3" fontId="20" fillId="0" borderId="18" xfId="0" applyNumberFormat="1" applyFont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165" fontId="4" fillId="0" borderId="17" xfId="0" applyNumberFormat="1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3" fontId="20" fillId="0" borderId="17" xfId="0" applyNumberFormat="1" applyFont="1" applyBorder="1" applyAlignment="1">
      <alignment horizontal="center" vertical="center"/>
    </xf>
    <xf numFmtId="3" fontId="30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left" vertical="center" wrapText="1"/>
    </xf>
    <xf numFmtId="3" fontId="30" fillId="0" borderId="18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169" fontId="31" fillId="0" borderId="17" xfId="0" applyNumberFormat="1" applyFont="1" applyBorder="1" applyAlignment="1">
      <alignment horizontal="center" vertical="center"/>
    </xf>
    <xf numFmtId="170" fontId="9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70" fontId="9" fillId="0" borderId="18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171" fontId="9" fillId="0" borderId="17" xfId="0" applyNumberFormat="1" applyFont="1" applyBorder="1" applyAlignment="1">
      <alignment horizontal="center" vertical="center"/>
    </xf>
    <xf numFmtId="2" fontId="31" fillId="0" borderId="18" xfId="0" applyNumberFormat="1" applyFont="1" applyBorder="1" applyAlignment="1">
      <alignment horizontal="center" vertical="center"/>
    </xf>
    <xf numFmtId="171" fontId="9" fillId="0" borderId="18" xfId="0" applyNumberFormat="1" applyFont="1" applyBorder="1" applyAlignment="1">
      <alignment horizontal="center" vertical="center"/>
    </xf>
    <xf numFmtId="166" fontId="9" fillId="0" borderId="17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66" fontId="9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3" fontId="8" fillId="2" borderId="19" xfId="0" applyNumberFormat="1" applyFont="1" applyFill="1" applyBorder="1" applyAlignment="1">
      <alignment horizontal="center" vertical="center"/>
    </xf>
    <xf numFmtId="166" fontId="8" fillId="2" borderId="19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/>
    </xf>
    <xf numFmtId="167" fontId="20" fillId="0" borderId="18" xfId="0" applyNumberFormat="1" applyFont="1" applyBorder="1" applyAlignment="1">
      <alignment horizontal="center" vertical="center"/>
    </xf>
    <xf numFmtId="0" fontId="28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9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9" fillId="0" borderId="0" xfId="0" applyFont="1" applyAlignment="1">
      <alignment wrapText="1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 wrapText="1"/>
    </xf>
    <xf numFmtId="0" fontId="0" fillId="0" borderId="8" xfId="0" applyBorder="1"/>
    <xf numFmtId="0" fontId="5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9" fontId="20" fillId="5" borderId="13" xfId="0" applyNumberFormat="1" applyFont="1" applyFill="1" applyBorder="1" applyAlignment="1">
      <alignment horizontal="center" vertical="center"/>
    </xf>
    <xf numFmtId="169" fontId="23" fillId="0" borderId="0" xfId="0" applyNumberFormat="1" applyFont="1"/>
    <xf numFmtId="169" fontId="30" fillId="5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18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Continuous" vertical="center"/>
    </xf>
    <xf numFmtId="0" fontId="13" fillId="2" borderId="1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/>
    <xf numFmtId="0" fontId="10" fillId="2" borderId="1" xfId="0" applyFont="1" applyFill="1" applyBorder="1" applyAlignment="1">
      <alignment horizontal="left" vertical="center"/>
    </xf>
    <xf numFmtId="165" fontId="2" fillId="2" borderId="6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32" fillId="5" borderId="7" xfId="0" applyFont="1" applyFill="1" applyBorder="1" applyAlignment="1">
      <alignment horizontal="left" vertical="center"/>
    </xf>
    <xf numFmtId="0" fontId="32" fillId="5" borderId="11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19" fillId="5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808080"/>
      <rgbColor rgb="FF9999FF"/>
      <rgbColor rgb="FF993366"/>
      <rgbColor rgb="FFF8FAFC"/>
      <rgbColor rgb="FFEBF0FA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4A7C"/>
      <rgbColor rgb="FF7F7F7F"/>
      <rgbColor rgb="FF002060"/>
      <rgbColor rgb="FF339966"/>
      <rgbColor rgb="FF003300"/>
      <rgbColor rgb="FF333300"/>
      <rgbColor rgb="FF993300"/>
      <rgbColor rgb="FF993366"/>
      <rgbColor rgb="FF27426F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ya Agarwal" id="{E52C0959-2842-4CF8-9285-1A752A6C4B84}" userId="S::managarwal@gallaghermohan.com::32162441-5975-48e3-ac01-f16a63441c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8-07T18:32:00.93" personId="{E52C0959-2842-4CF8-9285-1A752A6C4B84}" id="{FEF935A7-2AAE-4C06-987A-418CB11DC58F}">
    <text>If any Portfolio-Wide initiative exists, counts properties acquired by that initiative's date. Otherwise counts distinct properties with any logged initiative.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01494-2941-448A-B5FB-3D6428C6933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aa9715c-6607-42fa-9b04-04e214ca5e6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Q78"/>
  <sheetViews>
    <sheetView showGridLines="0" zoomScale="66" zoomScaleNormal="100" workbookViewId="0">
      <selection activeCell="L17" sqref="L17"/>
    </sheetView>
  </sheetViews>
  <sheetFormatPr defaultColWidth="8.6328125" defaultRowHeight="14.5" outlineLevelRow="1" x14ac:dyDescent="0.35"/>
  <cols>
    <col min="1" max="1" width="4.7265625" customWidth="1"/>
    <col min="2" max="2" width="28" customWidth="1"/>
    <col min="3" max="3" width="14" customWidth="1"/>
    <col min="4" max="4" width="18" customWidth="1"/>
    <col min="5" max="8" width="16" customWidth="1"/>
    <col min="9" max="17" width="14" customWidth="1"/>
  </cols>
  <sheetData>
    <row r="1" spans="2:17" ht="15" customHeight="1" x14ac:dyDescent="0.35"/>
    <row r="2" spans="2:17" s="1" customFormat="1" ht="36" customHeight="1" x14ac:dyDescent="0.4">
      <c r="B2" s="185" t="s">
        <v>398</v>
      </c>
      <c r="C2" s="185"/>
      <c r="D2" s="185"/>
      <c r="E2" s="185"/>
      <c r="F2" s="185"/>
      <c r="G2" s="185"/>
      <c r="H2" s="185"/>
      <c r="I2" s="184"/>
      <c r="J2" s="2"/>
    </row>
    <row r="3" spans="2:17" s="3" customFormat="1" ht="15.75" customHeight="1" thickBot="1" x14ac:dyDescent="0.25">
      <c r="B3" s="183" t="s">
        <v>0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</row>
    <row r="4" spans="2:17" ht="19.5" customHeight="1" thickTop="1" thickBot="1" x14ac:dyDescent="0.4">
      <c r="B4" s="202" t="s">
        <v>1</v>
      </c>
      <c r="C4" s="202"/>
      <c r="D4" s="202"/>
      <c r="E4" s="202"/>
      <c r="F4" s="202"/>
      <c r="G4" s="202"/>
      <c r="H4" s="202"/>
      <c r="I4" s="202"/>
      <c r="J4" s="4"/>
    </row>
    <row r="5" spans="2:17" s="5" customFormat="1" ht="15.75" customHeight="1" thickTop="1" x14ac:dyDescent="0.25">
      <c r="B5" s="203" t="s">
        <v>2</v>
      </c>
      <c r="C5" s="203"/>
      <c r="D5" s="200" t="s">
        <v>3</v>
      </c>
      <c r="E5" s="200"/>
      <c r="F5" s="203" t="s">
        <v>4</v>
      </c>
      <c r="G5" s="203"/>
      <c r="H5" s="200" t="s">
        <v>5</v>
      </c>
      <c r="I5" s="200"/>
    </row>
    <row r="6" spans="2:17" s="6" customFormat="1" ht="37.5" customHeight="1" thickBot="1" x14ac:dyDescent="0.55000000000000004">
      <c r="B6" s="197">
        <f>SUM('Property Summary'!I5:I77)</f>
        <v>1180312.5</v>
      </c>
      <c r="C6" s="197"/>
      <c r="D6" s="196">
        <f>SUM('Property Summary'!J5:J77)</f>
        <v>5418750</v>
      </c>
      <c r="E6" s="196"/>
      <c r="F6" s="198">
        <f>SUM('Property Summary'!K5:K77)</f>
        <v>303018.75</v>
      </c>
      <c r="G6" s="198"/>
      <c r="H6" s="199">
        <f>SUM('Property Summary'!L5:L77)</f>
        <v>0</v>
      </c>
      <c r="I6" s="199"/>
    </row>
    <row r="7" spans="2:17" s="6" customFormat="1" ht="37.5" customHeight="1" thickTop="1" x14ac:dyDescent="0.5">
      <c r="B7" s="200" t="s">
        <v>401</v>
      </c>
      <c r="C7" s="200"/>
      <c r="D7" s="201" t="s">
        <v>356</v>
      </c>
      <c r="E7" s="201"/>
      <c r="F7" s="200" t="s">
        <v>6</v>
      </c>
      <c r="G7" s="200"/>
      <c r="H7" s="201" t="s">
        <v>7</v>
      </c>
      <c r="I7" s="201"/>
      <c r="J7" s="7"/>
      <c r="L7" s="8"/>
      <c r="N7" s="8"/>
      <c r="P7" s="8"/>
    </row>
    <row r="8" spans="2:17" s="6" customFormat="1" ht="37.5" customHeight="1" thickBot="1" x14ac:dyDescent="0.55000000000000004">
      <c r="B8" s="194">
        <f>IFERROR(SUM('Property Summary'!L5:L77)/SUM('Property Summary'!K5:K77),"-")</f>
        <v>0</v>
      </c>
      <c r="C8" s="194"/>
      <c r="D8" s="195" cm="1">
        <f t="array" ref="D8">IF(COUNTIF('Initiative Log'!$F$6:$F$205,"Portfolio-Wide")&gt;0,COUNTIF('Portfolio List'!$I$4:$I$76,"&lt;="&amp;_xlfn.MAXIFS('Initiative Log'!$C$6:$C$205,'Initiative Log'!$F$6:$F$205,"Portfolio-Wide")),IFERROR(COUNTA(_xlfn.UNIQUE(_xlfn._xlws.FILTER('Initiative Log'!$D$6:$D$205,'Initiative Log'!$D$6:$D$205&lt;&gt;""))),0))</f>
        <v>1</v>
      </c>
      <c r="E8" s="195"/>
      <c r="F8" s="196">
        <f>COUNTA('Initiative Log'!D6:D205)</f>
        <v>10</v>
      </c>
      <c r="G8" s="196"/>
      <c r="H8" s="195">
        <f>COUNTIF('Initiative Log'!K6:K205,"Completed")</f>
        <v>10</v>
      </c>
      <c r="I8" s="195"/>
      <c r="J8" s="7"/>
      <c r="L8" s="8"/>
      <c r="N8" s="8"/>
      <c r="P8" s="8"/>
    </row>
    <row r="9" spans="2:17" s="6" customFormat="1" ht="13.5" customHeight="1" thickTop="1" x14ac:dyDescent="0.5">
      <c r="B9" s="8"/>
      <c r="D9" s="8"/>
      <c r="F9" s="9"/>
      <c r="H9" s="9"/>
      <c r="J9" s="7"/>
      <c r="L9" s="8"/>
      <c r="N9" s="8"/>
      <c r="P9" s="8"/>
    </row>
    <row r="10" spans="2:17" ht="13.5" customHeight="1" x14ac:dyDescent="0.35"/>
    <row r="11" spans="2:17" ht="19.5" customHeight="1" x14ac:dyDescent="0.35">
      <c r="B11" s="190" t="s">
        <v>8</v>
      </c>
      <c r="C11" s="190"/>
      <c r="D11" s="190"/>
      <c r="E11" s="190"/>
      <c r="F11" s="190"/>
      <c r="G11" s="190"/>
      <c r="H11" s="190"/>
      <c r="I11" s="190"/>
    </row>
    <row r="12" spans="2:17" s="5" customFormat="1" ht="15" customHeight="1" x14ac:dyDescent="0.3">
      <c r="B12" s="10" t="s">
        <v>9</v>
      </c>
      <c r="C12" s="10" t="s">
        <v>10</v>
      </c>
      <c r="D12" s="10" t="s">
        <v>7</v>
      </c>
      <c r="E12" s="10" t="s">
        <v>2</v>
      </c>
      <c r="F12" s="10" t="s">
        <v>11</v>
      </c>
      <c r="G12" s="10" t="s">
        <v>4</v>
      </c>
      <c r="H12" s="10" t="s">
        <v>12</v>
      </c>
      <c r="I12" s="10" t="s">
        <v>13</v>
      </c>
      <c r="J12" s="11"/>
      <c r="K12" s="11"/>
      <c r="L12" s="11"/>
      <c r="M12" s="11"/>
      <c r="N12" s="11"/>
      <c r="O12" s="11"/>
      <c r="P12" s="11"/>
      <c r="Q12" s="11"/>
    </row>
    <row r="13" spans="2:17" ht="15" customHeight="1" x14ac:dyDescent="0.35">
      <c r="B13" s="12" t="s">
        <v>621</v>
      </c>
      <c r="C13" s="13">
        <f>COUNTIF('Property Summary'!$C$5:$C$77,$B13)</f>
        <v>19</v>
      </c>
      <c r="D13" s="13">
        <f>SUMIF('Property Summary'!$C$5:$C$77,$B13,'Property Summary'!$H$5:$H$77)</f>
        <v>0</v>
      </c>
      <c r="E13" s="13">
        <f>SUMIF('Property Summary'!$C$5:$C$77,$B13,'Property Summary'!$I$5:$I$77)</f>
        <v>0</v>
      </c>
      <c r="F13" s="13">
        <f>SUMIF('Property Summary'!$C$5:$C$77,$B13,'Property Summary'!$J$5:$J$77)</f>
        <v>0</v>
      </c>
      <c r="G13" s="14">
        <f>SUMIF('Property Summary'!$C$5:$C$77,$B13,'Property Summary'!$K$5:$K$77)</f>
        <v>0</v>
      </c>
      <c r="H13" s="14">
        <f>SUMIF('Property Summary'!$C$5:$C$77,$B13,'Property Summary'!$L$5:$L$77)</f>
        <v>0</v>
      </c>
      <c r="I13" s="15" t="str">
        <f>IFERROR(H13/G13,"-")</f>
        <v>-</v>
      </c>
    </row>
    <row r="14" spans="2:17" ht="15" customHeight="1" x14ac:dyDescent="0.35">
      <c r="B14" s="12" t="s">
        <v>625</v>
      </c>
      <c r="C14" s="13">
        <f>COUNTIF('Property Summary'!$C$5:$C$77,$B14)</f>
        <v>2</v>
      </c>
      <c r="D14" s="13">
        <f>SUMIF('Property Summary'!$C$5:$C$77,$B14,'Property Summary'!$H$5:$H$77)</f>
        <v>0</v>
      </c>
      <c r="E14" s="13">
        <f>SUMIF('Property Summary'!$C$5:$C$77,$B14,'Property Summary'!$I$5:$I$77)</f>
        <v>0</v>
      </c>
      <c r="F14" s="13">
        <f>SUMIF('Property Summary'!$C$5:$C$77,$B14,'Property Summary'!$J$5:$J$77)</f>
        <v>0</v>
      </c>
      <c r="G14" s="14">
        <f>SUMIF('Property Summary'!$C$5:$C$77,$B14,'Property Summary'!$K$5:$K$77)</f>
        <v>0</v>
      </c>
      <c r="H14" s="14">
        <f>SUMIF('Property Summary'!$C$5:$C$77,$B14,'Property Summary'!$L$5:$L$77)</f>
        <v>0</v>
      </c>
      <c r="I14" s="15" t="str">
        <f t="shared" ref="I14:I18" si="0">IFERROR(H14/G14,"-")</f>
        <v>-</v>
      </c>
    </row>
    <row r="15" spans="2:17" ht="15" customHeight="1" x14ac:dyDescent="0.35">
      <c r="B15" s="12" t="s">
        <v>623</v>
      </c>
      <c r="C15" s="13">
        <f>COUNTIF('Property Summary'!$C$5:$C$77,$B15)</f>
        <v>19</v>
      </c>
      <c r="D15" s="13">
        <f>SUMIF('Property Summary'!$C$5:$C$77,$B15,'Property Summary'!$H$5:$H$77)</f>
        <v>0</v>
      </c>
      <c r="E15" s="13">
        <f>SUMIF('Property Summary'!$C$5:$C$77,$B15,'Property Summary'!$I$5:$I$77)</f>
        <v>0</v>
      </c>
      <c r="F15" s="13">
        <f>SUMIF('Property Summary'!$C$5:$C$77,$B15,'Property Summary'!$J$5:$J$77)</f>
        <v>0</v>
      </c>
      <c r="G15" s="14">
        <f>SUMIF('Property Summary'!$C$5:$C$77,$B15,'Property Summary'!$K$5:$K$77)</f>
        <v>0</v>
      </c>
      <c r="H15" s="14">
        <f>SUMIF('Property Summary'!$C$5:$C$77,$B15,'Property Summary'!$L$5:$L$77)</f>
        <v>0</v>
      </c>
      <c r="I15" s="15" t="str">
        <f t="shared" si="0"/>
        <v>-</v>
      </c>
    </row>
    <row r="16" spans="2:17" ht="15" customHeight="1" x14ac:dyDescent="0.35">
      <c r="B16" s="12" t="s">
        <v>624</v>
      </c>
      <c r="C16" s="13">
        <f>COUNTIF('Property Summary'!$C$5:$C$77,$B16)</f>
        <v>15</v>
      </c>
      <c r="D16" s="13">
        <f>SUMIF('Property Summary'!$C$5:$C$77,$B16,'Property Summary'!$H$5:$H$77)</f>
        <v>0</v>
      </c>
      <c r="E16" s="13">
        <f>SUMIF('Property Summary'!$C$5:$C$77,$B16,'Property Summary'!$I$5:$I$77)</f>
        <v>0</v>
      </c>
      <c r="F16" s="13">
        <f>SUMIF('Property Summary'!$C$5:$C$77,$B16,'Property Summary'!$J$5:$J$77)</f>
        <v>0</v>
      </c>
      <c r="G16" s="14">
        <f>SUMIF('Property Summary'!$C$5:$C$77,$B16,'Property Summary'!$K$5:$K$77)</f>
        <v>0</v>
      </c>
      <c r="H16" s="14">
        <f>SUMIF('Property Summary'!$C$5:$C$77,$B16,'Property Summary'!$L$5:$L$77)</f>
        <v>0</v>
      </c>
      <c r="I16" s="15" t="str">
        <f t="shared" si="0"/>
        <v>-</v>
      </c>
    </row>
    <row r="17" spans="2:17" ht="15" customHeight="1" x14ac:dyDescent="0.35">
      <c r="B17" s="12" t="s">
        <v>626</v>
      </c>
      <c r="C17" s="13">
        <f>COUNTIF('Property Summary'!$C$5:$C$77,$B17)</f>
        <v>13</v>
      </c>
      <c r="D17" s="13">
        <f>SUMIF('Property Summary'!$C$5:$C$77,$B17,'Property Summary'!$H$5:$H$77)</f>
        <v>0</v>
      </c>
      <c r="E17" s="13">
        <f>SUMIF('Property Summary'!$C$5:$C$77,$B17,'Property Summary'!$I$5:$I$77)</f>
        <v>0</v>
      </c>
      <c r="F17" s="13">
        <f>SUMIF('Property Summary'!$C$5:$C$77,$B17,'Property Summary'!$J$5:$J$77)</f>
        <v>0</v>
      </c>
      <c r="G17" s="14">
        <f>SUMIF('Property Summary'!$C$5:$C$77,$B17,'Property Summary'!$K$5:$K$77)</f>
        <v>0</v>
      </c>
      <c r="H17" s="14">
        <f>SUMIF('Property Summary'!$C$5:$C$77,$B17,'Property Summary'!$L$5:$L$77)</f>
        <v>0</v>
      </c>
      <c r="I17" s="15" t="str">
        <f t="shared" si="0"/>
        <v>-</v>
      </c>
    </row>
    <row r="18" spans="2:17" ht="15" customHeight="1" x14ac:dyDescent="0.35">
      <c r="B18" s="12" t="s">
        <v>622</v>
      </c>
      <c r="C18" s="13">
        <f>COUNTIF('Property Summary'!$C$5:$C$77,$B18)</f>
        <v>4</v>
      </c>
      <c r="D18" s="13">
        <f>SUMIF('Property Summary'!$C$5:$C$77,$B18,'Property Summary'!$H$5:$H$77)</f>
        <v>0</v>
      </c>
      <c r="E18" s="13">
        <f>SUMIF('Property Summary'!$C$5:$C$77,$B18,'Property Summary'!$I$5:$I$77)</f>
        <v>0</v>
      </c>
      <c r="F18" s="13">
        <f>SUMIF('Property Summary'!$C$5:$C$77,$B18,'Property Summary'!$J$5:$J$77)</f>
        <v>0</v>
      </c>
      <c r="G18" s="14">
        <f>SUMIF('Property Summary'!$C$5:$C$77,$B18,'Property Summary'!$K$5:$K$77)</f>
        <v>0</v>
      </c>
      <c r="H18" s="14">
        <f>SUMIF('Property Summary'!$C$5:$C$77,$B18,'Property Summary'!$L$5:$L$77)</f>
        <v>0</v>
      </c>
      <c r="I18" s="15" t="str">
        <f t="shared" si="0"/>
        <v>-</v>
      </c>
    </row>
    <row r="19" spans="2:17" ht="13.5" customHeight="1" x14ac:dyDescent="0.35"/>
    <row r="20" spans="2:17" ht="13.5" customHeight="1" x14ac:dyDescent="0.35"/>
    <row r="21" spans="2:17" ht="19.5" customHeight="1" x14ac:dyDescent="0.35">
      <c r="B21" s="190" t="s">
        <v>14</v>
      </c>
      <c r="C21" s="190"/>
      <c r="D21" s="190"/>
      <c r="E21" s="190"/>
      <c r="F21" s="190"/>
      <c r="G21" s="190"/>
      <c r="H21" s="190"/>
      <c r="I21" s="190"/>
    </row>
    <row r="22" spans="2:17" s="5" customFormat="1" ht="15" customHeight="1" x14ac:dyDescent="0.3">
      <c r="B22" s="10" t="s">
        <v>9</v>
      </c>
      <c r="C22" s="10" t="s">
        <v>10</v>
      </c>
      <c r="D22" s="10" t="s">
        <v>7</v>
      </c>
      <c r="E22" s="10" t="s">
        <v>2</v>
      </c>
      <c r="F22" s="10" t="s">
        <v>11</v>
      </c>
      <c r="G22" s="10" t="s">
        <v>4</v>
      </c>
      <c r="H22" s="10" t="s">
        <v>12</v>
      </c>
      <c r="I22" s="10" t="s">
        <v>13</v>
      </c>
      <c r="J22" s="11"/>
      <c r="K22" s="11"/>
      <c r="L22" s="11"/>
      <c r="M22" s="11"/>
      <c r="N22" s="11"/>
      <c r="O22" s="11"/>
      <c r="P22" s="11"/>
      <c r="Q22" s="11"/>
    </row>
    <row r="23" spans="2:17" ht="15" customHeight="1" x14ac:dyDescent="0.35">
      <c r="B23" s="12" t="s">
        <v>631</v>
      </c>
      <c r="C23" s="13">
        <f>COUNTIF('Property Summary'!$D$5:$D$77,$B23)</f>
        <v>22</v>
      </c>
      <c r="D23" s="13">
        <f>SUMIF('Property Summary'!$D$5:$D$77,$B23,'Property Summary'!$H$5:$H$77)</f>
        <v>0</v>
      </c>
      <c r="E23" s="13">
        <f>SUMIF('Property Summary'!$D$5:$D$77,$B23,'Property Summary'!$I$5:$I$77)</f>
        <v>0</v>
      </c>
      <c r="F23" s="13">
        <f>SUMIF('Property Summary'!$D$5:$D$77,$B23,'Property Summary'!$J$5:$J$77)</f>
        <v>0</v>
      </c>
      <c r="G23" s="14">
        <f>SUMIF('Property Summary'!$D$5:$D$77,$B23,'Property Summary'!$K$5:$K$77)</f>
        <v>0</v>
      </c>
      <c r="H23" s="14">
        <f>SUMIF('Property Summary'!$D$5:$D$77,$B23,'Property Summary'!$L$5:$L$77)</f>
        <v>0</v>
      </c>
      <c r="I23" s="15" t="str">
        <f>IFERROR(H23/G23,"-")</f>
        <v>-</v>
      </c>
    </row>
    <row r="24" spans="2:17" ht="15" customHeight="1" x14ac:dyDescent="0.35">
      <c r="B24" s="12" t="s">
        <v>634</v>
      </c>
      <c r="C24" s="13">
        <f>COUNTIF('Property Summary'!$D$5:$D$77,$B24)</f>
        <v>5</v>
      </c>
      <c r="D24" s="13">
        <f>SUMIF('Property Summary'!$D$5:$D$77,$B24,'Property Summary'!$H$5:$H$77)</f>
        <v>0</v>
      </c>
      <c r="E24" s="13">
        <f>SUMIF('Property Summary'!$D$5:$D$77,$B24,'Property Summary'!$I$5:$I$77)</f>
        <v>0</v>
      </c>
      <c r="F24" s="13">
        <f>SUMIF('Property Summary'!$D$5:$D$77,$B24,'Property Summary'!$J$5:$J$77)</f>
        <v>0</v>
      </c>
      <c r="G24" s="14">
        <f>SUMIF('Property Summary'!$D$5:$D$77,$B24,'Property Summary'!$K$5:$K$77)</f>
        <v>0</v>
      </c>
      <c r="H24" s="14">
        <f>SUMIF('Property Summary'!$D$5:$D$77,$B24,'Property Summary'!$L$5:$L$77)</f>
        <v>0</v>
      </c>
      <c r="I24" s="15" t="str">
        <f t="shared" ref="I24:I29" si="1">IFERROR(H24/G24,"-")</f>
        <v>-</v>
      </c>
    </row>
    <row r="25" spans="2:17" ht="15" customHeight="1" x14ac:dyDescent="0.35">
      <c r="B25" s="12" t="s">
        <v>633</v>
      </c>
      <c r="C25" s="13">
        <f>COUNTIF('Property Summary'!$D$5:$D$77,$B25)</f>
        <v>18</v>
      </c>
      <c r="D25" s="13">
        <f>SUMIF('Property Summary'!$D$5:$D$77,$B25,'Property Summary'!$H$5:$H$77)</f>
        <v>0</v>
      </c>
      <c r="E25" s="13">
        <f>SUMIF('Property Summary'!$D$5:$D$77,$B25,'Property Summary'!$I$5:$I$77)</f>
        <v>0</v>
      </c>
      <c r="F25" s="13">
        <f>SUMIF('Property Summary'!$D$5:$D$77,$B25,'Property Summary'!$J$5:$J$77)</f>
        <v>0</v>
      </c>
      <c r="G25" s="14">
        <f>SUMIF('Property Summary'!$D$5:$D$77,$B25,'Property Summary'!$K$5:$K$77)</f>
        <v>0</v>
      </c>
      <c r="H25" s="14">
        <f>SUMIF('Property Summary'!$D$5:$D$77,$B25,'Property Summary'!$L$5:$L$77)</f>
        <v>0</v>
      </c>
      <c r="I25" s="15" t="str">
        <f t="shared" si="1"/>
        <v>-</v>
      </c>
    </row>
    <row r="26" spans="2:17" ht="15" customHeight="1" x14ac:dyDescent="0.35">
      <c r="B26" s="12" t="s">
        <v>635</v>
      </c>
      <c r="C26" s="13">
        <f>COUNTIF('Property Summary'!$D$5:$D$77,$B26)</f>
        <v>4</v>
      </c>
      <c r="D26" s="13">
        <f>SUMIF('Property Summary'!$D$5:$D$77,$B26,'Property Summary'!$H$5:$H$77)</f>
        <v>0</v>
      </c>
      <c r="E26" s="13">
        <f>SUMIF('Property Summary'!$D$5:$D$77,$B26,'Property Summary'!$I$5:$I$77)</f>
        <v>0</v>
      </c>
      <c r="F26" s="13">
        <f>SUMIF('Property Summary'!$D$5:$D$77,$B26,'Property Summary'!$J$5:$J$77)</f>
        <v>0</v>
      </c>
      <c r="G26" s="14">
        <f>SUMIF('Property Summary'!$D$5:$D$77,$B26,'Property Summary'!$K$5:$K$77)</f>
        <v>0</v>
      </c>
      <c r="H26" s="14">
        <f>SUMIF('Property Summary'!$D$5:$D$77,$B26,'Property Summary'!$L$5:$L$77)</f>
        <v>0</v>
      </c>
      <c r="I26" s="15" t="str">
        <f t="shared" si="1"/>
        <v>-</v>
      </c>
    </row>
    <row r="27" spans="2:17" ht="15" customHeight="1" x14ac:dyDescent="0.35">
      <c r="B27" s="12" t="s">
        <v>636</v>
      </c>
      <c r="C27" s="13">
        <f>COUNTIF('Property Summary'!$D$5:$D$77,$B27)</f>
        <v>4</v>
      </c>
      <c r="D27" s="13">
        <f>SUMIF('Property Summary'!$D$5:$D$77,$B27,'Property Summary'!$H$5:$H$77)</f>
        <v>0</v>
      </c>
      <c r="E27" s="13">
        <f>SUMIF('Property Summary'!$D$5:$D$77,$B27,'Property Summary'!$I$5:$I$77)</f>
        <v>0</v>
      </c>
      <c r="F27" s="13">
        <f>SUMIF('Property Summary'!$D$5:$D$77,$B27,'Property Summary'!$J$5:$J$77)</f>
        <v>0</v>
      </c>
      <c r="G27" s="14">
        <f>SUMIF('Property Summary'!$D$5:$D$77,$B27,'Property Summary'!$K$5:$K$77)</f>
        <v>0</v>
      </c>
      <c r="H27" s="14">
        <f>SUMIF('Property Summary'!$D$5:$D$77,$B27,'Property Summary'!$L$5:$L$77)</f>
        <v>0</v>
      </c>
      <c r="I27" s="15" t="str">
        <f t="shared" si="1"/>
        <v>-</v>
      </c>
    </row>
    <row r="28" spans="2:17" ht="15" customHeight="1" x14ac:dyDescent="0.35">
      <c r="B28" s="12" t="s">
        <v>632</v>
      </c>
      <c r="C28" s="13">
        <f>COUNTIF('Property Summary'!$D$5:$D$77,$B28)</f>
        <v>15</v>
      </c>
      <c r="D28" s="13">
        <f>SUMIF('Property Summary'!$D$5:$D$77,$B28,'Property Summary'!$H$5:$H$77)</f>
        <v>0</v>
      </c>
      <c r="E28" s="13">
        <f>SUMIF('Property Summary'!$D$5:$D$77,$B28,'Property Summary'!$I$5:$I$77)</f>
        <v>0</v>
      </c>
      <c r="F28" s="13">
        <f>SUMIF('Property Summary'!$D$5:$D$77,$B28,'Property Summary'!$J$5:$J$77)</f>
        <v>0</v>
      </c>
      <c r="G28" s="14">
        <f>SUMIF('Property Summary'!$D$5:$D$77,$B28,'Property Summary'!$K$5:$K$77)</f>
        <v>0</v>
      </c>
      <c r="H28" s="14">
        <f>SUMIF('Property Summary'!$D$5:$D$77,$B28,'Property Summary'!$L$5:$L$77)</f>
        <v>0</v>
      </c>
      <c r="I28" s="15" t="str">
        <f t="shared" si="1"/>
        <v>-</v>
      </c>
    </row>
    <row r="29" spans="2:17" ht="15" customHeight="1" x14ac:dyDescent="0.35">
      <c r="B29" s="12" t="s">
        <v>637</v>
      </c>
      <c r="C29" s="13">
        <f>COUNTIF('Property Summary'!$D$5:$D$77,$B29)</f>
        <v>4</v>
      </c>
      <c r="D29" s="13">
        <f>SUMIF('Property Summary'!$D$5:$D$77,$B29,'Property Summary'!$H$5:$H$77)</f>
        <v>0</v>
      </c>
      <c r="E29" s="13">
        <f>SUMIF('Property Summary'!$D$5:$D$77,$B29,'Property Summary'!$I$5:$I$77)</f>
        <v>0</v>
      </c>
      <c r="F29" s="13">
        <f>SUMIF('Property Summary'!$D$5:$D$77,$B29,'Property Summary'!$J$5:$J$77)</f>
        <v>0</v>
      </c>
      <c r="G29" s="14">
        <f>SUMIF('Property Summary'!$D$5:$D$77,$B29,'Property Summary'!$K$5:$K$77)</f>
        <v>0</v>
      </c>
      <c r="H29" s="14">
        <f>SUMIF('Property Summary'!$D$5:$D$77,$B29,'Property Summary'!$L$5:$L$77)</f>
        <v>0</v>
      </c>
      <c r="I29" s="15" t="str">
        <f t="shared" si="1"/>
        <v>-</v>
      </c>
    </row>
    <row r="30" spans="2:17" ht="13.5" customHeight="1" x14ac:dyDescent="0.35"/>
    <row r="31" spans="2:17" ht="13.5" customHeight="1" x14ac:dyDescent="0.35"/>
    <row r="32" spans="2:17" ht="19.5" customHeight="1" x14ac:dyDescent="0.35">
      <c r="B32" s="190" t="s">
        <v>15</v>
      </c>
      <c r="C32" s="190"/>
      <c r="D32" s="190"/>
      <c r="E32" s="190"/>
      <c r="F32" s="190"/>
      <c r="G32" s="190"/>
      <c r="H32" s="190"/>
      <c r="I32" s="190"/>
    </row>
    <row r="33" spans="2:17" s="5" customFormat="1" ht="15" customHeight="1" x14ac:dyDescent="0.3">
      <c r="B33" s="10" t="s">
        <v>16</v>
      </c>
      <c r="C33" s="10" t="s">
        <v>17</v>
      </c>
      <c r="D33" s="10" t="s">
        <v>2</v>
      </c>
      <c r="E33" s="10" t="s">
        <v>11</v>
      </c>
      <c r="F33" s="10" t="s">
        <v>18</v>
      </c>
      <c r="G33" s="10" t="s">
        <v>19</v>
      </c>
      <c r="H33" s="10" t="s">
        <v>20</v>
      </c>
      <c r="I33" s="10" t="s">
        <v>12</v>
      </c>
      <c r="J33" s="11"/>
      <c r="K33" s="11"/>
      <c r="L33" s="11"/>
      <c r="M33" s="11"/>
      <c r="N33" s="11"/>
      <c r="O33" s="11"/>
      <c r="P33" s="11"/>
      <c r="Q33" s="11"/>
    </row>
    <row r="34" spans="2:17" ht="15" customHeight="1" x14ac:dyDescent="0.35">
      <c r="B34" s="12" t="s">
        <v>21</v>
      </c>
      <c r="C34" s="13">
        <f>COUNTIFS('Initiative Log'!$I:$I,"LED Lighting",'Initiative Log'!$K:$K,"Completed")</f>
        <v>1</v>
      </c>
      <c r="D34" s="13">
        <f>SUMIFS('Initiative Log'!$P:$P,'Initiative Log'!$I:$I,"LED Lighting",'Initiative Log'!$K:$K,"Completed")</f>
        <v>205312.5</v>
      </c>
      <c r="E34" s="13">
        <f>SUMIFS('Initiative Log'!$Q:$Q,'Initiative Log'!$I:$I,"LED Lighting",'Initiative Log'!$K:$K,"Completed")</f>
        <v>0</v>
      </c>
      <c r="F34" s="14">
        <f>SUMIFS('Initiative Log'!$T:$T,'Initiative Log'!$I:$I,"LED Lighting",'Initiative Log'!$K:$K,"Completed")</f>
        <v>45168.75</v>
      </c>
      <c r="G34" s="14">
        <f>SUMIFS('Initiative Log'!$U:$U,'Initiative Log'!$I:$I,"LED Lighting",'Initiative Log'!$K:$K,"Completed")</f>
        <v>0</v>
      </c>
      <c r="H34" s="14">
        <f>SUMIFS('Initiative Log'!$V:$V,'Initiative Log'!$I:$I,"LED Lighting",'Initiative Log'!$K:$K,"Completed")</f>
        <v>45168.75</v>
      </c>
      <c r="I34" s="14">
        <f>SUMIFS('Initiative Log'!$O:$O,'Initiative Log'!$I:$I,"LED Lighting",'Initiative Log'!$K:$K,"Completed")</f>
        <v>0</v>
      </c>
    </row>
    <row r="35" spans="2:17" ht="15" customHeight="1" x14ac:dyDescent="0.35">
      <c r="B35" s="12" t="s">
        <v>22</v>
      </c>
      <c r="C35" s="13">
        <f>COUNTIFS('Initiative Log'!$I:$I,"Low-Flow Toilet",'Initiative Log'!$K:$K,"Completed")</f>
        <v>1</v>
      </c>
      <c r="D35" s="13">
        <f>SUMIFS('Initiative Log'!$P:$P,'Initiative Log'!$I:$I,"Low-Flow Toilet",'Initiative Log'!$K:$K,"Completed")</f>
        <v>0</v>
      </c>
      <c r="E35" s="13">
        <f>SUMIFS('Initiative Log'!$Q:$Q,'Initiative Log'!$I:$I,"Low-Flow Toilet",'Initiative Log'!$K:$K,"Completed")</f>
        <v>1500000</v>
      </c>
      <c r="F35" s="14">
        <f>SUMIFS('Initiative Log'!$T:$T,'Initiative Log'!$I:$I,"Low-Flow Toilet",'Initiative Log'!$K:$K,"Completed")</f>
        <v>0</v>
      </c>
      <c r="G35" s="14">
        <f>SUMIFS('Initiative Log'!$U:$U,'Initiative Log'!$I:$I,"Low-Flow Toilet",'Initiative Log'!$K:$K,"Completed")</f>
        <v>12000</v>
      </c>
      <c r="H35" s="14">
        <f>SUMIFS('Initiative Log'!$V:$V,'Initiative Log'!$I:$I,"Low-Flow Toilet",'Initiative Log'!$K:$K,"Completed")</f>
        <v>12000</v>
      </c>
      <c r="I35" s="14">
        <f>SUMIFS('Initiative Log'!$O:$O,'Initiative Log'!$I:$I,"Low-Flow Toilet",'Initiative Log'!$K:$K,"Completed")</f>
        <v>0</v>
      </c>
    </row>
    <row r="36" spans="2:17" ht="15" customHeight="1" x14ac:dyDescent="0.35">
      <c r="B36" s="12" t="s">
        <v>23</v>
      </c>
      <c r="C36" s="13">
        <f>COUNTIFS('Initiative Log'!$I:$I,"Low-Flow Faucet (Bathroom)",'Initiative Log'!$K:$K,"Completed")</f>
        <v>1</v>
      </c>
      <c r="D36" s="13">
        <f>SUMIFS('Initiative Log'!$P:$P,'Initiative Log'!$I:$I,"Low-Flow Faucet (Bathroom)",'Initiative Log'!$K:$K,"Completed")</f>
        <v>0</v>
      </c>
      <c r="E36" s="13">
        <f>SUMIFS('Initiative Log'!$Q:$Q,'Initiative Log'!$I:$I,"Low-Flow Faucet (Bathroom)",'Initiative Log'!$K:$K,"Completed")</f>
        <v>618750</v>
      </c>
      <c r="F36" s="14">
        <f>SUMIFS('Initiative Log'!$T:$T,'Initiative Log'!$I:$I,"Low-Flow Faucet (Bathroom)",'Initiative Log'!$K:$K,"Completed")</f>
        <v>0</v>
      </c>
      <c r="G36" s="14">
        <f>SUMIFS('Initiative Log'!$U:$U,'Initiative Log'!$I:$I,"Low-Flow Faucet (Bathroom)",'Initiative Log'!$K:$K,"Completed")</f>
        <v>4950</v>
      </c>
      <c r="H36" s="14">
        <f>SUMIFS('Initiative Log'!$V:$V,'Initiative Log'!$I:$I,"Low-Flow Faucet (Bathroom)",'Initiative Log'!$K:$K,"Completed")</f>
        <v>4950</v>
      </c>
      <c r="I36" s="14">
        <f>SUMIFS('Initiative Log'!$O:$O,'Initiative Log'!$I:$I,"Low-Flow Faucet (Bathroom)",'Initiative Log'!$K:$K,"Completed")</f>
        <v>0</v>
      </c>
    </row>
    <row r="37" spans="2:17" ht="15" customHeight="1" x14ac:dyDescent="0.35">
      <c r="B37" s="12" t="s">
        <v>24</v>
      </c>
      <c r="C37" s="13">
        <f>COUNTIFS('Initiative Log'!$I:$I,"Low-Flow Faucet (Kitchen)",'Initiative Log'!$K:$K,"Completed")</f>
        <v>1</v>
      </c>
      <c r="D37" s="13">
        <f>SUMIFS('Initiative Log'!$P:$P,'Initiative Log'!$I:$I,"Low-Flow Faucet (Kitchen)",'Initiative Log'!$K:$K,"Completed")</f>
        <v>0</v>
      </c>
      <c r="E37" s="13">
        <f>SUMIFS('Initiative Log'!$Q:$Q,'Initiative Log'!$I:$I,"Low-Flow Faucet (Kitchen)",'Initiative Log'!$K:$K,"Completed")</f>
        <v>825000</v>
      </c>
      <c r="F37" s="14">
        <f>SUMIFS('Initiative Log'!$T:$T,'Initiative Log'!$I:$I,"Low-Flow Faucet (Kitchen)",'Initiative Log'!$K:$K,"Completed")</f>
        <v>0</v>
      </c>
      <c r="G37" s="14">
        <f>SUMIFS('Initiative Log'!$U:$U,'Initiative Log'!$I:$I,"Low-Flow Faucet (Kitchen)",'Initiative Log'!$K:$K,"Completed")</f>
        <v>6600</v>
      </c>
      <c r="H37" s="14">
        <f>SUMIFS('Initiative Log'!$V:$V,'Initiative Log'!$I:$I,"Low-Flow Faucet (Kitchen)",'Initiative Log'!$K:$K,"Completed")</f>
        <v>6600</v>
      </c>
      <c r="I37" s="14">
        <f>SUMIFS('Initiative Log'!$O:$O,'Initiative Log'!$I:$I,"Low-Flow Faucet (Kitchen)",'Initiative Log'!$K:$K,"Completed")</f>
        <v>0</v>
      </c>
    </row>
    <row r="38" spans="2:17" ht="15" customHeight="1" x14ac:dyDescent="0.35">
      <c r="B38" s="12" t="s">
        <v>25</v>
      </c>
      <c r="C38" s="13">
        <f>COUNTIFS('Initiative Log'!$I:$I,"Energy Star Refrigerator",'Initiative Log'!$K:$K,"Completed")</f>
        <v>1</v>
      </c>
      <c r="D38" s="13">
        <f>SUMIFS('Initiative Log'!$P:$P,'Initiative Log'!$I:$I,"Energy Star Refrigerator",'Initiative Log'!$K:$K,"Completed")</f>
        <v>150000</v>
      </c>
      <c r="E38" s="13">
        <f>SUMIFS('Initiative Log'!$Q:$Q,'Initiative Log'!$I:$I,"Energy Star Refrigerator",'Initiative Log'!$K:$K,"Completed")</f>
        <v>0</v>
      </c>
      <c r="F38" s="14">
        <f>SUMIFS('Initiative Log'!$T:$T,'Initiative Log'!$I:$I,"Energy Star Refrigerator",'Initiative Log'!$K:$K,"Completed")</f>
        <v>33000</v>
      </c>
      <c r="G38" s="14">
        <f>SUMIFS('Initiative Log'!$U:$U,'Initiative Log'!$I:$I,"Energy Star Refrigerator",'Initiative Log'!$K:$K,"Completed")</f>
        <v>0</v>
      </c>
      <c r="H38" s="14">
        <f>SUMIFS('Initiative Log'!$V:$V,'Initiative Log'!$I:$I,"Energy Star Refrigerator",'Initiative Log'!$K:$K,"Completed")</f>
        <v>33000</v>
      </c>
      <c r="I38" s="14">
        <f>SUMIFS('Initiative Log'!$O:$O,'Initiative Log'!$I:$I,"Energy Star Refrigerator",'Initiative Log'!$K:$K,"Completed")</f>
        <v>0</v>
      </c>
    </row>
    <row r="39" spans="2:17" ht="15" customHeight="1" x14ac:dyDescent="0.35">
      <c r="B39" s="12" t="s">
        <v>26</v>
      </c>
      <c r="C39" s="13">
        <f>COUNTIFS('Initiative Log'!$I:$I,"Energy Star Range",'Initiative Log'!$K:$K,"Completed")</f>
        <v>1</v>
      </c>
      <c r="D39" s="13">
        <f>SUMIFS('Initiative Log'!$P:$P,'Initiative Log'!$I:$I,"Energy Star Range",'Initiative Log'!$K:$K,"Completed")</f>
        <v>112500</v>
      </c>
      <c r="E39" s="13">
        <f>SUMIFS('Initiative Log'!$Q:$Q,'Initiative Log'!$I:$I,"Energy Star Range",'Initiative Log'!$K:$K,"Completed")</f>
        <v>0</v>
      </c>
      <c r="F39" s="14">
        <f>SUMIFS('Initiative Log'!$T:$T,'Initiative Log'!$I:$I,"Energy Star Range",'Initiative Log'!$K:$K,"Completed")</f>
        <v>24750</v>
      </c>
      <c r="G39" s="14">
        <f>SUMIFS('Initiative Log'!$U:$U,'Initiative Log'!$I:$I,"Energy Star Range",'Initiative Log'!$K:$K,"Completed")</f>
        <v>0</v>
      </c>
      <c r="H39" s="14">
        <f>SUMIFS('Initiative Log'!$V:$V,'Initiative Log'!$I:$I,"Energy Star Range",'Initiative Log'!$K:$K,"Completed")</f>
        <v>24750</v>
      </c>
      <c r="I39" s="14">
        <f>SUMIFS('Initiative Log'!$O:$O,'Initiative Log'!$I:$I,"Energy Star Range",'Initiative Log'!$K:$K,"Completed")</f>
        <v>0</v>
      </c>
    </row>
    <row r="40" spans="2:17" ht="15" customHeight="1" x14ac:dyDescent="0.35">
      <c r="B40" s="12" t="s">
        <v>27</v>
      </c>
      <c r="C40" s="13">
        <f>COUNTIFS('Initiative Log'!$I:$I,"Energy Star Dishwasher",'Initiative Log'!$K:$K,"Completed")</f>
        <v>1</v>
      </c>
      <c r="D40" s="13">
        <f>SUMIFS('Initiative Log'!$P:$P,'Initiative Log'!$I:$I,"Energy Star Dishwasher",'Initiative Log'!$K:$K,"Completed")</f>
        <v>22500</v>
      </c>
      <c r="E40" s="13">
        <f>SUMIFS('Initiative Log'!$Q:$Q,'Initiative Log'!$I:$I,"Energy Star Dishwasher",'Initiative Log'!$K:$K,"Completed")</f>
        <v>337500</v>
      </c>
      <c r="F40" s="14">
        <f>SUMIFS('Initiative Log'!$T:$T,'Initiative Log'!$I:$I,"Energy Star Dishwasher",'Initiative Log'!$K:$K,"Completed")</f>
        <v>4950</v>
      </c>
      <c r="G40" s="14">
        <f>SUMIFS('Initiative Log'!$U:$U,'Initiative Log'!$I:$I,"Energy Star Dishwasher",'Initiative Log'!$K:$K,"Completed")</f>
        <v>2700</v>
      </c>
      <c r="H40" s="14">
        <f>SUMIFS('Initiative Log'!$V:$V,'Initiative Log'!$I:$I,"Energy Star Dishwasher",'Initiative Log'!$K:$K,"Completed")</f>
        <v>7650</v>
      </c>
      <c r="I40" s="14">
        <f>SUMIFS('Initiative Log'!$O:$O,'Initiative Log'!$I:$I,"Energy Star Dishwasher",'Initiative Log'!$K:$K,"Completed")</f>
        <v>0</v>
      </c>
    </row>
    <row r="41" spans="2:17" ht="15" customHeight="1" x14ac:dyDescent="0.35">
      <c r="B41" s="12" t="s">
        <v>28</v>
      </c>
      <c r="C41" s="13">
        <f>COUNTIFS('Initiative Log'!$I:$I,"Energy Star Washer/Dryer",'Initiative Log'!$K:$K,"Completed")</f>
        <v>1</v>
      </c>
      <c r="D41" s="13">
        <f>SUMIFS('Initiative Log'!$P:$P,'Initiative Log'!$I:$I,"Energy Star Washer/Dryer",'Initiative Log'!$K:$K,"Completed")</f>
        <v>502500</v>
      </c>
      <c r="E41" s="13">
        <f>SUMIFS('Initiative Log'!$Q:$Q,'Initiative Log'!$I:$I,"Energy Star Washer/Dryer",'Initiative Log'!$K:$K,"Completed")</f>
        <v>112500</v>
      </c>
      <c r="F41" s="14">
        <f>SUMIFS('Initiative Log'!$T:$T,'Initiative Log'!$I:$I,"Energy Star Washer/Dryer",'Initiative Log'!$K:$K,"Completed")</f>
        <v>110550</v>
      </c>
      <c r="G41" s="14">
        <f>SUMIFS('Initiative Log'!$U:$U,'Initiative Log'!$I:$I,"Energy Star Washer/Dryer",'Initiative Log'!$K:$K,"Completed")</f>
        <v>900</v>
      </c>
      <c r="H41" s="14">
        <f>SUMIFS('Initiative Log'!$V:$V,'Initiative Log'!$I:$I,"Energy Star Washer/Dryer",'Initiative Log'!$K:$K,"Completed")</f>
        <v>111450</v>
      </c>
      <c r="I41" s="14">
        <f>SUMIFS('Initiative Log'!$O:$O,'Initiative Log'!$I:$I,"Energy Star Washer/Dryer",'Initiative Log'!$K:$K,"Completed")</f>
        <v>0</v>
      </c>
    </row>
    <row r="42" spans="2:17" ht="15" customHeight="1" x14ac:dyDescent="0.35">
      <c r="B42" s="12" t="s">
        <v>29</v>
      </c>
      <c r="C42" s="13">
        <f>COUNTIFS('Initiative Log'!$I:$I,"Energy Star AC Unit",'Initiative Log'!$K:$K,"Completed")</f>
        <v>1</v>
      </c>
      <c r="D42" s="13">
        <f>SUMIFS('Initiative Log'!$P:$P,'Initiative Log'!$I:$I,"Energy Star AC Unit",'Initiative Log'!$K:$K,"Completed")</f>
        <v>187500</v>
      </c>
      <c r="E42" s="13">
        <f>SUMIFS('Initiative Log'!$Q:$Q,'Initiative Log'!$I:$I,"Energy Star AC Unit",'Initiative Log'!$K:$K,"Completed")</f>
        <v>0</v>
      </c>
      <c r="F42" s="14">
        <f>SUMIFS('Initiative Log'!$T:$T,'Initiative Log'!$I:$I,"Energy Star AC Unit",'Initiative Log'!$K:$K,"Completed")</f>
        <v>41250</v>
      </c>
      <c r="G42" s="14">
        <f>SUMIFS('Initiative Log'!$U:$U,'Initiative Log'!$I:$I,"Energy Star AC Unit",'Initiative Log'!$K:$K,"Completed")</f>
        <v>0</v>
      </c>
      <c r="H42" s="14">
        <f>SUMIFS('Initiative Log'!$V:$V,'Initiative Log'!$I:$I,"Energy Star AC Unit",'Initiative Log'!$K:$K,"Completed")</f>
        <v>41250</v>
      </c>
      <c r="I42" s="14">
        <f>SUMIFS('Initiative Log'!$O:$O,'Initiative Log'!$I:$I,"Energy Star AC Unit",'Initiative Log'!$K:$K,"Completed")</f>
        <v>0</v>
      </c>
    </row>
    <row r="43" spans="2:17" ht="15" customHeight="1" x14ac:dyDescent="0.35">
      <c r="B43" s="12" t="s">
        <v>37</v>
      </c>
      <c r="C43" s="13">
        <f>COUNTIFS('Initiative Log'!$I:$I,"Low-Flow Shower Head",'Initiative Log'!$K:$K,"Completed")</f>
        <v>1</v>
      </c>
      <c r="D43" s="13">
        <f>SUMIFS('Initiative Log'!$P:$P,'Initiative Log'!$I:$I,"Low-Flow Shower Head",'Initiative Log'!$K:$K,"Completed")</f>
        <v>0</v>
      </c>
      <c r="E43" s="13">
        <f>SUMIFS('Initiative Log'!$Q:$Q,'Initiative Log'!$I:$I,"Low-Flow Shower Head",'Initiative Log'!$K:$K,"Completed")</f>
        <v>2025000</v>
      </c>
      <c r="F43" s="14">
        <f>SUMIFS('Initiative Log'!$T:$T,'Initiative Log'!$I:$I,"Low-Flow Shower Head",'Initiative Log'!$K:$K,"Completed")</f>
        <v>0</v>
      </c>
      <c r="G43" s="14">
        <f>SUMIFS('Initiative Log'!$U:$U,'Initiative Log'!$I:$I,"Low-Flow Shower Head",'Initiative Log'!$K:$K,"Completed")</f>
        <v>16200</v>
      </c>
      <c r="H43" s="14">
        <f>SUMIFS('Initiative Log'!$V:$V,'Initiative Log'!$I:$I,"Low-Flow Shower Head",'Initiative Log'!$K:$K,"Completed")</f>
        <v>16200</v>
      </c>
      <c r="I43" s="14"/>
    </row>
    <row r="44" spans="2:17" ht="15" customHeight="1" x14ac:dyDescent="0.35">
      <c r="B44" s="12" t="s">
        <v>30</v>
      </c>
      <c r="C44" s="13">
        <f>COUNTIFS('Initiative Log'!$I:$I,"Other",'Initiative Log'!$K:$K,"Completed")</f>
        <v>0</v>
      </c>
      <c r="D44" s="13">
        <f>SUMIFS('Initiative Log'!$P:$P,'Initiative Log'!$I:$I,"Other",'Initiative Log'!$K:$K,"Completed")</f>
        <v>0</v>
      </c>
      <c r="E44" s="13">
        <f>SUMIFS('Initiative Log'!$Q:$Q,'Initiative Log'!$I:$I,"Other",'Initiative Log'!$K:$K,"Completed")</f>
        <v>0</v>
      </c>
      <c r="F44" s="14">
        <f>SUMIFS('Initiative Log'!$T:$T,'Initiative Log'!$I:$I,"Other",'Initiative Log'!$K:$K,"Completed")</f>
        <v>0</v>
      </c>
      <c r="G44" s="14">
        <f>SUMIFS('Initiative Log'!$U:$U,'Initiative Log'!$I:$I,"Other",'Initiative Log'!$K:$K,"Completed")</f>
        <v>0</v>
      </c>
      <c r="H44" s="14">
        <f>SUMIFS('Initiative Log'!$V:$V,'Initiative Log'!$I:$I,"Other",'Initiative Log'!$K:$K,"Completed")</f>
        <v>0</v>
      </c>
      <c r="I44" s="14">
        <f>SUMIFS('Initiative Log'!$O:$O,'Initiative Log'!$I:$I,"Other",'Initiative Log'!$K:$K,"Completed")</f>
        <v>0</v>
      </c>
    </row>
    <row r="45" spans="2:17" ht="13.5" customHeight="1" x14ac:dyDescent="0.35"/>
    <row r="46" spans="2:17" ht="13.5" customHeight="1" x14ac:dyDescent="0.35"/>
    <row r="47" spans="2:17" ht="21.75" customHeight="1" x14ac:dyDescent="0.35">
      <c r="B47" s="191" t="s">
        <v>31</v>
      </c>
      <c r="C47" s="191"/>
      <c r="D47" s="191"/>
      <c r="E47" s="191"/>
      <c r="F47" s="191"/>
      <c r="G47" s="191"/>
      <c r="H47" s="191"/>
      <c r="I47" s="2"/>
    </row>
    <row r="48" spans="2:17" s="5" customFormat="1" ht="31.5" customHeight="1" x14ac:dyDescent="0.3">
      <c r="B48" s="10" t="s">
        <v>16</v>
      </c>
      <c r="C48" s="10" t="s">
        <v>17</v>
      </c>
      <c r="D48" s="10" t="s">
        <v>32</v>
      </c>
      <c r="E48" s="10" t="s">
        <v>33</v>
      </c>
      <c r="F48" s="10" t="s">
        <v>34</v>
      </c>
      <c r="G48" s="10" t="s">
        <v>35</v>
      </c>
      <c r="H48" s="10" t="s">
        <v>36</v>
      </c>
      <c r="I48" s="11"/>
      <c r="J48" s="11"/>
      <c r="K48" s="11"/>
      <c r="L48" s="11"/>
      <c r="M48" s="11"/>
      <c r="N48" s="11"/>
      <c r="O48" s="11"/>
      <c r="P48" s="11"/>
      <c r="Q48" s="11"/>
    </row>
    <row r="49" spans="2:17" ht="13.5" customHeight="1" x14ac:dyDescent="0.35">
      <c r="B49" s="16" t="s">
        <v>22</v>
      </c>
      <c r="C49" s="17">
        <f>COUNTIFS('Initiative Log'!$I:$I,"Low-Flow Toilet",'Initiative Log'!$K:$K,"Completed")</f>
        <v>1</v>
      </c>
      <c r="D49" s="13">
        <f>SUMIFS('Initiative Log'!$Y:$Y,'Initiative Log'!$I:$I,"Low-Flow Toilet",'Initiative Log'!$K:$K,"Completed")</f>
        <v>2700000</v>
      </c>
      <c r="E49" s="13">
        <f>SUMIFS('Initiative Log'!$Z:$Z,'Initiative Log'!$I:$I,"Low-Flow Toilet",'Initiative Log'!$K:$K,"Completed")</f>
        <v>1200000</v>
      </c>
      <c r="F49" s="13">
        <f>SUMIFS('Initiative Log'!$Q:$Q,'Initiative Log'!$I:$I,"Low-Flow Toilet",'Initiative Log'!$K:$K,"Completed")</f>
        <v>1500000</v>
      </c>
      <c r="G49" s="18">
        <f>IFERROR(F49/D49,"-")</f>
        <v>0.55555555555555558</v>
      </c>
      <c r="H49" s="14">
        <f>SUMIFS('Initiative Log'!$U:$U,'Initiative Log'!$I:$I,"Low-Flow Toilet",'Initiative Log'!$K:$K,"Completed")</f>
        <v>12000</v>
      </c>
    </row>
    <row r="50" spans="2:17" ht="13.5" customHeight="1" x14ac:dyDescent="0.35">
      <c r="B50" s="16" t="s">
        <v>37</v>
      </c>
      <c r="C50" s="17">
        <f>COUNTIFS('Initiative Log'!$I:$I,"Low-Flow Shower Head",'Initiative Log'!$K:$K,"Completed")</f>
        <v>1</v>
      </c>
      <c r="D50" s="13">
        <f>SUMIFS('Initiative Log'!$Y:$Y,'Initiative Log'!$I:$I,"Low-Flow Shower Head",'Initiative Log'!$K:$K,"Completed")</f>
        <v>6750000</v>
      </c>
      <c r="E50" s="13">
        <f>SUMIFS('Initiative Log'!$Z:$Z,'Initiative Log'!$I:$I,"Low-Flow Shower Head",'Initiative Log'!$K:$K,"Completed")</f>
        <v>4725000</v>
      </c>
      <c r="F50" s="13">
        <f>SUMIFS('Initiative Log'!$Q:$Q,'Initiative Log'!$I:$I,"Low-Flow Shower Head",'Initiative Log'!$K:$K,"Completed")</f>
        <v>2025000</v>
      </c>
      <c r="G50" s="18">
        <f t="shared" ref="G50:G56" si="2">IFERROR(F50/D50,"-")</f>
        <v>0.3</v>
      </c>
      <c r="H50" s="14">
        <f>SUMIFS('Initiative Log'!$U:$U,'Initiative Log'!$I:$I,"Low-Flow Shower Head",'Initiative Log'!$K:$K,"Completed")</f>
        <v>16200</v>
      </c>
    </row>
    <row r="51" spans="2:17" ht="13.5" customHeight="1" x14ac:dyDescent="0.35">
      <c r="B51" s="16" t="s">
        <v>23</v>
      </c>
      <c r="C51" s="17">
        <f>COUNTIFS('Initiative Log'!$I:$I,"Low-Flow Faucet (Bathroom)",'Initiative Log'!$K:$K,"Completed")</f>
        <v>1</v>
      </c>
      <c r="D51" s="13">
        <f>SUMIFS('Initiative Log'!$Y:$Y,'Initiative Log'!$I:$I,"Low-Flow Faucet (Bathroom)",'Initiative Log'!$K:$K,"Completed")</f>
        <v>1968750</v>
      </c>
      <c r="E51" s="13">
        <f>SUMIFS('Initiative Log'!$Z:$Z,'Initiative Log'!$I:$I,"Low-Flow Faucet (Bathroom)",'Initiative Log'!$K:$K,"Completed")</f>
        <v>1350000</v>
      </c>
      <c r="F51" s="13">
        <f>SUMIFS('Initiative Log'!$Q:$Q,'Initiative Log'!$I:$I,"Low-Flow Faucet (Bathroom)",'Initiative Log'!$K:$K,"Completed")</f>
        <v>618750</v>
      </c>
      <c r="G51" s="18">
        <f t="shared" si="2"/>
        <v>0.31428571428571428</v>
      </c>
      <c r="H51" s="14">
        <f>SUMIFS('Initiative Log'!$U:$U,'Initiative Log'!$I:$I,"Low-Flow Faucet (Bathroom)",'Initiative Log'!$K:$K,"Completed")</f>
        <v>4950</v>
      </c>
    </row>
    <row r="52" spans="2:17" ht="13.5" customHeight="1" x14ac:dyDescent="0.35">
      <c r="B52" s="16" t="s">
        <v>24</v>
      </c>
      <c r="C52" s="17">
        <f>COUNTIFS('Initiative Log'!$I:$I,"Low-Flow Faucet (Kitchen)",'Initiative Log'!$K:$K,"Completed")</f>
        <v>1</v>
      </c>
      <c r="D52" s="13">
        <f>SUMIFS('Initiative Log'!$Y:$Y,'Initiative Log'!$I:$I,"Low-Flow Faucet (Kitchen)",'Initiative Log'!$K:$K,"Completed")</f>
        <v>2625000</v>
      </c>
      <c r="E52" s="13">
        <f>SUMIFS('Initiative Log'!$Z:$Z,'Initiative Log'!$I:$I,"Low-Flow Faucet (Kitchen)",'Initiative Log'!$K:$K,"Completed")</f>
        <v>1800000</v>
      </c>
      <c r="F52" s="13">
        <f>SUMIFS('Initiative Log'!$Q:$Q,'Initiative Log'!$I:$I,"Low-Flow Faucet (Kitchen)",'Initiative Log'!$K:$K,"Completed")</f>
        <v>825000</v>
      </c>
      <c r="G52" s="18">
        <f t="shared" si="2"/>
        <v>0.31428571428571428</v>
      </c>
      <c r="H52" s="14">
        <f>SUMIFS('Initiative Log'!$U:$U,'Initiative Log'!$I:$I,"Low-Flow Faucet (Kitchen)",'Initiative Log'!$K:$K,"Completed")</f>
        <v>6600</v>
      </c>
    </row>
    <row r="53" spans="2:17" ht="13.5" customHeight="1" x14ac:dyDescent="0.35">
      <c r="B53" s="16" t="s">
        <v>27</v>
      </c>
      <c r="C53" s="17">
        <f>COUNTIFS('Initiative Log'!$I:$I,"Energy Star Dishwasher",'Initiative Log'!$K:$K,"Completed")</f>
        <v>1</v>
      </c>
      <c r="D53" s="13">
        <f>SUMIFS('Initiative Log'!$Y:$Y,'Initiative Log'!$I:$I,"Energy Star Dishwasher",'Initiative Log'!$K:$K,"Completed")</f>
        <v>3750000</v>
      </c>
      <c r="E53" s="13">
        <f>SUMIFS('Initiative Log'!$Z:$Z,'Initiative Log'!$I:$I,"Energy Star Dishwasher",'Initiative Log'!$K:$K,"Completed")</f>
        <v>3412500</v>
      </c>
      <c r="F53" s="13">
        <f>SUMIFS('Initiative Log'!$Q:$Q,'Initiative Log'!$I:$I,"Energy Star Dishwasher",'Initiative Log'!$K:$K,"Completed")</f>
        <v>337500</v>
      </c>
      <c r="G53" s="18">
        <f t="shared" si="2"/>
        <v>0.09</v>
      </c>
      <c r="H53" s="14">
        <f>SUMIFS('Initiative Log'!$U:$U,'Initiative Log'!$I:$I,"Energy Star Dishwasher",'Initiative Log'!$K:$K,"Completed")</f>
        <v>2700</v>
      </c>
    </row>
    <row r="54" spans="2:17" ht="13.5" customHeight="1" x14ac:dyDescent="0.35">
      <c r="B54" s="16" t="s">
        <v>28</v>
      </c>
      <c r="C54" s="17">
        <f>COUNTIFS('Initiative Log'!$I:$I,"Energy Star Washer/Dryer",'Initiative Log'!$K:$K,"Completed")</f>
        <v>1</v>
      </c>
      <c r="D54" s="13">
        <f>SUMIFS('Initiative Log'!$Y:$Y,'Initiative Log'!$I:$I,"Energy Star Washer/Dryer",'Initiative Log'!$K:$K,"Completed")</f>
        <v>2625000</v>
      </c>
      <c r="E54" s="13">
        <f>SUMIFS('Initiative Log'!$Z:$Z,'Initiative Log'!$I:$I,"Energy Star Washer/Dryer",'Initiative Log'!$K:$K,"Completed")</f>
        <v>2512500</v>
      </c>
      <c r="F54" s="13">
        <f>SUMIFS('Initiative Log'!$Q:$Q,'Initiative Log'!$I:$I,"Energy Star Washer/Dryer",'Initiative Log'!$K:$K,"Completed")</f>
        <v>112500</v>
      </c>
      <c r="G54" s="18">
        <f t="shared" si="2"/>
        <v>4.2857142857142858E-2</v>
      </c>
      <c r="H54" s="14">
        <f>SUMIFS('Initiative Log'!$U:$U,'Initiative Log'!$I:$I,"Energy Star Washer/Dryer",'Initiative Log'!$K:$K,"Completed")</f>
        <v>900</v>
      </c>
    </row>
    <row r="55" spans="2:17" x14ac:dyDescent="0.35">
      <c r="B55" s="16" t="s">
        <v>30</v>
      </c>
      <c r="C55" s="17">
        <f>COUNTIFS('Initiative Log'!$I:$I,"Other",'Initiative Log'!$K:$K,"Completed")</f>
        <v>0</v>
      </c>
      <c r="D55" s="13">
        <f>SUMIFS('Initiative Log'!$Y:$Y,'Initiative Log'!$I:$I,"Other",'Initiative Log'!$K:$K,"Completed")</f>
        <v>0</v>
      </c>
      <c r="E55" s="13">
        <f>SUMIFS('Initiative Log'!$Z:$Z,'Initiative Log'!$I:$I,"Other",'Initiative Log'!$K:$K,"Completed")</f>
        <v>0</v>
      </c>
      <c r="F55" s="13">
        <f>SUMIFS('Initiative Log'!$Q:$Q,'Initiative Log'!$I:$I,"Other",'Initiative Log'!$K:$K,"Completed")</f>
        <v>0</v>
      </c>
      <c r="G55" s="18" t="str">
        <f t="shared" si="2"/>
        <v>-</v>
      </c>
      <c r="H55" s="14">
        <f>SUMIFS('Initiative Log'!$U:$U,'Initiative Log'!$I:$I,"Other",'Initiative Log'!$K:$K,"Completed")</f>
        <v>0</v>
      </c>
    </row>
    <row r="56" spans="2:17" s="19" customFormat="1" ht="13.5" customHeight="1" x14ac:dyDescent="0.3">
      <c r="B56" s="20" t="s">
        <v>38</v>
      </c>
      <c r="C56" s="21">
        <f>SUM(C49:C55)</f>
        <v>6</v>
      </c>
      <c r="D56" s="22">
        <f>SUM(D49:D55)</f>
        <v>20418750</v>
      </c>
      <c r="E56" s="22">
        <f>SUM(E49:E55)</f>
        <v>15000000</v>
      </c>
      <c r="F56" s="22">
        <f>SUM(F49:F55)</f>
        <v>5418750</v>
      </c>
      <c r="G56" s="23">
        <f t="shared" si="2"/>
        <v>0.26538108356290174</v>
      </c>
      <c r="H56" s="24">
        <f>SUM(H49:H55)</f>
        <v>43350</v>
      </c>
      <c r="I56" s="25"/>
      <c r="J56" s="25"/>
      <c r="K56" s="25"/>
      <c r="L56" s="25"/>
      <c r="M56" s="25"/>
      <c r="N56" s="25"/>
      <c r="O56" s="25"/>
      <c r="P56" s="25"/>
      <c r="Q56" s="25"/>
    </row>
    <row r="57" spans="2:17" ht="13.5" customHeight="1" x14ac:dyDescent="0.35"/>
    <row r="58" spans="2:17" ht="19.5" customHeight="1" x14ac:dyDescent="0.35">
      <c r="B58" s="192"/>
      <c r="C58" s="192"/>
      <c r="D58" s="192"/>
      <c r="E58" s="192"/>
      <c r="F58" s="192"/>
      <c r="G58" s="192"/>
      <c r="H58" s="192"/>
      <c r="I58" s="192"/>
    </row>
    <row r="59" spans="2:17" s="26" customFormat="1" ht="13.5" customHeight="1" thickBot="1" x14ac:dyDescent="0.4">
      <c r="B59" s="193" t="s">
        <v>39</v>
      </c>
      <c r="C59" s="193"/>
      <c r="D59" s="193"/>
      <c r="E59" s="193"/>
      <c r="F59" s="193"/>
      <c r="G59" s="193"/>
      <c r="H59" s="193"/>
      <c r="I59" s="193"/>
      <c r="J59" s="27"/>
      <c r="K59" s="27"/>
      <c r="L59" s="27"/>
      <c r="M59" s="27"/>
      <c r="N59" s="27"/>
      <c r="O59" s="27"/>
      <c r="P59" s="27"/>
      <c r="Q59" s="27"/>
    </row>
    <row r="60" spans="2:17" s="3" customFormat="1" ht="10.5" hidden="1" customHeight="1" outlineLevel="1" thickBot="1" x14ac:dyDescent="0.3">
      <c r="B60" s="28" t="s">
        <v>40</v>
      </c>
      <c r="C60" s="29"/>
      <c r="D60" s="29"/>
      <c r="E60" s="29"/>
      <c r="F60" s="29"/>
      <c r="G60" s="29"/>
      <c r="H60" s="29"/>
      <c r="I60" s="30"/>
      <c r="J60" s="31"/>
      <c r="K60" s="31"/>
      <c r="L60" s="31"/>
      <c r="M60" s="31"/>
      <c r="N60" s="31"/>
      <c r="O60" s="31"/>
      <c r="P60" s="31"/>
      <c r="Q60" s="31"/>
    </row>
    <row r="61" spans="2:17" s="5" customFormat="1" ht="24" customHeight="1" collapsed="1" thickBot="1" x14ac:dyDescent="0.35">
      <c r="B61" s="10" t="s">
        <v>41</v>
      </c>
      <c r="C61" s="10" t="s">
        <v>42</v>
      </c>
      <c r="D61" s="10" t="s">
        <v>43</v>
      </c>
      <c r="E61" s="10" t="s">
        <v>44</v>
      </c>
      <c r="F61" s="10" t="s">
        <v>45</v>
      </c>
      <c r="G61" s="10" t="s">
        <v>36</v>
      </c>
      <c r="H61" s="10" t="s">
        <v>46</v>
      </c>
      <c r="I61" s="10" t="s">
        <v>47</v>
      </c>
      <c r="J61" s="11"/>
      <c r="K61" s="11"/>
      <c r="L61" s="11"/>
      <c r="M61" s="11"/>
      <c r="N61" s="11"/>
      <c r="O61" s="11"/>
      <c r="P61" s="11"/>
      <c r="Q61" s="11"/>
    </row>
    <row r="62" spans="2:17" ht="15.75" customHeight="1" x14ac:dyDescent="0.35">
      <c r="B62" s="32">
        <v>2023</v>
      </c>
      <c r="C62" s="33">
        <f>COUNTIFS('Initiative Log'!$AA:$AA,2023,'Initiative Log'!$K:$K,"Completed")</f>
        <v>0</v>
      </c>
      <c r="D62" s="13">
        <f>SUMIFS('Initiative Log'!$P:$P,'Initiative Log'!$AA:$AA,2023,'Initiative Log'!$K:$K,"Completed")</f>
        <v>0</v>
      </c>
      <c r="E62" s="13">
        <f>SUMIFS('Initiative Log'!$Q:$Q,'Initiative Log'!$AA:$AA,2023,'Initiative Log'!$K:$K,"Completed")</f>
        <v>0</v>
      </c>
      <c r="F62" s="14">
        <f>SUMIFS('Initiative Log'!$T:$T,'Initiative Log'!$AA:$AA,2023,'Initiative Log'!$K:$K,"Completed")</f>
        <v>0</v>
      </c>
      <c r="G62" s="14">
        <f>SUMIFS('Initiative Log'!$U:$U,'Initiative Log'!$AA:$AA,2023,'Initiative Log'!$K:$K,"Completed")</f>
        <v>0</v>
      </c>
      <c r="H62" s="14">
        <f>SUMIFS('Initiative Log'!$V:$V,'Initiative Log'!$AA:$AA,2023,'Initiative Log'!$K:$K,"Completed")</f>
        <v>0</v>
      </c>
      <c r="I62" s="14">
        <f>SUMIFS('Initiative Log'!$V:$V,'Initiative Log'!$AA:$AA,2023,'Initiative Log'!$K:$K,"Completed")</f>
        <v>0</v>
      </c>
    </row>
    <row r="63" spans="2:17" ht="15.75" customHeight="1" x14ac:dyDescent="0.35">
      <c r="B63" s="32">
        <v>2024</v>
      </c>
      <c r="C63" s="33">
        <f>COUNTIFS('Initiative Log'!$AA:$AA,2024,'Initiative Log'!$K:$K,"Completed")</f>
        <v>0</v>
      </c>
      <c r="D63" s="13">
        <f>SUMIFS('Initiative Log'!$P:$P,'Initiative Log'!$AA:$AA,2024,'Initiative Log'!$K:$K,"Completed")</f>
        <v>0</v>
      </c>
      <c r="E63" s="13">
        <f>SUMIFS('Initiative Log'!$Q:$Q,'Initiative Log'!$AA:$AA,2024,'Initiative Log'!$K:$K,"Completed")</f>
        <v>0</v>
      </c>
      <c r="F63" s="14">
        <f>SUMIFS('Initiative Log'!$T:$T,'Initiative Log'!$AA:$AA,2024,'Initiative Log'!$K:$K,"Completed")</f>
        <v>0</v>
      </c>
      <c r="G63" s="14">
        <f>SUMIFS('Initiative Log'!$U:$U,'Initiative Log'!$AA:$AA,2024,'Initiative Log'!$K:$K,"Completed")</f>
        <v>0</v>
      </c>
      <c r="H63" s="14">
        <f>SUMIFS('Initiative Log'!$V:$V,'Initiative Log'!$AA:$AA,2024,'Initiative Log'!$K:$K,"Completed")</f>
        <v>0</v>
      </c>
      <c r="I63" s="14">
        <f>SUMIFS('Initiative Log'!$V:$V,'Initiative Log'!$AA:$AA,2023,'Initiative Log'!$K:$K,"Completed")+SUMIFS('Initiative Log'!$V:$V,'Initiative Log'!$AA:$AA,2024,'Initiative Log'!$K:$K,"Completed")</f>
        <v>0</v>
      </c>
    </row>
    <row r="64" spans="2:17" ht="15.75" customHeight="1" x14ac:dyDescent="0.35">
      <c r="B64" s="32">
        <v>2025</v>
      </c>
      <c r="C64" s="33">
        <f>COUNTIFS('Initiative Log'!$AA:$AA,2025,'Initiative Log'!$K:$K,"Completed")</f>
        <v>10</v>
      </c>
      <c r="D64" s="13">
        <f>SUMIFS('Initiative Log'!$P:$P,'Initiative Log'!$AA:$AA,2025,'Initiative Log'!$K:$K,"Completed")</f>
        <v>1180312.5</v>
      </c>
      <c r="E64" s="13">
        <f>SUMIFS('Initiative Log'!$Q:$Q,'Initiative Log'!$AA:$AA,2025,'Initiative Log'!$K:$K,"Completed")</f>
        <v>5418750</v>
      </c>
      <c r="F64" s="14">
        <f>SUMIFS('Initiative Log'!$T:$T,'Initiative Log'!$AA:$AA,2025,'Initiative Log'!$K:$K,"Completed")</f>
        <v>259668.75</v>
      </c>
      <c r="G64" s="14">
        <f>SUMIFS('Initiative Log'!$U:$U,'Initiative Log'!$AA:$AA,2025,'Initiative Log'!$K:$K,"Completed")</f>
        <v>43350</v>
      </c>
      <c r="H64" s="14">
        <f>SUMIFS('Initiative Log'!$V:$V,'Initiative Log'!$AA:$AA,2025,'Initiative Log'!$K:$K,"Completed")</f>
        <v>303018.75</v>
      </c>
      <c r="I64" s="14">
        <f>SUMIFS('Initiative Log'!$V:$V,'Initiative Log'!$AA:$AA,2023,'Initiative Log'!$K:$K,"Completed")+SUMIFS('Initiative Log'!$V:$V,'Initiative Log'!$AA:$AA,2024,'Initiative Log'!$K:$K,"Completed")+SUMIFS('Initiative Log'!$V:$V,'Initiative Log'!$AA:$AA,2025,'Initiative Log'!$K:$K,"Completed")</f>
        <v>303018.75</v>
      </c>
    </row>
    <row r="65" spans="2:17" ht="13.5" customHeight="1" x14ac:dyDescent="0.35">
      <c r="B65" s="32">
        <v>2026</v>
      </c>
      <c r="C65" s="33">
        <f>COUNTIFS('Initiative Log'!$AA:$AA,2026,'Initiative Log'!$K:$K,"Completed")</f>
        <v>0</v>
      </c>
      <c r="D65" s="13">
        <f>SUMIFS('Initiative Log'!$P:$P,'Initiative Log'!$AA:$AA,2026,'Initiative Log'!$K:$K,"Completed")</f>
        <v>0</v>
      </c>
      <c r="E65" s="13">
        <f>SUMIFS('Initiative Log'!$Q:$Q,'Initiative Log'!$AA:$AA,2026,'Initiative Log'!$K:$K,"Completed")</f>
        <v>0</v>
      </c>
      <c r="F65" s="14">
        <f>SUMIFS('Initiative Log'!$T:$T,'Initiative Log'!$AA:$AA,2026,'Initiative Log'!$K:$K,"Completed")</f>
        <v>0</v>
      </c>
      <c r="G65" s="14">
        <f>SUMIFS('Initiative Log'!$U:$U,'Initiative Log'!$AA:$AA,2026,'Initiative Log'!$K:$K,"Completed")</f>
        <v>0</v>
      </c>
      <c r="H65" s="14">
        <f>SUMIFS('Initiative Log'!$V:$V,'Initiative Log'!$AA:$AA,2026,'Initiative Log'!$K:$K,"Completed")</f>
        <v>0</v>
      </c>
      <c r="I65" s="14">
        <f>SUMIFS('Initiative Log'!$V:$V,'Initiative Log'!$AA:$AA,2023,'Initiative Log'!$K:$K,"Completed")+SUMIFS('Initiative Log'!$V:$V,'Initiative Log'!$AA:$AA,2024,'Initiative Log'!$K:$K,"Completed")+SUMIFS('Initiative Log'!$V:$V,'Initiative Log'!$AA:$AA,2025,'Initiative Log'!$K:$K,"Completed")+SUMIFS('Initiative Log'!$V:$V,'Initiative Log'!$AA:$AA,2026,'Initiative Log'!$K:$K,"Completed")</f>
        <v>303018.75</v>
      </c>
    </row>
    <row r="66" spans="2:17" s="19" customFormat="1" ht="13.5" customHeight="1" x14ac:dyDescent="0.3">
      <c r="B66" s="34" t="s">
        <v>48</v>
      </c>
      <c r="C66" s="21">
        <f t="shared" ref="C66:H66" si="3">SUM(C61:C64)</f>
        <v>10</v>
      </c>
      <c r="D66" s="22">
        <f t="shared" si="3"/>
        <v>1180312.5</v>
      </c>
      <c r="E66" s="22">
        <f t="shared" si="3"/>
        <v>5418750</v>
      </c>
      <c r="F66" s="24">
        <f t="shared" si="3"/>
        <v>259668.75</v>
      </c>
      <c r="G66" s="24">
        <f t="shared" si="3"/>
        <v>43350</v>
      </c>
      <c r="H66" s="24">
        <f t="shared" si="3"/>
        <v>303018.75</v>
      </c>
      <c r="I66" s="24">
        <f>I64</f>
        <v>303018.75</v>
      </c>
      <c r="J66" s="25"/>
      <c r="K66" s="25"/>
      <c r="L66" s="25"/>
      <c r="M66" s="25"/>
      <c r="N66" s="25"/>
      <c r="O66" s="25"/>
      <c r="P66" s="25"/>
      <c r="Q66" s="25"/>
    </row>
    <row r="67" spans="2:17" ht="13.5" customHeight="1" x14ac:dyDescent="0.35"/>
    <row r="68" spans="2:17" ht="13.5" customHeight="1" x14ac:dyDescent="0.35"/>
    <row r="69" spans="2:17" s="19" customFormat="1" ht="18" customHeight="1" thickBot="1" x14ac:dyDescent="0.35">
      <c r="B69" s="188" t="s">
        <v>49</v>
      </c>
      <c r="C69" s="188"/>
      <c r="D69" s="188"/>
      <c r="E69" s="188"/>
      <c r="F69" s="188"/>
      <c r="G69" s="188"/>
      <c r="H69" s="188"/>
      <c r="I69" s="25"/>
      <c r="J69" s="25"/>
      <c r="K69" s="25"/>
      <c r="L69" s="25"/>
      <c r="M69" s="25"/>
      <c r="N69" s="25"/>
      <c r="O69" s="25"/>
      <c r="P69" s="25"/>
      <c r="Q69" s="25"/>
    </row>
    <row r="70" spans="2:17" s="3" customFormat="1" ht="10.5" hidden="1" customHeight="1" outlineLevel="1" thickBot="1" x14ac:dyDescent="0.3">
      <c r="B70" s="189" t="s">
        <v>50</v>
      </c>
      <c r="C70" s="189"/>
      <c r="D70" s="189"/>
      <c r="E70" s="189"/>
      <c r="F70" s="189"/>
      <c r="G70" s="189"/>
      <c r="H70" s="189"/>
      <c r="I70" s="31"/>
      <c r="J70" s="31"/>
      <c r="K70" s="31"/>
      <c r="L70" s="31"/>
      <c r="M70" s="31"/>
      <c r="N70" s="31"/>
      <c r="O70" s="31"/>
      <c r="P70" s="31"/>
      <c r="Q70" s="31"/>
    </row>
    <row r="71" spans="2:17" s="5" customFormat="1" ht="30" customHeight="1" collapsed="1" thickBot="1" x14ac:dyDescent="0.35">
      <c r="B71" s="10" t="s">
        <v>51</v>
      </c>
      <c r="C71" s="10" t="s">
        <v>52</v>
      </c>
      <c r="D71" s="10" t="s">
        <v>53</v>
      </c>
      <c r="E71" s="10" t="s">
        <v>54</v>
      </c>
      <c r="F71" s="10" t="s">
        <v>55</v>
      </c>
      <c r="G71" s="10" t="s">
        <v>56</v>
      </c>
      <c r="H71" s="10" t="s">
        <v>57</v>
      </c>
      <c r="I71" s="35"/>
      <c r="J71" s="11"/>
      <c r="K71" s="11"/>
      <c r="L71" s="11"/>
      <c r="M71" s="11"/>
      <c r="N71" s="11"/>
      <c r="O71" s="11"/>
      <c r="P71" s="11"/>
      <c r="Q71" s="11"/>
    </row>
    <row r="72" spans="2:17" ht="18" customHeight="1" x14ac:dyDescent="0.35">
      <c r="B72" s="36" t="s">
        <v>58</v>
      </c>
      <c r="C72" s="37">
        <f>COUNTIF('Initiative Log'!$AC:$AC,"Studio")</f>
        <v>0</v>
      </c>
      <c r="D72" s="37">
        <f>SUMIF('Initiative Log'!$AC:$AC,"Studio",'Initiative Log'!$AD:$AD)</f>
        <v>0</v>
      </c>
      <c r="E72" s="37">
        <f>SUMIF('Initiative Log'!$AC:$AC,"Studio",'Initiative Log'!$AE:$AE)</f>
        <v>0</v>
      </c>
      <c r="F72" s="38" t="str">
        <f t="shared" ref="F72:F78" si="4">IFERROR(E72/D72,"-")</f>
        <v>-</v>
      </c>
      <c r="G72" s="39">
        <f>COUNTIFS('Initiative Log'!$AC:$AC,"Studio",'Initiative Log'!$K:$K,"Completed")</f>
        <v>0</v>
      </c>
      <c r="H72" s="40">
        <f>SUMIFS('Initiative Log'!$V:$V,'Initiative Log'!$AC:$AC,$B$72,'Initiative Log'!$K:$K,"Completed")</f>
        <v>0</v>
      </c>
    </row>
    <row r="73" spans="2:17" ht="18" customHeight="1" x14ac:dyDescent="0.35">
      <c r="B73" s="16" t="s">
        <v>59</v>
      </c>
      <c r="C73" s="13">
        <f>COUNTIF('Initiative Log'!$AC:$AC,"1 Bedroom")</f>
        <v>10</v>
      </c>
      <c r="D73" s="13">
        <f>SUMIF('Initiative Log'!$AC:$AC,"1 Bedroom",'Initiative Log'!$AD:$AD)</f>
        <v>7500</v>
      </c>
      <c r="E73" s="13">
        <f>SUMIF('Initiative Log'!$AC:$AC,"1 Bedroom",'Initiative Log'!$AE:$AE)</f>
        <v>7500</v>
      </c>
      <c r="F73" s="41">
        <f t="shared" si="4"/>
        <v>1</v>
      </c>
      <c r="G73" s="17">
        <f>COUNTIFS('Initiative Log'!$AC:$AC,"1 Bedroom",'Initiative Log'!$K:$K,"Completed")</f>
        <v>10</v>
      </c>
      <c r="H73" s="14">
        <f>SUMIFS('Initiative Log'!$V:$V,'Initiative Log'!$AC:$AC,$B$73,'Initiative Log'!$K:$K,"Completed")</f>
        <v>303018.75</v>
      </c>
    </row>
    <row r="74" spans="2:17" ht="18" customHeight="1" x14ac:dyDescent="0.35">
      <c r="B74" s="16" t="s">
        <v>60</v>
      </c>
      <c r="C74" s="13">
        <f>COUNTIF('Initiative Log'!$AC:$AC,"2 Bedroom")</f>
        <v>0</v>
      </c>
      <c r="D74" s="13">
        <f>SUMIF('Initiative Log'!$AC:$AC,"2 Bedroom",'Initiative Log'!$AD:$AD)</f>
        <v>0</v>
      </c>
      <c r="E74" s="13">
        <f>SUMIF('Initiative Log'!$AC:$AC,"2 Bedroom",'Initiative Log'!$AE:$AE)</f>
        <v>0</v>
      </c>
      <c r="F74" s="41" t="str">
        <f t="shared" si="4"/>
        <v>-</v>
      </c>
      <c r="G74" s="17">
        <f>COUNTIFS('Initiative Log'!$AC:$AC,"2 Bedroom",'Initiative Log'!$K:$K,"Completed")</f>
        <v>0</v>
      </c>
      <c r="H74" s="14">
        <f>SUMIFS('Initiative Log'!$V:$V,'Initiative Log'!$AC:$AC,$B$74,'Initiative Log'!$K:$K,"Completed")</f>
        <v>0</v>
      </c>
    </row>
    <row r="75" spans="2:17" ht="18" customHeight="1" x14ac:dyDescent="0.35">
      <c r="B75" s="16" t="s">
        <v>61</v>
      </c>
      <c r="C75" s="13">
        <f>COUNTIF('Initiative Log'!$AC:$AC,"3 Bedroom")</f>
        <v>0</v>
      </c>
      <c r="D75" s="13">
        <f>SUMIF('Initiative Log'!$AC:$AC,"3 Bedroom",'Initiative Log'!$AD:$AD)</f>
        <v>0</v>
      </c>
      <c r="E75" s="13">
        <f>SUMIF('Initiative Log'!$AC:$AC,"3 Bedroom",'Initiative Log'!$AE:$AE)</f>
        <v>0</v>
      </c>
      <c r="F75" s="41" t="str">
        <f t="shared" si="4"/>
        <v>-</v>
      </c>
      <c r="G75" s="17">
        <f>COUNTIFS('Initiative Log'!$AC:$AC,"3 Bedroom",'Initiative Log'!$K:$K,"Completed")</f>
        <v>0</v>
      </c>
      <c r="H75" s="14">
        <f>SUMIFS('Initiative Log'!$V:$V,'Initiative Log'!$AC:$AC,$B$75,'Initiative Log'!$K:$K,"Completed")</f>
        <v>0</v>
      </c>
    </row>
    <row r="76" spans="2:17" ht="18" customHeight="1" x14ac:dyDescent="0.35">
      <c r="B76" s="16" t="s">
        <v>62</v>
      </c>
      <c r="C76" s="13">
        <f>COUNTIF('Initiative Log'!$AC:$AC,"Mixed")</f>
        <v>0</v>
      </c>
      <c r="D76" s="13">
        <f>SUMIF('Initiative Log'!$AC:$AC,"Mixed",'Initiative Log'!$AD:$AD)</f>
        <v>0</v>
      </c>
      <c r="E76" s="13">
        <f>SUMIF('Initiative Log'!$AC:$AC,"Mixed",'Initiative Log'!$AE:$AE)</f>
        <v>0</v>
      </c>
      <c r="F76" s="41" t="str">
        <f t="shared" si="4"/>
        <v>-</v>
      </c>
      <c r="G76" s="17">
        <f>COUNTIFS('Initiative Log'!$AC:$AC,"Mixed",'Initiative Log'!$K:$K,"Completed")</f>
        <v>0</v>
      </c>
      <c r="H76" s="14">
        <f>SUMIFS('Initiative Log'!$V:$V,'Initiative Log'!$AC:$AC,$B$76,'Initiative Log'!$K:$K,"Completed")</f>
        <v>0</v>
      </c>
    </row>
    <row r="77" spans="2:17" ht="18" customHeight="1" x14ac:dyDescent="0.35">
      <c r="B77" s="16" t="s">
        <v>63</v>
      </c>
      <c r="C77" s="13">
        <f>COUNTIF('Initiative Log'!$AC:$AC,"Common Area")</f>
        <v>0</v>
      </c>
      <c r="D77" s="13">
        <f>SUMIF('Initiative Log'!$AC:$AC,"Common Area",'Initiative Log'!$AD:$AD)</f>
        <v>0</v>
      </c>
      <c r="E77" s="13">
        <f>SUMIF('Initiative Log'!$AC:$AC,"Common Area",'Initiative Log'!$AE:$AE)</f>
        <v>0</v>
      </c>
      <c r="F77" s="41" t="str">
        <f t="shared" si="4"/>
        <v>-</v>
      </c>
      <c r="G77" s="17">
        <f>COUNTIFS('Initiative Log'!$AC:$AC,"Common Area",'Initiative Log'!$K:$K,"Completed")</f>
        <v>0</v>
      </c>
      <c r="H77" s="14">
        <f>SUMIFS('Initiative Log'!$V:$V,'Initiative Log'!$AC:$AC,$B$77,'Initiative Log'!$K:$K,"Completed")</f>
        <v>0</v>
      </c>
    </row>
    <row r="78" spans="2:17" s="19" customFormat="1" ht="18" customHeight="1" x14ac:dyDescent="0.3">
      <c r="B78" s="20" t="s">
        <v>38</v>
      </c>
      <c r="C78" s="22">
        <f>SUM(C72:C77)</f>
        <v>10</v>
      </c>
      <c r="D78" s="22">
        <f>SUM(D72:D77)</f>
        <v>7500</v>
      </c>
      <c r="E78" s="22">
        <f>SUM(E72:E77)</f>
        <v>7500</v>
      </c>
      <c r="F78" s="42">
        <f t="shared" si="4"/>
        <v>1</v>
      </c>
      <c r="G78" s="22">
        <f>SUM(G72:G77)</f>
        <v>10</v>
      </c>
      <c r="H78" s="24">
        <f>SUM(H72:H77)</f>
        <v>303018.75</v>
      </c>
      <c r="I78" s="25"/>
      <c r="J78" s="25"/>
      <c r="K78" s="25"/>
      <c r="L78" s="25"/>
      <c r="M78" s="25"/>
      <c r="N78" s="25"/>
      <c r="O78" s="25"/>
      <c r="P78" s="25"/>
      <c r="Q78" s="25"/>
    </row>
  </sheetData>
  <mergeCells count="25">
    <mergeCell ref="B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1:I11"/>
    <mergeCell ref="B69:H69"/>
    <mergeCell ref="B70:H70"/>
    <mergeCell ref="B21:I21"/>
    <mergeCell ref="B32:I32"/>
    <mergeCell ref="B47:H47"/>
    <mergeCell ref="B58:I58"/>
    <mergeCell ref="B59:I59"/>
  </mergeCells>
  <pageMargins left="0.75" right="0.75" top="1" bottom="1" header="0.511811023622047" footer="0.511811023622047"/>
  <pageSetup paperSize="9" orientation="portrait" horizontalDpi="300" verticalDpi="300"/>
  <ignoredErrors>
    <ignoredError sqref="F7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2:P78"/>
  <sheetViews>
    <sheetView showGridLines="0" tabSelected="1" zoomScaleNormal="100" workbookViewId="0"/>
  </sheetViews>
  <sheetFormatPr defaultColWidth="8.6328125" defaultRowHeight="14.5" outlineLevelRow="1" x14ac:dyDescent="0.35"/>
  <cols>
    <col min="1" max="1" width="3.90625" customWidth="1"/>
    <col min="2" max="2" width="28" customWidth="1"/>
    <col min="3" max="3" width="10" customWidth="1"/>
    <col min="4" max="4" width="15" customWidth="1"/>
    <col min="5" max="5" width="7" customWidth="1"/>
    <col min="6" max="6" width="12" customWidth="1"/>
    <col min="7" max="7" width="14" customWidth="1"/>
    <col min="8" max="8" width="12" customWidth="1"/>
    <col min="9" max="11" width="14" customWidth="1"/>
    <col min="12" max="12" width="16" customWidth="1"/>
    <col min="13" max="13" width="12" customWidth="1"/>
    <col min="14" max="14" width="13" customWidth="1"/>
    <col min="15" max="16" width="14" customWidth="1"/>
  </cols>
  <sheetData>
    <row r="2" spans="2:16" ht="27.75" customHeight="1" thickBot="1" x14ac:dyDescent="0.4">
      <c r="B2" s="187" t="s">
        <v>64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6"/>
    </row>
    <row r="3" spans="2:16" ht="15" hidden="1" customHeight="1" outlineLevel="1" x14ac:dyDescent="0.35">
      <c r="B3" s="204" t="s">
        <v>400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</row>
    <row r="4" spans="2:16" ht="31.5" customHeight="1" collapsed="1" thickBot="1" x14ac:dyDescent="0.4">
      <c r="B4" s="43" t="s">
        <v>65</v>
      </c>
      <c r="C4" s="43" t="s">
        <v>9</v>
      </c>
      <c r="D4" s="43" t="s">
        <v>66</v>
      </c>
      <c r="E4" s="43" t="s">
        <v>67</v>
      </c>
      <c r="F4" s="43" t="s">
        <v>68</v>
      </c>
      <c r="G4" s="43" t="s">
        <v>69</v>
      </c>
      <c r="H4" s="43" t="s">
        <v>17</v>
      </c>
      <c r="I4" s="43" t="s">
        <v>43</v>
      </c>
      <c r="J4" s="43" t="s">
        <v>44</v>
      </c>
      <c r="K4" s="43" t="s">
        <v>70</v>
      </c>
      <c r="L4" s="43" t="s">
        <v>71</v>
      </c>
      <c r="M4" s="43" t="s">
        <v>72</v>
      </c>
      <c r="N4" s="43" t="s">
        <v>13</v>
      </c>
      <c r="O4" s="43" t="s">
        <v>73</v>
      </c>
      <c r="P4" s="43" t="s">
        <v>74</v>
      </c>
    </row>
    <row r="5" spans="2:16" ht="15" customHeight="1" thickBot="1" x14ac:dyDescent="0.4">
      <c r="B5" s="44" t="s">
        <v>402</v>
      </c>
      <c r="C5" s="45" t="str">
        <f>IFERROR(VLOOKUP(B5,'Portfolio List'!$B$4:$I$76,5,FALSE()),"")</f>
        <v>Fund 1</v>
      </c>
      <c r="D5" s="45" t="str">
        <f>IFERROR(VLOOKUP(B5,'Portfolio List'!$B$4:$I$76,6,FALSE()),"")</f>
        <v>Region 1</v>
      </c>
      <c r="E5" s="45" t="str">
        <f>IFERROR(VLOOKUP(B5,'Portfolio List'!$B$4:$I$76,7,FALSE()),"")</f>
        <v>State 1</v>
      </c>
      <c r="F5" s="46">
        <f>IFERROR(VLOOKUP(B5,'Portfolio List'!$B$4:$I$76,4,FALSE()),"")</f>
        <v>180</v>
      </c>
      <c r="G5" s="46">
        <f>COUNTIF('Initiative Log'!$D:$D,B5)</f>
        <v>0</v>
      </c>
      <c r="H5" s="46">
        <f>COUNTIFS('Initiative Log'!$D:$D,B5,'Initiative Log'!$K:$K,"Completed")</f>
        <v>0</v>
      </c>
      <c r="I5" s="46">
        <f>SUMIFS('Initiative Log'!$P:$P,'Initiative Log'!$D:$D,B5,'Initiative Log'!$K:$K,"Completed")</f>
        <v>0</v>
      </c>
      <c r="J5" s="46">
        <f>SUMIFS('Initiative Log'!$Q:$Q,'Initiative Log'!$D:$D,B5,'Initiative Log'!$K:$K,"Completed")</f>
        <v>0</v>
      </c>
      <c r="K5" s="47">
        <f>SUMIFS('Initiative Log'!$V:$V,'Initiative Log'!$D:$D,B5,'Initiative Log'!$K:$K,"Completed")</f>
        <v>0</v>
      </c>
      <c r="L5" s="47">
        <f>SUMIFS('Initiative Log'!$O:$O,'Initiative Log'!$D:$D,B5)</f>
        <v>0</v>
      </c>
      <c r="M5" s="48">
        <f t="shared" ref="M5:M36" si="0">IFERROR(I5/F5,0)</f>
        <v>0</v>
      </c>
      <c r="N5" s="48" t="str">
        <f t="shared" ref="N5:N36" si="1">IFERROR(IF(OR(L5&lt;=0,K5&lt;=0),"",L5/K5),"-")</f>
        <v/>
      </c>
      <c r="O5" s="46">
        <f>SUMIFS('Initiative Log'!$Y:$Y,'Initiative Log'!$D:$D,B5,'Initiative Log'!$K:$K,"Completed")</f>
        <v>0</v>
      </c>
      <c r="P5" s="46">
        <f>SUMIFS('Initiative Log'!$Z:$Z,'Initiative Log'!$D:$D,B5,'Initiative Log'!$K:$K,"Completed")</f>
        <v>0</v>
      </c>
    </row>
    <row r="6" spans="2:16" ht="15" customHeight="1" thickBot="1" x14ac:dyDescent="0.4">
      <c r="B6" s="49" t="s">
        <v>403</v>
      </c>
      <c r="C6" s="45" t="str">
        <f>IFERROR(VLOOKUP(B6,'Portfolio List'!$B$4:$I$76,5,FALSE()),"")</f>
        <v>Fund 1</v>
      </c>
      <c r="D6" s="45" t="str">
        <f>IFERROR(VLOOKUP(B6,'Portfolio List'!$B$4:$I$76,6,FALSE()),"")</f>
        <v>Region 1</v>
      </c>
      <c r="E6" s="45" t="str">
        <f>IFERROR(VLOOKUP(B6,'Portfolio List'!$B$4:$I$76,7,FALSE()),"")</f>
        <v>State 1</v>
      </c>
      <c r="F6" s="46">
        <f>IFERROR(VLOOKUP(B6,'Portfolio List'!$B$4:$I$76,4,FALSE()),"")</f>
        <v>112</v>
      </c>
      <c r="G6" s="50">
        <f>COUNTIF('Initiative Log'!$D:$D,B6)</f>
        <v>0</v>
      </c>
      <c r="H6" s="50">
        <f>COUNTIFS('Initiative Log'!$D:$D,B6,'Initiative Log'!$K:$K,"Completed")</f>
        <v>0</v>
      </c>
      <c r="I6" s="50">
        <f>SUMIFS('Initiative Log'!$P:$P,'Initiative Log'!$D:$D,B6,'Initiative Log'!$K:$K,"Completed")</f>
        <v>0</v>
      </c>
      <c r="J6" s="50">
        <f>SUMIFS('Initiative Log'!$Q:$Q,'Initiative Log'!$D:$D,B6,'Initiative Log'!$K:$K,"Completed")</f>
        <v>0</v>
      </c>
      <c r="K6" s="51">
        <f>SUMIFS('Initiative Log'!$V:$V,'Initiative Log'!$D:$D,B6,'Initiative Log'!$K:$K,"Completed")</f>
        <v>0</v>
      </c>
      <c r="L6" s="51">
        <f>SUMIFS('Initiative Log'!$O:$O,'Initiative Log'!$D:$D,B6)</f>
        <v>0</v>
      </c>
      <c r="M6" s="52">
        <f t="shared" si="0"/>
        <v>0</v>
      </c>
      <c r="N6" s="52" t="str">
        <f t="shared" si="1"/>
        <v/>
      </c>
      <c r="O6" s="50">
        <f>SUMIFS('Initiative Log'!$Y:$Y,'Initiative Log'!$D:$D,B6,'Initiative Log'!$K:$K,"Completed")</f>
        <v>0</v>
      </c>
      <c r="P6" s="50">
        <f>SUMIFS('Initiative Log'!$Z:$Z,'Initiative Log'!$D:$D,B6,'Initiative Log'!$K:$K,"Completed")</f>
        <v>0</v>
      </c>
    </row>
    <row r="7" spans="2:16" ht="15" customHeight="1" thickBot="1" x14ac:dyDescent="0.4">
      <c r="B7" s="49" t="s">
        <v>404</v>
      </c>
      <c r="C7" s="45" t="str">
        <f>IFERROR(VLOOKUP(B7,'Portfolio List'!$B$4:$I$76,5,FALSE()),"")</f>
        <v>Fund 1</v>
      </c>
      <c r="D7" s="45" t="str">
        <f>IFERROR(VLOOKUP(B7,'Portfolio List'!$B$4:$I$76,6,FALSE()),"")</f>
        <v>Region 1</v>
      </c>
      <c r="E7" s="45" t="str">
        <f>IFERROR(VLOOKUP(B7,'Portfolio List'!$B$4:$I$76,7,FALSE()),"")</f>
        <v>State 1</v>
      </c>
      <c r="F7" s="46">
        <f>IFERROR(VLOOKUP(B7,'Portfolio List'!$B$4:$I$76,4,FALSE()),"")</f>
        <v>128</v>
      </c>
      <c r="G7" s="50">
        <f>COUNTIF('Initiative Log'!$D:$D,B7)</f>
        <v>0</v>
      </c>
      <c r="H7" s="50">
        <f>COUNTIFS('Initiative Log'!$D:$D,B7,'Initiative Log'!$K:$K,"Completed")</f>
        <v>0</v>
      </c>
      <c r="I7" s="50">
        <f>SUMIFS('Initiative Log'!$P:$P,'Initiative Log'!$D:$D,B7,'Initiative Log'!$K:$K,"Completed")</f>
        <v>0</v>
      </c>
      <c r="J7" s="50">
        <f>SUMIFS('Initiative Log'!$Q:$Q,'Initiative Log'!$D:$D,B7,'Initiative Log'!$K:$K,"Completed")</f>
        <v>0</v>
      </c>
      <c r="K7" s="51">
        <f>SUMIFS('Initiative Log'!$V:$V,'Initiative Log'!$D:$D,B7,'Initiative Log'!$K:$K,"Completed")</f>
        <v>0</v>
      </c>
      <c r="L7" s="51">
        <f>SUMIFS('Initiative Log'!$O:$O,'Initiative Log'!$D:$D,B7)</f>
        <v>0</v>
      </c>
      <c r="M7" s="52">
        <f t="shared" si="0"/>
        <v>0</v>
      </c>
      <c r="N7" s="52" t="str">
        <f t="shared" si="1"/>
        <v/>
      </c>
      <c r="O7" s="50">
        <f>SUMIFS('Initiative Log'!$Y:$Y,'Initiative Log'!$D:$D,B7,'Initiative Log'!$K:$K,"Completed")</f>
        <v>0</v>
      </c>
      <c r="P7" s="50">
        <f>SUMIFS('Initiative Log'!$Z:$Z,'Initiative Log'!$D:$D,B7,'Initiative Log'!$K:$K,"Completed")</f>
        <v>0</v>
      </c>
    </row>
    <row r="8" spans="2:16" ht="15" customHeight="1" thickBot="1" x14ac:dyDescent="0.4">
      <c r="B8" s="49" t="s">
        <v>405</v>
      </c>
      <c r="C8" s="45" t="str">
        <f>IFERROR(VLOOKUP(B8,'Portfolio List'!$B$4:$I$76,5,FALSE()),"")</f>
        <v>Fund 1</v>
      </c>
      <c r="D8" s="45" t="str">
        <f>IFERROR(VLOOKUP(B8,'Portfolio List'!$B$4:$I$76,6,FALSE()),"")</f>
        <v>Region 1</v>
      </c>
      <c r="E8" s="45" t="str">
        <f>IFERROR(VLOOKUP(B8,'Portfolio List'!$B$4:$I$76,7,FALSE()),"")</f>
        <v>State 1</v>
      </c>
      <c r="F8" s="46">
        <f>IFERROR(VLOOKUP(B8,'Portfolio List'!$B$4:$I$76,4,FALSE()),"")</f>
        <v>320</v>
      </c>
      <c r="G8" s="50">
        <f>COUNTIF('Initiative Log'!$D:$D,B8)</f>
        <v>0</v>
      </c>
      <c r="H8" s="50">
        <f>COUNTIFS('Initiative Log'!$D:$D,B8,'Initiative Log'!$K:$K,"Completed")</f>
        <v>0</v>
      </c>
      <c r="I8" s="50">
        <f>SUMIFS('Initiative Log'!$P:$P,'Initiative Log'!$D:$D,B8,'Initiative Log'!$K:$K,"Completed")</f>
        <v>0</v>
      </c>
      <c r="J8" s="50">
        <f>SUMIFS('Initiative Log'!$Q:$Q,'Initiative Log'!$D:$D,B8,'Initiative Log'!$K:$K,"Completed")</f>
        <v>0</v>
      </c>
      <c r="K8" s="51">
        <f>SUMIFS('Initiative Log'!$V:$V,'Initiative Log'!$D:$D,B8,'Initiative Log'!$K:$K,"Completed")</f>
        <v>0</v>
      </c>
      <c r="L8" s="51">
        <f>SUMIFS('Initiative Log'!$O:$O,'Initiative Log'!$D:$D,B8)</f>
        <v>0</v>
      </c>
      <c r="M8" s="52">
        <f t="shared" si="0"/>
        <v>0</v>
      </c>
      <c r="N8" s="52" t="str">
        <f t="shared" si="1"/>
        <v/>
      </c>
      <c r="O8" s="50">
        <f>SUMIFS('Initiative Log'!$Y:$Y,'Initiative Log'!$D:$D,B8,'Initiative Log'!$K:$K,"Completed")</f>
        <v>0</v>
      </c>
      <c r="P8" s="50">
        <f>SUMIFS('Initiative Log'!$Z:$Z,'Initiative Log'!$D:$D,B8,'Initiative Log'!$K:$K,"Completed")</f>
        <v>0</v>
      </c>
    </row>
    <row r="9" spans="2:16" ht="15" customHeight="1" thickBot="1" x14ac:dyDescent="0.4">
      <c r="B9" s="49" t="s">
        <v>406</v>
      </c>
      <c r="C9" s="45" t="str">
        <f>IFERROR(VLOOKUP(B9,'Portfolio List'!$B$4:$I$76,5,FALSE()),"")</f>
        <v>Fund 1</v>
      </c>
      <c r="D9" s="45" t="str">
        <f>IFERROR(VLOOKUP(B9,'Portfolio List'!$B$4:$I$76,6,FALSE()),"")</f>
        <v>Region 1</v>
      </c>
      <c r="E9" s="45" t="str">
        <f>IFERROR(VLOOKUP(B9,'Portfolio List'!$B$4:$I$76,7,FALSE()),"")</f>
        <v>State 1</v>
      </c>
      <c r="F9" s="46">
        <f>IFERROR(VLOOKUP(B9,'Portfolio List'!$B$4:$I$76,4,FALSE()),"")</f>
        <v>300</v>
      </c>
      <c r="G9" s="50">
        <f>COUNTIF('Initiative Log'!$D:$D,B9)</f>
        <v>0</v>
      </c>
      <c r="H9" s="50">
        <f>COUNTIFS('Initiative Log'!$D:$D,B9,'Initiative Log'!$K:$K,"Completed")</f>
        <v>0</v>
      </c>
      <c r="I9" s="50">
        <f>SUMIFS('Initiative Log'!$P:$P,'Initiative Log'!$D:$D,B9,'Initiative Log'!$K:$K,"Completed")</f>
        <v>0</v>
      </c>
      <c r="J9" s="50">
        <f>SUMIFS('Initiative Log'!$Q:$Q,'Initiative Log'!$D:$D,B9,'Initiative Log'!$K:$K,"Completed")</f>
        <v>0</v>
      </c>
      <c r="K9" s="51">
        <f>SUMIFS('Initiative Log'!$V:$V,'Initiative Log'!$D:$D,B9,'Initiative Log'!$K:$K,"Completed")</f>
        <v>0</v>
      </c>
      <c r="L9" s="51">
        <f>SUMIFS('Initiative Log'!$O:$O,'Initiative Log'!$D:$D,B9)</f>
        <v>0</v>
      </c>
      <c r="M9" s="52">
        <f t="shared" si="0"/>
        <v>0</v>
      </c>
      <c r="N9" s="52" t="str">
        <f t="shared" si="1"/>
        <v/>
      </c>
      <c r="O9" s="50">
        <f>SUMIFS('Initiative Log'!$Y:$Y,'Initiative Log'!$D:$D,B9,'Initiative Log'!$K:$K,"Completed")</f>
        <v>0</v>
      </c>
      <c r="P9" s="50">
        <f>SUMIFS('Initiative Log'!$Z:$Z,'Initiative Log'!$D:$D,B9,'Initiative Log'!$K:$K,"Completed")</f>
        <v>0</v>
      </c>
    </row>
    <row r="10" spans="2:16" ht="15" customHeight="1" thickBot="1" x14ac:dyDescent="0.4">
      <c r="B10" s="49" t="s">
        <v>407</v>
      </c>
      <c r="C10" s="45" t="str">
        <f>IFERROR(VLOOKUP(B10,'Portfolio List'!$B$4:$I$76,5,FALSE()),"")</f>
        <v>Fund 1</v>
      </c>
      <c r="D10" s="45" t="str">
        <f>IFERROR(VLOOKUP(B10,'Portfolio List'!$B$4:$I$76,6,FALSE()),"")</f>
        <v>Region 1</v>
      </c>
      <c r="E10" s="45" t="str">
        <f>IFERROR(VLOOKUP(B10,'Portfolio List'!$B$4:$I$76,7,FALSE()),"")</f>
        <v>State 1</v>
      </c>
      <c r="F10" s="46">
        <f>IFERROR(VLOOKUP(B10,'Portfolio List'!$B$4:$I$76,4,FALSE()),"")</f>
        <v>144</v>
      </c>
      <c r="G10" s="50">
        <f>COUNTIF('Initiative Log'!$D:$D,B10)</f>
        <v>0</v>
      </c>
      <c r="H10" s="50">
        <f>COUNTIFS('Initiative Log'!$D:$D,B10,'Initiative Log'!$K:$K,"Completed")</f>
        <v>0</v>
      </c>
      <c r="I10" s="50">
        <f>SUMIFS('Initiative Log'!$P:$P,'Initiative Log'!$D:$D,B10,'Initiative Log'!$K:$K,"Completed")</f>
        <v>0</v>
      </c>
      <c r="J10" s="50">
        <f>SUMIFS('Initiative Log'!$Q:$Q,'Initiative Log'!$D:$D,B10,'Initiative Log'!$K:$K,"Completed")</f>
        <v>0</v>
      </c>
      <c r="K10" s="51">
        <f>SUMIFS('Initiative Log'!$V:$V,'Initiative Log'!$D:$D,B10,'Initiative Log'!$K:$K,"Completed")</f>
        <v>0</v>
      </c>
      <c r="L10" s="51">
        <f>SUMIFS('Initiative Log'!$O:$O,'Initiative Log'!$D:$D,B10)</f>
        <v>0</v>
      </c>
      <c r="M10" s="52">
        <f t="shared" si="0"/>
        <v>0</v>
      </c>
      <c r="N10" s="52" t="str">
        <f t="shared" si="1"/>
        <v/>
      </c>
      <c r="O10" s="50">
        <f>SUMIFS('Initiative Log'!$Y:$Y,'Initiative Log'!$D:$D,B10,'Initiative Log'!$K:$K,"Completed")</f>
        <v>0</v>
      </c>
      <c r="P10" s="50">
        <f>SUMIFS('Initiative Log'!$Z:$Z,'Initiative Log'!$D:$D,B10,'Initiative Log'!$K:$K,"Completed")</f>
        <v>0</v>
      </c>
    </row>
    <row r="11" spans="2:16" ht="15" customHeight="1" thickBot="1" x14ac:dyDescent="0.4">
      <c r="B11" s="49" t="s">
        <v>408</v>
      </c>
      <c r="C11" s="45" t="str">
        <f>IFERROR(VLOOKUP(B11,'Portfolio List'!$B$4:$I$76,5,FALSE()),"")</f>
        <v>Fund 1</v>
      </c>
      <c r="D11" s="45" t="str">
        <f>IFERROR(VLOOKUP(B11,'Portfolio List'!$B$4:$I$76,6,FALSE()),"")</f>
        <v>Region 2</v>
      </c>
      <c r="E11" s="45" t="str">
        <f>IFERROR(VLOOKUP(B11,'Portfolio List'!$B$4:$I$76,7,FALSE()),"")</f>
        <v>State 1</v>
      </c>
      <c r="F11" s="46">
        <f>IFERROR(VLOOKUP(B11,'Portfolio List'!$B$4:$I$76,4,FALSE()),"")</f>
        <v>482</v>
      </c>
      <c r="G11" s="50">
        <f>COUNTIF('Initiative Log'!$D:$D,B11)</f>
        <v>0</v>
      </c>
      <c r="H11" s="50">
        <f>COUNTIFS('Initiative Log'!$D:$D,B11,'Initiative Log'!$K:$K,"Completed")</f>
        <v>0</v>
      </c>
      <c r="I11" s="50">
        <f>SUMIFS('Initiative Log'!$P:$P,'Initiative Log'!$D:$D,B11,'Initiative Log'!$K:$K,"Completed")</f>
        <v>0</v>
      </c>
      <c r="J11" s="50">
        <f>SUMIFS('Initiative Log'!$Q:$Q,'Initiative Log'!$D:$D,B11,'Initiative Log'!$K:$K,"Completed")</f>
        <v>0</v>
      </c>
      <c r="K11" s="51">
        <f>SUMIFS('Initiative Log'!$V:$V,'Initiative Log'!$D:$D,B11,'Initiative Log'!$K:$K,"Completed")</f>
        <v>0</v>
      </c>
      <c r="L11" s="51">
        <f>SUMIFS('Initiative Log'!$O:$O,'Initiative Log'!$D:$D,B11)</f>
        <v>0</v>
      </c>
      <c r="M11" s="52">
        <f t="shared" si="0"/>
        <v>0</v>
      </c>
      <c r="N11" s="52" t="str">
        <f t="shared" si="1"/>
        <v/>
      </c>
      <c r="O11" s="50">
        <f>SUMIFS('Initiative Log'!$Y:$Y,'Initiative Log'!$D:$D,B11,'Initiative Log'!$K:$K,"Completed")</f>
        <v>0</v>
      </c>
      <c r="P11" s="50">
        <f>SUMIFS('Initiative Log'!$Z:$Z,'Initiative Log'!$D:$D,B11,'Initiative Log'!$K:$K,"Completed")</f>
        <v>0</v>
      </c>
    </row>
    <row r="12" spans="2:16" ht="15" customHeight="1" thickBot="1" x14ac:dyDescent="0.4">
      <c r="B12" s="49" t="s">
        <v>409</v>
      </c>
      <c r="C12" s="45" t="str">
        <f>IFERROR(VLOOKUP(B12,'Portfolio List'!$B$4:$I$76,5,FALSE()),"")</f>
        <v>Fund 1</v>
      </c>
      <c r="D12" s="45" t="str">
        <f>IFERROR(VLOOKUP(B12,'Portfolio List'!$B$4:$I$76,6,FALSE()),"")</f>
        <v>Region 1</v>
      </c>
      <c r="E12" s="45" t="str">
        <f>IFERROR(VLOOKUP(B12,'Portfolio List'!$B$4:$I$76,7,FALSE()),"")</f>
        <v>State 1</v>
      </c>
      <c r="F12" s="46">
        <f>IFERROR(VLOOKUP(B12,'Portfolio List'!$B$4:$I$76,4,FALSE()),"")</f>
        <v>44</v>
      </c>
      <c r="G12" s="50">
        <f>COUNTIF('Initiative Log'!$D:$D,B12)</f>
        <v>0</v>
      </c>
      <c r="H12" s="50">
        <f>COUNTIFS('Initiative Log'!$D:$D,B12,'Initiative Log'!$K:$K,"Completed")</f>
        <v>0</v>
      </c>
      <c r="I12" s="50">
        <f>SUMIFS('Initiative Log'!$P:$P,'Initiative Log'!$D:$D,B12,'Initiative Log'!$K:$K,"Completed")</f>
        <v>0</v>
      </c>
      <c r="J12" s="50">
        <f>SUMIFS('Initiative Log'!$Q:$Q,'Initiative Log'!$D:$D,B12,'Initiative Log'!$K:$K,"Completed")</f>
        <v>0</v>
      </c>
      <c r="K12" s="51">
        <f>SUMIFS('Initiative Log'!$V:$V,'Initiative Log'!$D:$D,B12,'Initiative Log'!$K:$K,"Completed")</f>
        <v>0</v>
      </c>
      <c r="L12" s="51">
        <f>SUMIFS('Initiative Log'!$O:$O,'Initiative Log'!$D:$D,B12)</f>
        <v>0</v>
      </c>
      <c r="M12" s="52">
        <f t="shared" si="0"/>
        <v>0</v>
      </c>
      <c r="N12" s="52" t="str">
        <f t="shared" si="1"/>
        <v/>
      </c>
      <c r="O12" s="50">
        <f>SUMIFS('Initiative Log'!$Y:$Y,'Initiative Log'!$D:$D,B12,'Initiative Log'!$K:$K,"Completed")</f>
        <v>0</v>
      </c>
      <c r="P12" s="50">
        <f>SUMIFS('Initiative Log'!$Z:$Z,'Initiative Log'!$D:$D,B12,'Initiative Log'!$K:$K,"Completed")</f>
        <v>0</v>
      </c>
    </row>
    <row r="13" spans="2:16" ht="15" customHeight="1" thickBot="1" x14ac:dyDescent="0.4">
      <c r="B13" s="49" t="s">
        <v>410</v>
      </c>
      <c r="C13" s="45" t="str">
        <f>IFERROR(VLOOKUP(B13,'Portfolio List'!$B$4:$I$76,5,FALSE()),"")</f>
        <v>Fund 1</v>
      </c>
      <c r="D13" s="45" t="str">
        <f>IFERROR(VLOOKUP(B13,'Portfolio List'!$B$4:$I$76,6,FALSE()),"")</f>
        <v>Region 1</v>
      </c>
      <c r="E13" s="45" t="str">
        <f>IFERROR(VLOOKUP(B13,'Portfolio List'!$B$4:$I$76,7,FALSE()),"")</f>
        <v>State 1</v>
      </c>
      <c r="F13" s="46">
        <f>IFERROR(VLOOKUP(B13,'Portfolio List'!$B$4:$I$76,4,FALSE()),"")</f>
        <v>184</v>
      </c>
      <c r="G13" s="50">
        <f>COUNTIF('Initiative Log'!$D:$D,B13)</f>
        <v>0</v>
      </c>
      <c r="H13" s="50">
        <f>COUNTIFS('Initiative Log'!$D:$D,B13,'Initiative Log'!$K:$K,"Completed")</f>
        <v>0</v>
      </c>
      <c r="I13" s="50">
        <f>SUMIFS('Initiative Log'!$P:$P,'Initiative Log'!$D:$D,B13,'Initiative Log'!$K:$K,"Completed")</f>
        <v>0</v>
      </c>
      <c r="J13" s="50">
        <f>SUMIFS('Initiative Log'!$Q:$Q,'Initiative Log'!$D:$D,B13,'Initiative Log'!$K:$K,"Completed")</f>
        <v>0</v>
      </c>
      <c r="K13" s="51">
        <f>SUMIFS('Initiative Log'!$V:$V,'Initiative Log'!$D:$D,B13,'Initiative Log'!$K:$K,"Completed")</f>
        <v>0</v>
      </c>
      <c r="L13" s="51">
        <f>SUMIFS('Initiative Log'!$O:$O,'Initiative Log'!$D:$D,B13)</f>
        <v>0</v>
      </c>
      <c r="M13" s="52">
        <f t="shared" si="0"/>
        <v>0</v>
      </c>
      <c r="N13" s="52" t="str">
        <f t="shared" si="1"/>
        <v/>
      </c>
      <c r="O13" s="50">
        <f>SUMIFS('Initiative Log'!$Y:$Y,'Initiative Log'!$D:$D,B13,'Initiative Log'!$K:$K,"Completed")</f>
        <v>0</v>
      </c>
      <c r="P13" s="50">
        <f>SUMIFS('Initiative Log'!$Z:$Z,'Initiative Log'!$D:$D,B13,'Initiative Log'!$K:$K,"Completed")</f>
        <v>0</v>
      </c>
    </row>
    <row r="14" spans="2:16" ht="15" customHeight="1" thickBot="1" x14ac:dyDescent="0.4">
      <c r="B14" s="49" t="s">
        <v>411</v>
      </c>
      <c r="C14" s="45" t="str">
        <f>IFERROR(VLOOKUP(B14,'Portfolio List'!$B$4:$I$76,5,FALSE()),"")</f>
        <v>Fund 1</v>
      </c>
      <c r="D14" s="45" t="str">
        <f>IFERROR(VLOOKUP(B14,'Portfolio List'!$B$4:$I$76,6,FALSE()),"")</f>
        <v>Region 1</v>
      </c>
      <c r="E14" s="45" t="str">
        <f>IFERROR(VLOOKUP(B14,'Portfolio List'!$B$4:$I$76,7,FALSE()),"")</f>
        <v>State 1</v>
      </c>
      <c r="F14" s="46">
        <f>IFERROR(VLOOKUP(B14,'Portfolio List'!$B$4:$I$76,4,FALSE()),"")</f>
        <v>45</v>
      </c>
      <c r="G14" s="50">
        <f>COUNTIF('Initiative Log'!$D:$D,B14)</f>
        <v>0</v>
      </c>
      <c r="H14" s="50">
        <f>COUNTIFS('Initiative Log'!$D:$D,B14,'Initiative Log'!$K:$K,"Completed")</f>
        <v>0</v>
      </c>
      <c r="I14" s="50">
        <f>SUMIFS('Initiative Log'!$P:$P,'Initiative Log'!$D:$D,B14,'Initiative Log'!$K:$K,"Completed")</f>
        <v>0</v>
      </c>
      <c r="J14" s="50">
        <f>SUMIFS('Initiative Log'!$Q:$Q,'Initiative Log'!$D:$D,B14,'Initiative Log'!$K:$K,"Completed")</f>
        <v>0</v>
      </c>
      <c r="K14" s="51">
        <f>SUMIFS('Initiative Log'!$V:$V,'Initiative Log'!$D:$D,B14,'Initiative Log'!$K:$K,"Completed")</f>
        <v>0</v>
      </c>
      <c r="L14" s="51">
        <f>SUMIFS('Initiative Log'!$O:$O,'Initiative Log'!$D:$D,B14)</f>
        <v>0</v>
      </c>
      <c r="M14" s="52">
        <f t="shared" si="0"/>
        <v>0</v>
      </c>
      <c r="N14" s="52" t="str">
        <f t="shared" si="1"/>
        <v/>
      </c>
      <c r="O14" s="50">
        <f>SUMIFS('Initiative Log'!$Y:$Y,'Initiative Log'!$D:$D,B14,'Initiative Log'!$K:$K,"Completed")</f>
        <v>0</v>
      </c>
      <c r="P14" s="50">
        <f>SUMIFS('Initiative Log'!$Z:$Z,'Initiative Log'!$D:$D,B14,'Initiative Log'!$K:$K,"Completed")</f>
        <v>0</v>
      </c>
    </row>
    <row r="15" spans="2:16" ht="15" customHeight="1" thickBot="1" x14ac:dyDescent="0.4">
      <c r="B15" s="49" t="s">
        <v>412</v>
      </c>
      <c r="C15" s="45" t="str">
        <f>IFERROR(VLOOKUP(B15,'Portfolio List'!$B$4:$I$76,5,FALSE()),"")</f>
        <v>Fund 2</v>
      </c>
      <c r="D15" s="45" t="str">
        <f>IFERROR(VLOOKUP(B15,'Portfolio List'!$B$4:$I$76,6,FALSE()),"")</f>
        <v>Region 1</v>
      </c>
      <c r="E15" s="45" t="str">
        <f>IFERROR(VLOOKUP(B15,'Portfolio List'!$B$4:$I$76,7,FALSE()),"")</f>
        <v>State 1</v>
      </c>
      <c r="F15" s="46">
        <f>IFERROR(VLOOKUP(B15,'Portfolio List'!$B$4:$I$76,4,FALSE()),"")</f>
        <v>232</v>
      </c>
      <c r="G15" s="50">
        <f>COUNTIF('Initiative Log'!$D:$D,B15)</f>
        <v>0</v>
      </c>
      <c r="H15" s="50">
        <f>COUNTIFS('Initiative Log'!$D:$D,B15,'Initiative Log'!$K:$K,"Completed")</f>
        <v>0</v>
      </c>
      <c r="I15" s="50">
        <f>SUMIFS('Initiative Log'!$P:$P,'Initiative Log'!$D:$D,B15,'Initiative Log'!$K:$K,"Completed")</f>
        <v>0</v>
      </c>
      <c r="J15" s="50">
        <f>SUMIFS('Initiative Log'!$Q:$Q,'Initiative Log'!$D:$D,B15,'Initiative Log'!$K:$K,"Completed")</f>
        <v>0</v>
      </c>
      <c r="K15" s="51">
        <f>SUMIFS('Initiative Log'!$V:$V,'Initiative Log'!$D:$D,B15,'Initiative Log'!$K:$K,"Completed")</f>
        <v>0</v>
      </c>
      <c r="L15" s="51">
        <f>SUMIFS('Initiative Log'!$O:$O,'Initiative Log'!$D:$D,B15)</f>
        <v>0</v>
      </c>
      <c r="M15" s="52">
        <f t="shared" si="0"/>
        <v>0</v>
      </c>
      <c r="N15" s="52" t="str">
        <f t="shared" si="1"/>
        <v/>
      </c>
      <c r="O15" s="50">
        <f>SUMIFS('Initiative Log'!$Y:$Y,'Initiative Log'!$D:$D,B15,'Initiative Log'!$K:$K,"Completed")</f>
        <v>0</v>
      </c>
      <c r="P15" s="50">
        <f>SUMIFS('Initiative Log'!$Z:$Z,'Initiative Log'!$D:$D,B15,'Initiative Log'!$K:$K,"Completed")</f>
        <v>0</v>
      </c>
    </row>
    <row r="16" spans="2:16" ht="15" customHeight="1" thickBot="1" x14ac:dyDescent="0.4">
      <c r="B16" s="49" t="s">
        <v>413</v>
      </c>
      <c r="C16" s="45" t="str">
        <f>IFERROR(VLOOKUP(B16,'Portfolio List'!$B$4:$I$76,5,FALSE()),"")</f>
        <v>Fund 1</v>
      </c>
      <c r="D16" s="45" t="str">
        <f>IFERROR(VLOOKUP(B16,'Portfolio List'!$B$4:$I$76,6,FALSE()),"")</f>
        <v>Region 1</v>
      </c>
      <c r="E16" s="45" t="str">
        <f>IFERROR(VLOOKUP(B16,'Portfolio List'!$B$4:$I$76,7,FALSE()),"")</f>
        <v>State 1</v>
      </c>
      <c r="F16" s="46">
        <f>IFERROR(VLOOKUP(B16,'Portfolio List'!$B$4:$I$76,4,FALSE()),"")</f>
        <v>44</v>
      </c>
      <c r="G16" s="50">
        <f>COUNTIF('Initiative Log'!$D:$D,B16)</f>
        <v>0</v>
      </c>
      <c r="H16" s="50">
        <f>COUNTIFS('Initiative Log'!$D:$D,B16,'Initiative Log'!$K:$K,"Completed")</f>
        <v>0</v>
      </c>
      <c r="I16" s="50">
        <f>SUMIFS('Initiative Log'!$P:$P,'Initiative Log'!$D:$D,B16,'Initiative Log'!$K:$K,"Completed")</f>
        <v>0</v>
      </c>
      <c r="J16" s="50">
        <f>SUMIFS('Initiative Log'!$Q:$Q,'Initiative Log'!$D:$D,B16,'Initiative Log'!$K:$K,"Completed")</f>
        <v>0</v>
      </c>
      <c r="K16" s="51">
        <f>SUMIFS('Initiative Log'!$V:$V,'Initiative Log'!$D:$D,B16,'Initiative Log'!$K:$K,"Completed")</f>
        <v>0</v>
      </c>
      <c r="L16" s="51">
        <f>SUMIFS('Initiative Log'!$O:$O,'Initiative Log'!$D:$D,B16)</f>
        <v>0</v>
      </c>
      <c r="M16" s="52">
        <f t="shared" si="0"/>
        <v>0</v>
      </c>
      <c r="N16" s="52" t="str">
        <f t="shared" si="1"/>
        <v/>
      </c>
      <c r="O16" s="50">
        <f>SUMIFS('Initiative Log'!$Y:$Y,'Initiative Log'!$D:$D,B16,'Initiative Log'!$K:$K,"Completed")</f>
        <v>0</v>
      </c>
      <c r="P16" s="50">
        <f>SUMIFS('Initiative Log'!$Z:$Z,'Initiative Log'!$D:$D,B16,'Initiative Log'!$K:$K,"Completed")</f>
        <v>0</v>
      </c>
    </row>
    <row r="17" spans="2:16" ht="15" customHeight="1" thickBot="1" x14ac:dyDescent="0.4">
      <c r="B17" s="49" t="s">
        <v>414</v>
      </c>
      <c r="C17" s="45" t="str">
        <f>IFERROR(VLOOKUP(B17,'Portfolio List'!$B$4:$I$76,5,FALSE()),"")</f>
        <v>Fund 1</v>
      </c>
      <c r="D17" s="45" t="str">
        <f>IFERROR(VLOOKUP(B17,'Portfolio List'!$B$4:$I$76,6,FALSE()),"")</f>
        <v>Region 1</v>
      </c>
      <c r="E17" s="45" t="str">
        <f>IFERROR(VLOOKUP(B17,'Portfolio List'!$B$4:$I$76,7,FALSE()),"")</f>
        <v>State 1</v>
      </c>
      <c r="F17" s="46">
        <f>IFERROR(VLOOKUP(B17,'Portfolio List'!$B$4:$I$76,4,FALSE()),"")</f>
        <v>22</v>
      </c>
      <c r="G17" s="50">
        <f>COUNTIF('Initiative Log'!$D:$D,B17)</f>
        <v>0</v>
      </c>
      <c r="H17" s="50">
        <f>COUNTIFS('Initiative Log'!$D:$D,B17,'Initiative Log'!$K:$K,"Completed")</f>
        <v>0</v>
      </c>
      <c r="I17" s="50">
        <f>SUMIFS('Initiative Log'!$P:$P,'Initiative Log'!$D:$D,B17,'Initiative Log'!$K:$K,"Completed")</f>
        <v>0</v>
      </c>
      <c r="J17" s="50">
        <f>SUMIFS('Initiative Log'!$Q:$Q,'Initiative Log'!$D:$D,B17,'Initiative Log'!$K:$K,"Completed")</f>
        <v>0</v>
      </c>
      <c r="K17" s="51">
        <f>SUMIFS('Initiative Log'!$V:$V,'Initiative Log'!$D:$D,B17,'Initiative Log'!$K:$K,"Completed")</f>
        <v>0</v>
      </c>
      <c r="L17" s="51">
        <f>SUMIFS('Initiative Log'!$O:$O,'Initiative Log'!$D:$D,B17)</f>
        <v>0</v>
      </c>
      <c r="M17" s="52">
        <f t="shared" si="0"/>
        <v>0</v>
      </c>
      <c r="N17" s="52" t="str">
        <f t="shared" si="1"/>
        <v/>
      </c>
      <c r="O17" s="50">
        <f>SUMIFS('Initiative Log'!$Y:$Y,'Initiative Log'!$D:$D,B17,'Initiative Log'!$K:$K,"Completed")</f>
        <v>0</v>
      </c>
      <c r="P17" s="50">
        <f>SUMIFS('Initiative Log'!$Z:$Z,'Initiative Log'!$D:$D,B17,'Initiative Log'!$K:$K,"Completed")</f>
        <v>0</v>
      </c>
    </row>
    <row r="18" spans="2:16" ht="15" customHeight="1" thickBot="1" x14ac:dyDescent="0.4">
      <c r="B18" s="49" t="s">
        <v>415</v>
      </c>
      <c r="C18" s="45" t="str">
        <f>IFERROR(VLOOKUP(B18,'Portfolio List'!$B$4:$I$76,5,FALSE()),"")</f>
        <v>Fund 1</v>
      </c>
      <c r="D18" s="45" t="str">
        <f>IFERROR(VLOOKUP(B18,'Portfolio List'!$B$4:$I$76,6,FALSE()),"")</f>
        <v>Region 1</v>
      </c>
      <c r="E18" s="45" t="str">
        <f>IFERROR(VLOOKUP(B18,'Portfolio List'!$B$4:$I$76,7,FALSE()),"")</f>
        <v>State 1</v>
      </c>
      <c r="F18" s="46">
        <f>IFERROR(VLOOKUP(B18,'Portfolio List'!$B$4:$I$76,4,FALSE()),"")</f>
        <v>24</v>
      </c>
      <c r="G18" s="50">
        <f>COUNTIF('Initiative Log'!$D:$D,B18)</f>
        <v>0</v>
      </c>
      <c r="H18" s="50">
        <f>COUNTIFS('Initiative Log'!$D:$D,B18,'Initiative Log'!$K:$K,"Completed")</f>
        <v>0</v>
      </c>
      <c r="I18" s="50">
        <f>SUMIFS('Initiative Log'!$P:$P,'Initiative Log'!$D:$D,B18,'Initiative Log'!$K:$K,"Completed")</f>
        <v>0</v>
      </c>
      <c r="J18" s="50">
        <f>SUMIFS('Initiative Log'!$Q:$Q,'Initiative Log'!$D:$D,B18,'Initiative Log'!$K:$K,"Completed")</f>
        <v>0</v>
      </c>
      <c r="K18" s="51">
        <f>SUMIFS('Initiative Log'!$V:$V,'Initiative Log'!$D:$D,B18,'Initiative Log'!$K:$K,"Completed")</f>
        <v>0</v>
      </c>
      <c r="L18" s="51">
        <f>SUMIFS('Initiative Log'!$O:$O,'Initiative Log'!$D:$D,B18)</f>
        <v>0</v>
      </c>
      <c r="M18" s="52">
        <f t="shared" si="0"/>
        <v>0</v>
      </c>
      <c r="N18" s="52" t="str">
        <f t="shared" si="1"/>
        <v/>
      </c>
      <c r="O18" s="50">
        <f>SUMIFS('Initiative Log'!$Y:$Y,'Initiative Log'!$D:$D,B18,'Initiative Log'!$K:$K,"Completed")</f>
        <v>0</v>
      </c>
      <c r="P18" s="50">
        <f>SUMIFS('Initiative Log'!$Z:$Z,'Initiative Log'!$D:$D,B18,'Initiative Log'!$K:$K,"Completed")</f>
        <v>0</v>
      </c>
    </row>
    <row r="19" spans="2:16" ht="15" customHeight="1" thickBot="1" x14ac:dyDescent="0.4">
      <c r="B19" s="49" t="s">
        <v>416</v>
      </c>
      <c r="C19" s="45" t="str">
        <f>IFERROR(VLOOKUP(B19,'Portfolio List'!$B$4:$I$76,5,FALSE()),"")</f>
        <v>Fund 1</v>
      </c>
      <c r="D19" s="45" t="str">
        <f>IFERROR(VLOOKUP(B19,'Portfolio List'!$B$4:$I$76,6,FALSE()),"")</f>
        <v>Region 1</v>
      </c>
      <c r="E19" s="45" t="str">
        <f>IFERROR(VLOOKUP(B19,'Portfolio List'!$B$4:$I$76,7,FALSE()),"")</f>
        <v>State 1</v>
      </c>
      <c r="F19" s="46">
        <f>IFERROR(VLOOKUP(B19,'Portfolio List'!$B$4:$I$76,4,FALSE()),"")</f>
        <v>24</v>
      </c>
      <c r="G19" s="50">
        <f>COUNTIF('Initiative Log'!$D:$D,B19)</f>
        <v>0</v>
      </c>
      <c r="H19" s="50">
        <f>COUNTIFS('Initiative Log'!$D:$D,B19,'Initiative Log'!$K:$K,"Completed")</f>
        <v>0</v>
      </c>
      <c r="I19" s="50">
        <f>SUMIFS('Initiative Log'!$P:$P,'Initiative Log'!$D:$D,B19,'Initiative Log'!$K:$K,"Completed")</f>
        <v>0</v>
      </c>
      <c r="J19" s="50">
        <f>SUMIFS('Initiative Log'!$Q:$Q,'Initiative Log'!$D:$D,B19,'Initiative Log'!$K:$K,"Completed")</f>
        <v>0</v>
      </c>
      <c r="K19" s="51">
        <f>SUMIFS('Initiative Log'!$V:$V,'Initiative Log'!$D:$D,B19,'Initiative Log'!$K:$K,"Completed")</f>
        <v>0</v>
      </c>
      <c r="L19" s="51">
        <f>SUMIFS('Initiative Log'!$O:$O,'Initiative Log'!$D:$D,B19)</f>
        <v>0</v>
      </c>
      <c r="M19" s="52">
        <f t="shared" si="0"/>
        <v>0</v>
      </c>
      <c r="N19" s="52" t="str">
        <f t="shared" si="1"/>
        <v/>
      </c>
      <c r="O19" s="50">
        <f>SUMIFS('Initiative Log'!$Y:$Y,'Initiative Log'!$D:$D,B19,'Initiative Log'!$K:$K,"Completed")</f>
        <v>0</v>
      </c>
      <c r="P19" s="50">
        <f>SUMIFS('Initiative Log'!$Z:$Z,'Initiative Log'!$D:$D,B19,'Initiative Log'!$K:$K,"Completed")</f>
        <v>0</v>
      </c>
    </row>
    <row r="20" spans="2:16" ht="15" customHeight="1" thickBot="1" x14ac:dyDescent="0.4">
      <c r="B20" s="49" t="s">
        <v>417</v>
      </c>
      <c r="C20" s="45" t="str">
        <f>IFERROR(VLOOKUP(B20,'Portfolio List'!$B$4:$I$76,5,FALSE()),"")</f>
        <v>Fund 1</v>
      </c>
      <c r="D20" s="45" t="str">
        <f>IFERROR(VLOOKUP(B20,'Portfolio List'!$B$4:$I$76,6,FALSE()),"")</f>
        <v>Region 1</v>
      </c>
      <c r="E20" s="45" t="str">
        <f>IFERROR(VLOOKUP(B20,'Portfolio List'!$B$4:$I$76,7,FALSE()),"")</f>
        <v>State 1</v>
      </c>
      <c r="F20" s="46">
        <f>IFERROR(VLOOKUP(B20,'Portfolio List'!$B$4:$I$76,4,FALSE()),"")</f>
        <v>8</v>
      </c>
      <c r="G20" s="50">
        <f>COUNTIF('Initiative Log'!$D:$D,B20)</f>
        <v>0</v>
      </c>
      <c r="H20" s="50">
        <f>COUNTIFS('Initiative Log'!$D:$D,B20,'Initiative Log'!$K:$K,"Completed")</f>
        <v>0</v>
      </c>
      <c r="I20" s="50">
        <f>SUMIFS('Initiative Log'!$P:$P,'Initiative Log'!$D:$D,B20,'Initiative Log'!$K:$K,"Completed")</f>
        <v>0</v>
      </c>
      <c r="J20" s="50">
        <f>SUMIFS('Initiative Log'!$Q:$Q,'Initiative Log'!$D:$D,B20,'Initiative Log'!$K:$K,"Completed")</f>
        <v>0</v>
      </c>
      <c r="K20" s="51">
        <f>SUMIFS('Initiative Log'!$V:$V,'Initiative Log'!$D:$D,B20,'Initiative Log'!$K:$K,"Completed")</f>
        <v>0</v>
      </c>
      <c r="L20" s="51">
        <f>SUMIFS('Initiative Log'!$O:$O,'Initiative Log'!$D:$D,B20)</f>
        <v>0</v>
      </c>
      <c r="M20" s="52">
        <f t="shared" si="0"/>
        <v>0</v>
      </c>
      <c r="N20" s="52" t="str">
        <f t="shared" si="1"/>
        <v/>
      </c>
      <c r="O20" s="50">
        <f>SUMIFS('Initiative Log'!$Y:$Y,'Initiative Log'!$D:$D,B20,'Initiative Log'!$K:$K,"Completed")</f>
        <v>0</v>
      </c>
      <c r="P20" s="50">
        <f>SUMIFS('Initiative Log'!$Z:$Z,'Initiative Log'!$D:$D,B20,'Initiative Log'!$K:$K,"Completed")</f>
        <v>0</v>
      </c>
    </row>
    <row r="21" spans="2:16" ht="15" customHeight="1" thickBot="1" x14ac:dyDescent="0.4">
      <c r="B21" s="49" t="s">
        <v>418</v>
      </c>
      <c r="C21" s="45" t="str">
        <f>IFERROR(VLOOKUP(B21,'Portfolio List'!$B$4:$I$76,5,FALSE()),"")</f>
        <v>Fund 1</v>
      </c>
      <c r="D21" s="45" t="str">
        <f>IFERROR(VLOOKUP(B21,'Portfolio List'!$B$4:$I$76,6,FALSE()),"")</f>
        <v>Region 1</v>
      </c>
      <c r="E21" s="45" t="str">
        <f>IFERROR(VLOOKUP(B21,'Portfolio List'!$B$4:$I$76,7,FALSE()),"")</f>
        <v>State 1</v>
      </c>
      <c r="F21" s="46">
        <f>IFERROR(VLOOKUP(B21,'Portfolio List'!$B$4:$I$76,4,FALSE()),"")</f>
        <v>34</v>
      </c>
      <c r="G21" s="50">
        <f>COUNTIF('Initiative Log'!$D:$D,B21)</f>
        <v>0</v>
      </c>
      <c r="H21" s="50">
        <f>COUNTIFS('Initiative Log'!$D:$D,B21,'Initiative Log'!$K:$K,"Completed")</f>
        <v>0</v>
      </c>
      <c r="I21" s="50">
        <f>SUMIFS('Initiative Log'!$P:$P,'Initiative Log'!$D:$D,B21,'Initiative Log'!$K:$K,"Completed")</f>
        <v>0</v>
      </c>
      <c r="J21" s="50">
        <f>SUMIFS('Initiative Log'!$Q:$Q,'Initiative Log'!$D:$D,B21,'Initiative Log'!$K:$K,"Completed")</f>
        <v>0</v>
      </c>
      <c r="K21" s="51">
        <f>SUMIFS('Initiative Log'!$V:$V,'Initiative Log'!$D:$D,B21,'Initiative Log'!$K:$K,"Completed")</f>
        <v>0</v>
      </c>
      <c r="L21" s="51">
        <f>SUMIFS('Initiative Log'!$O:$O,'Initiative Log'!$D:$D,B21)</f>
        <v>0</v>
      </c>
      <c r="M21" s="52">
        <f t="shared" si="0"/>
        <v>0</v>
      </c>
      <c r="N21" s="52" t="str">
        <f t="shared" si="1"/>
        <v/>
      </c>
      <c r="O21" s="50">
        <f>SUMIFS('Initiative Log'!$Y:$Y,'Initiative Log'!$D:$D,B21,'Initiative Log'!$K:$K,"Completed")</f>
        <v>0</v>
      </c>
      <c r="P21" s="50">
        <f>SUMIFS('Initiative Log'!$Z:$Z,'Initiative Log'!$D:$D,B21,'Initiative Log'!$K:$K,"Completed")</f>
        <v>0</v>
      </c>
    </row>
    <row r="22" spans="2:16" ht="15" customHeight="1" thickBot="1" x14ac:dyDescent="0.4">
      <c r="B22" s="49" t="s">
        <v>419</v>
      </c>
      <c r="C22" s="45" t="str">
        <f>IFERROR(VLOOKUP(B22,'Portfolio List'!$B$4:$I$76,5,FALSE()),"")</f>
        <v>Fund 1</v>
      </c>
      <c r="D22" s="45" t="str">
        <f>IFERROR(VLOOKUP(B22,'Portfolio List'!$B$4:$I$76,6,FALSE()),"")</f>
        <v>Region 1</v>
      </c>
      <c r="E22" s="45" t="str">
        <f>IFERROR(VLOOKUP(B22,'Portfolio List'!$B$4:$I$76,7,FALSE()),"")</f>
        <v>State 1</v>
      </c>
      <c r="F22" s="46">
        <f>IFERROR(VLOOKUP(B22,'Portfolio List'!$B$4:$I$76,4,FALSE()),"")</f>
        <v>100</v>
      </c>
      <c r="G22" s="50">
        <f>COUNTIF('Initiative Log'!$D:$D,B22)</f>
        <v>0</v>
      </c>
      <c r="H22" s="50">
        <f>COUNTIFS('Initiative Log'!$D:$D,B22,'Initiative Log'!$K:$K,"Completed")</f>
        <v>0</v>
      </c>
      <c r="I22" s="50">
        <f>SUMIFS('Initiative Log'!$P:$P,'Initiative Log'!$D:$D,B22,'Initiative Log'!$K:$K,"Completed")</f>
        <v>0</v>
      </c>
      <c r="J22" s="50">
        <f>SUMIFS('Initiative Log'!$Q:$Q,'Initiative Log'!$D:$D,B22,'Initiative Log'!$K:$K,"Completed")</f>
        <v>0</v>
      </c>
      <c r="K22" s="51">
        <f>SUMIFS('Initiative Log'!$V:$V,'Initiative Log'!$D:$D,B22,'Initiative Log'!$K:$K,"Completed")</f>
        <v>0</v>
      </c>
      <c r="L22" s="51">
        <f>SUMIFS('Initiative Log'!$O:$O,'Initiative Log'!$D:$D,B22)</f>
        <v>0</v>
      </c>
      <c r="M22" s="52">
        <f t="shared" si="0"/>
        <v>0</v>
      </c>
      <c r="N22" s="52" t="str">
        <f t="shared" si="1"/>
        <v/>
      </c>
      <c r="O22" s="50">
        <f>SUMIFS('Initiative Log'!$Y:$Y,'Initiative Log'!$D:$D,B22,'Initiative Log'!$K:$K,"Completed")</f>
        <v>0</v>
      </c>
      <c r="P22" s="50">
        <f>SUMIFS('Initiative Log'!$Z:$Z,'Initiative Log'!$D:$D,B22,'Initiative Log'!$K:$K,"Completed")</f>
        <v>0</v>
      </c>
    </row>
    <row r="23" spans="2:16" ht="15" customHeight="1" thickBot="1" x14ac:dyDescent="0.4">
      <c r="B23" s="49" t="s">
        <v>420</v>
      </c>
      <c r="C23" s="45" t="str">
        <f>IFERROR(VLOOKUP(B23,'Portfolio List'!$B$4:$I$76,5,FALSE()),"")</f>
        <v>Fund 1</v>
      </c>
      <c r="D23" s="45" t="str">
        <f>IFERROR(VLOOKUP(B23,'Portfolio List'!$B$4:$I$76,6,FALSE()),"")</f>
        <v>Region 1</v>
      </c>
      <c r="E23" s="45" t="str">
        <f>IFERROR(VLOOKUP(B23,'Portfolio List'!$B$4:$I$76,7,FALSE()),"")</f>
        <v>State 1</v>
      </c>
      <c r="F23" s="46">
        <f>IFERROR(VLOOKUP(B23,'Portfolio List'!$B$4:$I$76,4,FALSE()),"")</f>
        <v>55</v>
      </c>
      <c r="G23" s="50">
        <f>COUNTIF('Initiative Log'!$D:$D,B23)</f>
        <v>0</v>
      </c>
      <c r="H23" s="50">
        <f>COUNTIFS('Initiative Log'!$D:$D,B23,'Initiative Log'!$K:$K,"Completed")</f>
        <v>0</v>
      </c>
      <c r="I23" s="50">
        <f>SUMIFS('Initiative Log'!$P:$P,'Initiative Log'!$D:$D,B23,'Initiative Log'!$K:$K,"Completed")</f>
        <v>0</v>
      </c>
      <c r="J23" s="50">
        <f>SUMIFS('Initiative Log'!$Q:$Q,'Initiative Log'!$D:$D,B23,'Initiative Log'!$K:$K,"Completed")</f>
        <v>0</v>
      </c>
      <c r="K23" s="51">
        <f>SUMIFS('Initiative Log'!$V:$V,'Initiative Log'!$D:$D,B23,'Initiative Log'!$K:$K,"Completed")</f>
        <v>0</v>
      </c>
      <c r="L23" s="51">
        <f>SUMIFS('Initiative Log'!$O:$O,'Initiative Log'!$D:$D,B23)</f>
        <v>0</v>
      </c>
      <c r="M23" s="52">
        <f t="shared" si="0"/>
        <v>0</v>
      </c>
      <c r="N23" s="52" t="str">
        <f t="shared" si="1"/>
        <v/>
      </c>
      <c r="O23" s="50">
        <f>SUMIFS('Initiative Log'!$Y:$Y,'Initiative Log'!$D:$D,B23,'Initiative Log'!$K:$K,"Completed")</f>
        <v>0</v>
      </c>
      <c r="P23" s="50">
        <f>SUMIFS('Initiative Log'!$Z:$Z,'Initiative Log'!$D:$D,B23,'Initiative Log'!$K:$K,"Completed")</f>
        <v>0</v>
      </c>
    </row>
    <row r="24" spans="2:16" ht="15" customHeight="1" thickBot="1" x14ac:dyDescent="0.4">
      <c r="B24" s="49" t="s">
        <v>421</v>
      </c>
      <c r="C24" s="45" t="str">
        <f>IFERROR(VLOOKUP(B24,'Portfolio List'!$B$4:$I$76,5,FALSE()),"")</f>
        <v>Fund 1</v>
      </c>
      <c r="D24" s="45" t="str">
        <f>IFERROR(VLOOKUP(B24,'Portfolio List'!$B$4:$I$76,6,FALSE()),"")</f>
        <v>Region 3</v>
      </c>
      <c r="E24" s="45" t="str">
        <f>IFERROR(VLOOKUP(B24,'Portfolio List'!$B$4:$I$76,7,FALSE()),"")</f>
        <v>State 2</v>
      </c>
      <c r="F24" s="46">
        <f>IFERROR(VLOOKUP(B24,'Portfolio List'!$B$4:$I$76,4,FALSE()),"")</f>
        <v>41</v>
      </c>
      <c r="G24" s="50">
        <f>COUNTIF('Initiative Log'!$D:$D,B24)</f>
        <v>0</v>
      </c>
      <c r="H24" s="50">
        <f>COUNTIFS('Initiative Log'!$D:$D,B24,'Initiative Log'!$K:$K,"Completed")</f>
        <v>0</v>
      </c>
      <c r="I24" s="50">
        <f>SUMIFS('Initiative Log'!$P:$P,'Initiative Log'!$D:$D,B24,'Initiative Log'!$K:$K,"Completed")</f>
        <v>0</v>
      </c>
      <c r="J24" s="50">
        <f>SUMIFS('Initiative Log'!$Q:$Q,'Initiative Log'!$D:$D,B24,'Initiative Log'!$K:$K,"Completed")</f>
        <v>0</v>
      </c>
      <c r="K24" s="51">
        <f>SUMIFS('Initiative Log'!$V:$V,'Initiative Log'!$D:$D,B24,'Initiative Log'!$K:$K,"Completed")</f>
        <v>0</v>
      </c>
      <c r="L24" s="51">
        <f>SUMIFS('Initiative Log'!$O:$O,'Initiative Log'!$D:$D,B24)</f>
        <v>0</v>
      </c>
      <c r="M24" s="52">
        <f t="shared" si="0"/>
        <v>0</v>
      </c>
      <c r="N24" s="52" t="str">
        <f t="shared" si="1"/>
        <v/>
      </c>
      <c r="O24" s="50">
        <f>SUMIFS('Initiative Log'!$Y:$Y,'Initiative Log'!$D:$D,B24,'Initiative Log'!$K:$K,"Completed")</f>
        <v>0</v>
      </c>
      <c r="P24" s="50">
        <f>SUMIFS('Initiative Log'!$Z:$Z,'Initiative Log'!$D:$D,B24,'Initiative Log'!$K:$K,"Completed")</f>
        <v>0</v>
      </c>
    </row>
    <row r="25" spans="2:16" ht="15" customHeight="1" thickBot="1" x14ac:dyDescent="0.4">
      <c r="B25" s="49" t="s">
        <v>422</v>
      </c>
      <c r="C25" s="45" t="str">
        <f>IFERROR(VLOOKUP(B25,'Portfolio List'!$B$4:$I$76,5,FALSE()),"")</f>
        <v>Fund 3</v>
      </c>
      <c r="D25" s="45" t="str">
        <f>IFERROR(VLOOKUP(B25,'Portfolio List'!$B$4:$I$76,6,FALSE()),"")</f>
        <v>Region 4</v>
      </c>
      <c r="E25" s="45" t="str">
        <f>IFERROR(VLOOKUP(B25,'Portfolio List'!$B$4:$I$76,7,FALSE()),"")</f>
        <v>State 3</v>
      </c>
      <c r="F25" s="46">
        <f>IFERROR(VLOOKUP(B25,'Portfolio List'!$B$4:$I$76,4,FALSE()),"")</f>
        <v>184</v>
      </c>
      <c r="G25" s="50">
        <f>COUNTIF('Initiative Log'!$D:$D,B25)</f>
        <v>0</v>
      </c>
      <c r="H25" s="50">
        <f>COUNTIFS('Initiative Log'!$D:$D,B25,'Initiative Log'!$K:$K,"Completed")</f>
        <v>0</v>
      </c>
      <c r="I25" s="50">
        <f>SUMIFS('Initiative Log'!$P:$P,'Initiative Log'!$D:$D,B25,'Initiative Log'!$K:$K,"Completed")</f>
        <v>0</v>
      </c>
      <c r="J25" s="50">
        <f>SUMIFS('Initiative Log'!$Q:$Q,'Initiative Log'!$D:$D,B25,'Initiative Log'!$K:$K,"Completed")</f>
        <v>0</v>
      </c>
      <c r="K25" s="51">
        <f>SUMIFS('Initiative Log'!$V:$V,'Initiative Log'!$D:$D,B25,'Initiative Log'!$K:$K,"Completed")</f>
        <v>0</v>
      </c>
      <c r="L25" s="51">
        <f>SUMIFS('Initiative Log'!$O:$O,'Initiative Log'!$D:$D,B25)</f>
        <v>0</v>
      </c>
      <c r="M25" s="52">
        <f t="shared" si="0"/>
        <v>0</v>
      </c>
      <c r="N25" s="52" t="str">
        <f t="shared" si="1"/>
        <v/>
      </c>
      <c r="O25" s="50">
        <f>SUMIFS('Initiative Log'!$Y:$Y,'Initiative Log'!$D:$D,B25,'Initiative Log'!$K:$K,"Completed")</f>
        <v>0</v>
      </c>
      <c r="P25" s="50">
        <f>SUMIFS('Initiative Log'!$Z:$Z,'Initiative Log'!$D:$D,B25,'Initiative Log'!$K:$K,"Completed")</f>
        <v>0</v>
      </c>
    </row>
    <row r="26" spans="2:16" ht="15" customHeight="1" thickBot="1" x14ac:dyDescent="0.4">
      <c r="B26" s="49" t="s">
        <v>423</v>
      </c>
      <c r="C26" s="45" t="str">
        <f>IFERROR(VLOOKUP(B26,'Portfolio List'!$B$4:$I$76,5,FALSE()),"")</f>
        <v>Fund 3</v>
      </c>
      <c r="D26" s="45" t="str">
        <f>IFERROR(VLOOKUP(B26,'Portfolio List'!$B$4:$I$76,6,FALSE()),"")</f>
        <v>Region 4</v>
      </c>
      <c r="E26" s="45" t="str">
        <f>IFERROR(VLOOKUP(B26,'Portfolio List'!$B$4:$I$76,7,FALSE()),"")</f>
        <v>State 3</v>
      </c>
      <c r="F26" s="46">
        <f>IFERROR(VLOOKUP(B26,'Portfolio List'!$B$4:$I$76,4,FALSE()),"")</f>
        <v>167</v>
      </c>
      <c r="G26" s="50">
        <f>COUNTIF('Initiative Log'!$D:$D,B26)</f>
        <v>0</v>
      </c>
      <c r="H26" s="50">
        <f>COUNTIFS('Initiative Log'!$D:$D,B26,'Initiative Log'!$K:$K,"Completed")</f>
        <v>0</v>
      </c>
      <c r="I26" s="50">
        <f>SUMIFS('Initiative Log'!$P:$P,'Initiative Log'!$D:$D,B26,'Initiative Log'!$K:$K,"Completed")</f>
        <v>0</v>
      </c>
      <c r="J26" s="50">
        <f>SUMIFS('Initiative Log'!$Q:$Q,'Initiative Log'!$D:$D,B26,'Initiative Log'!$K:$K,"Completed")</f>
        <v>0</v>
      </c>
      <c r="K26" s="51">
        <f>SUMIFS('Initiative Log'!$V:$V,'Initiative Log'!$D:$D,B26,'Initiative Log'!$K:$K,"Completed")</f>
        <v>0</v>
      </c>
      <c r="L26" s="51">
        <f>SUMIFS('Initiative Log'!$O:$O,'Initiative Log'!$D:$D,B26)</f>
        <v>0</v>
      </c>
      <c r="M26" s="52">
        <f t="shared" si="0"/>
        <v>0</v>
      </c>
      <c r="N26" s="52" t="str">
        <f t="shared" si="1"/>
        <v/>
      </c>
      <c r="O26" s="50">
        <f>SUMIFS('Initiative Log'!$Y:$Y,'Initiative Log'!$D:$D,B26,'Initiative Log'!$K:$K,"Completed")</f>
        <v>0</v>
      </c>
      <c r="P26" s="50">
        <f>SUMIFS('Initiative Log'!$Z:$Z,'Initiative Log'!$D:$D,B26,'Initiative Log'!$K:$K,"Completed")</f>
        <v>0</v>
      </c>
    </row>
    <row r="27" spans="2:16" ht="15" customHeight="1" thickBot="1" x14ac:dyDescent="0.4">
      <c r="B27" s="49" t="s">
        <v>424</v>
      </c>
      <c r="C27" s="45" t="str">
        <f>IFERROR(VLOOKUP(B27,'Portfolio List'!$B$4:$I$76,5,FALSE()),"")</f>
        <v>Fund 3</v>
      </c>
      <c r="D27" s="45" t="str">
        <f>IFERROR(VLOOKUP(B27,'Portfolio List'!$B$4:$I$76,6,FALSE()),"")</f>
        <v>Region 3</v>
      </c>
      <c r="E27" s="45" t="str">
        <f>IFERROR(VLOOKUP(B27,'Portfolio List'!$B$4:$I$76,7,FALSE()),"")</f>
        <v>State 4</v>
      </c>
      <c r="F27" s="46">
        <f>IFERROR(VLOOKUP(B27,'Portfolio List'!$B$4:$I$76,4,FALSE()),"")</f>
        <v>225</v>
      </c>
      <c r="G27" s="50">
        <f>COUNTIF('Initiative Log'!$D:$D,B27)</f>
        <v>0</v>
      </c>
      <c r="H27" s="50">
        <f>COUNTIFS('Initiative Log'!$D:$D,B27,'Initiative Log'!$K:$K,"Completed")</f>
        <v>0</v>
      </c>
      <c r="I27" s="50">
        <f>SUMIFS('Initiative Log'!$P:$P,'Initiative Log'!$D:$D,B27,'Initiative Log'!$K:$K,"Completed")</f>
        <v>0</v>
      </c>
      <c r="J27" s="50">
        <f>SUMIFS('Initiative Log'!$Q:$Q,'Initiative Log'!$D:$D,B27,'Initiative Log'!$K:$K,"Completed")</f>
        <v>0</v>
      </c>
      <c r="K27" s="51">
        <f>SUMIFS('Initiative Log'!$V:$V,'Initiative Log'!$D:$D,B27,'Initiative Log'!$K:$K,"Completed")</f>
        <v>0</v>
      </c>
      <c r="L27" s="51">
        <f>SUMIFS('Initiative Log'!$O:$O,'Initiative Log'!$D:$D,B27)</f>
        <v>0</v>
      </c>
      <c r="M27" s="52">
        <f t="shared" si="0"/>
        <v>0</v>
      </c>
      <c r="N27" s="52" t="str">
        <f t="shared" si="1"/>
        <v/>
      </c>
      <c r="O27" s="50">
        <f>SUMIFS('Initiative Log'!$Y:$Y,'Initiative Log'!$D:$D,B27,'Initiative Log'!$K:$K,"Completed")</f>
        <v>0</v>
      </c>
      <c r="P27" s="50">
        <f>SUMIFS('Initiative Log'!$Z:$Z,'Initiative Log'!$D:$D,B27,'Initiative Log'!$K:$K,"Completed")</f>
        <v>0</v>
      </c>
    </row>
    <row r="28" spans="2:16" ht="15" customHeight="1" thickBot="1" x14ac:dyDescent="0.4">
      <c r="B28" s="49" t="s">
        <v>425</v>
      </c>
      <c r="C28" s="45" t="str">
        <f>IFERROR(VLOOKUP(B28,'Portfolio List'!$B$4:$I$76,5,FALSE()),"")</f>
        <v>Fund 3</v>
      </c>
      <c r="D28" s="45" t="str">
        <f>IFERROR(VLOOKUP(B28,'Portfolio List'!$B$4:$I$76,6,FALSE()),"")</f>
        <v>Region 3</v>
      </c>
      <c r="E28" s="45" t="str">
        <f>IFERROR(VLOOKUP(B28,'Portfolio List'!$B$4:$I$76,7,FALSE()),"")</f>
        <v>State 4</v>
      </c>
      <c r="F28" s="46">
        <f>IFERROR(VLOOKUP(B28,'Portfolio List'!$B$4:$I$76,4,FALSE()),"")</f>
        <v>217</v>
      </c>
      <c r="G28" s="50">
        <f>COUNTIF('Initiative Log'!$D:$D,B28)</f>
        <v>0</v>
      </c>
      <c r="H28" s="50">
        <f>COUNTIFS('Initiative Log'!$D:$D,B28,'Initiative Log'!$K:$K,"Completed")</f>
        <v>0</v>
      </c>
      <c r="I28" s="50">
        <f>SUMIFS('Initiative Log'!$P:$P,'Initiative Log'!$D:$D,B28,'Initiative Log'!$K:$K,"Completed")</f>
        <v>0</v>
      </c>
      <c r="J28" s="50">
        <f>SUMIFS('Initiative Log'!$Q:$Q,'Initiative Log'!$D:$D,B28,'Initiative Log'!$K:$K,"Completed")</f>
        <v>0</v>
      </c>
      <c r="K28" s="51">
        <f>SUMIFS('Initiative Log'!$V:$V,'Initiative Log'!$D:$D,B28,'Initiative Log'!$K:$K,"Completed")</f>
        <v>0</v>
      </c>
      <c r="L28" s="51">
        <f>SUMIFS('Initiative Log'!$O:$O,'Initiative Log'!$D:$D,B28)</f>
        <v>0</v>
      </c>
      <c r="M28" s="52">
        <f t="shared" si="0"/>
        <v>0</v>
      </c>
      <c r="N28" s="52" t="str">
        <f t="shared" si="1"/>
        <v/>
      </c>
      <c r="O28" s="50">
        <f>SUMIFS('Initiative Log'!$Y:$Y,'Initiative Log'!$D:$D,B28,'Initiative Log'!$K:$K,"Completed")</f>
        <v>0</v>
      </c>
      <c r="P28" s="50">
        <f>SUMIFS('Initiative Log'!$Z:$Z,'Initiative Log'!$D:$D,B28,'Initiative Log'!$K:$K,"Completed")</f>
        <v>0</v>
      </c>
    </row>
    <row r="29" spans="2:16" ht="15" customHeight="1" thickBot="1" x14ac:dyDescent="0.4">
      <c r="B29" s="49" t="s">
        <v>426</v>
      </c>
      <c r="C29" s="45" t="str">
        <f>IFERROR(VLOOKUP(B29,'Portfolio List'!$B$4:$I$76,5,FALSE()),"")</f>
        <v>Fund 3</v>
      </c>
      <c r="D29" s="45" t="str">
        <f>IFERROR(VLOOKUP(B29,'Portfolio List'!$B$4:$I$76,6,FALSE()),"")</f>
        <v>Region 3</v>
      </c>
      <c r="E29" s="45" t="str">
        <f>IFERROR(VLOOKUP(B29,'Portfolio List'!$B$4:$I$76,7,FALSE()),"")</f>
        <v>State 5</v>
      </c>
      <c r="F29" s="46">
        <f>IFERROR(VLOOKUP(B29,'Portfolio List'!$B$4:$I$76,4,FALSE()),"")</f>
        <v>185</v>
      </c>
      <c r="G29" s="50">
        <f>COUNTIF('Initiative Log'!$D:$D,B29)</f>
        <v>0</v>
      </c>
      <c r="H29" s="50">
        <f>COUNTIFS('Initiative Log'!$D:$D,B29,'Initiative Log'!$K:$K,"Completed")</f>
        <v>0</v>
      </c>
      <c r="I29" s="50">
        <f>SUMIFS('Initiative Log'!$P:$P,'Initiative Log'!$D:$D,B29,'Initiative Log'!$K:$K,"Completed")</f>
        <v>0</v>
      </c>
      <c r="J29" s="50">
        <f>SUMIFS('Initiative Log'!$Q:$Q,'Initiative Log'!$D:$D,B29,'Initiative Log'!$K:$K,"Completed")</f>
        <v>0</v>
      </c>
      <c r="K29" s="51">
        <f>SUMIFS('Initiative Log'!$V:$V,'Initiative Log'!$D:$D,B29,'Initiative Log'!$K:$K,"Completed")</f>
        <v>0</v>
      </c>
      <c r="L29" s="51">
        <f>SUMIFS('Initiative Log'!$O:$O,'Initiative Log'!$D:$D,B29)</f>
        <v>0</v>
      </c>
      <c r="M29" s="52">
        <f t="shared" si="0"/>
        <v>0</v>
      </c>
      <c r="N29" s="52" t="str">
        <f t="shared" si="1"/>
        <v/>
      </c>
      <c r="O29" s="50">
        <f>SUMIFS('Initiative Log'!$Y:$Y,'Initiative Log'!$D:$D,B29,'Initiative Log'!$K:$K,"Completed")</f>
        <v>0</v>
      </c>
      <c r="P29" s="50">
        <f>SUMIFS('Initiative Log'!$Z:$Z,'Initiative Log'!$D:$D,B29,'Initiative Log'!$K:$K,"Completed")</f>
        <v>0</v>
      </c>
    </row>
    <row r="30" spans="2:16" ht="15" customHeight="1" thickBot="1" x14ac:dyDescent="0.4">
      <c r="B30" s="49" t="s">
        <v>427</v>
      </c>
      <c r="C30" s="45" t="str">
        <f>IFERROR(VLOOKUP(B30,'Portfolio List'!$B$4:$I$76,5,FALSE()),"")</f>
        <v>Fund 3</v>
      </c>
      <c r="D30" s="45" t="str">
        <f>IFERROR(VLOOKUP(B30,'Portfolio List'!$B$4:$I$76,6,FALSE()),"")</f>
        <v>Region 3</v>
      </c>
      <c r="E30" s="45" t="str">
        <f>IFERROR(VLOOKUP(B30,'Portfolio List'!$B$4:$I$76,7,FALSE()),"")</f>
        <v>State 5</v>
      </c>
      <c r="F30" s="46">
        <f>IFERROR(VLOOKUP(B30,'Portfolio List'!$B$4:$I$76,4,FALSE()),"")</f>
        <v>165</v>
      </c>
      <c r="G30" s="50">
        <f>COUNTIF('Initiative Log'!$D:$D,B30)</f>
        <v>0</v>
      </c>
      <c r="H30" s="50">
        <f>COUNTIFS('Initiative Log'!$D:$D,B30,'Initiative Log'!$K:$K,"Completed")</f>
        <v>0</v>
      </c>
      <c r="I30" s="50">
        <f>SUMIFS('Initiative Log'!$P:$P,'Initiative Log'!$D:$D,B30,'Initiative Log'!$K:$K,"Completed")</f>
        <v>0</v>
      </c>
      <c r="J30" s="50">
        <f>SUMIFS('Initiative Log'!$Q:$Q,'Initiative Log'!$D:$D,B30,'Initiative Log'!$K:$K,"Completed")</f>
        <v>0</v>
      </c>
      <c r="K30" s="51">
        <f>SUMIFS('Initiative Log'!$V:$V,'Initiative Log'!$D:$D,B30,'Initiative Log'!$K:$K,"Completed")</f>
        <v>0</v>
      </c>
      <c r="L30" s="51">
        <f>SUMIFS('Initiative Log'!$O:$O,'Initiative Log'!$D:$D,B30)</f>
        <v>0</v>
      </c>
      <c r="M30" s="52">
        <f t="shared" si="0"/>
        <v>0</v>
      </c>
      <c r="N30" s="52" t="str">
        <f t="shared" si="1"/>
        <v/>
      </c>
      <c r="O30" s="50">
        <f>SUMIFS('Initiative Log'!$Y:$Y,'Initiative Log'!$D:$D,B30,'Initiative Log'!$K:$K,"Completed")</f>
        <v>0</v>
      </c>
      <c r="P30" s="50">
        <f>SUMIFS('Initiative Log'!$Z:$Z,'Initiative Log'!$D:$D,B30,'Initiative Log'!$K:$K,"Completed")</f>
        <v>0</v>
      </c>
    </row>
    <row r="31" spans="2:16" ht="15" customHeight="1" thickBot="1" x14ac:dyDescent="0.4">
      <c r="B31" s="49" t="s">
        <v>428</v>
      </c>
      <c r="C31" s="45" t="str">
        <f>IFERROR(VLOOKUP(B31,'Portfolio List'!$B$4:$I$76,5,FALSE()),"")</f>
        <v>Fund 3</v>
      </c>
      <c r="D31" s="45" t="str">
        <f>IFERROR(VLOOKUP(B31,'Portfolio List'!$B$4:$I$76,6,FALSE()),"")</f>
        <v>Region 3</v>
      </c>
      <c r="E31" s="45" t="str">
        <f>IFERROR(VLOOKUP(B31,'Portfolio List'!$B$4:$I$76,7,FALSE()),"")</f>
        <v>State 4</v>
      </c>
      <c r="F31" s="46">
        <f>IFERROR(VLOOKUP(B31,'Portfolio List'!$B$4:$I$76,4,FALSE()),"")</f>
        <v>102</v>
      </c>
      <c r="G31" s="50">
        <f>COUNTIF('Initiative Log'!$D:$D,B31)</f>
        <v>0</v>
      </c>
      <c r="H31" s="50">
        <f>COUNTIFS('Initiative Log'!$D:$D,B31,'Initiative Log'!$K:$K,"Completed")</f>
        <v>0</v>
      </c>
      <c r="I31" s="50">
        <f>SUMIFS('Initiative Log'!$P:$P,'Initiative Log'!$D:$D,B31,'Initiative Log'!$K:$K,"Completed")</f>
        <v>0</v>
      </c>
      <c r="J31" s="50">
        <f>SUMIFS('Initiative Log'!$Q:$Q,'Initiative Log'!$D:$D,B31,'Initiative Log'!$K:$K,"Completed")</f>
        <v>0</v>
      </c>
      <c r="K31" s="51">
        <f>SUMIFS('Initiative Log'!$V:$V,'Initiative Log'!$D:$D,B31,'Initiative Log'!$K:$K,"Completed")</f>
        <v>0</v>
      </c>
      <c r="L31" s="51">
        <f>SUMIFS('Initiative Log'!$O:$O,'Initiative Log'!$D:$D,B31)</f>
        <v>0</v>
      </c>
      <c r="M31" s="52">
        <f t="shared" si="0"/>
        <v>0</v>
      </c>
      <c r="N31" s="52" t="str">
        <f t="shared" si="1"/>
        <v/>
      </c>
      <c r="O31" s="50">
        <f>SUMIFS('Initiative Log'!$Y:$Y,'Initiative Log'!$D:$D,B31,'Initiative Log'!$K:$K,"Completed")</f>
        <v>0</v>
      </c>
      <c r="P31" s="50">
        <f>SUMIFS('Initiative Log'!$Z:$Z,'Initiative Log'!$D:$D,B31,'Initiative Log'!$K:$K,"Completed")</f>
        <v>0</v>
      </c>
    </row>
    <row r="32" spans="2:16" ht="15" customHeight="1" thickBot="1" x14ac:dyDescent="0.4">
      <c r="B32" s="49" t="s">
        <v>429</v>
      </c>
      <c r="C32" s="45" t="str">
        <f>IFERROR(VLOOKUP(B32,'Portfolio List'!$B$4:$I$76,5,FALSE()),"")</f>
        <v>Fund 3</v>
      </c>
      <c r="D32" s="45" t="str">
        <f>IFERROR(VLOOKUP(B32,'Portfolio List'!$B$4:$I$76,6,FALSE()),"")</f>
        <v>Region 3</v>
      </c>
      <c r="E32" s="45" t="str">
        <f>IFERROR(VLOOKUP(B32,'Portfolio List'!$B$4:$I$76,7,FALSE()),"")</f>
        <v>State 4</v>
      </c>
      <c r="F32" s="46">
        <f>IFERROR(VLOOKUP(B32,'Portfolio List'!$B$4:$I$76,4,FALSE()),"")</f>
        <v>125</v>
      </c>
      <c r="G32" s="50">
        <f>COUNTIF('Initiative Log'!$D:$D,B32)</f>
        <v>0</v>
      </c>
      <c r="H32" s="50">
        <f>COUNTIFS('Initiative Log'!$D:$D,B32,'Initiative Log'!$K:$K,"Completed")</f>
        <v>0</v>
      </c>
      <c r="I32" s="50">
        <f>SUMIFS('Initiative Log'!$P:$P,'Initiative Log'!$D:$D,B32,'Initiative Log'!$K:$K,"Completed")</f>
        <v>0</v>
      </c>
      <c r="J32" s="50">
        <f>SUMIFS('Initiative Log'!$Q:$Q,'Initiative Log'!$D:$D,B32,'Initiative Log'!$K:$K,"Completed")</f>
        <v>0</v>
      </c>
      <c r="K32" s="51">
        <f>SUMIFS('Initiative Log'!$V:$V,'Initiative Log'!$D:$D,B32,'Initiative Log'!$K:$K,"Completed")</f>
        <v>0</v>
      </c>
      <c r="L32" s="51">
        <f>SUMIFS('Initiative Log'!$O:$O,'Initiative Log'!$D:$D,B32)</f>
        <v>0</v>
      </c>
      <c r="M32" s="52">
        <f t="shared" si="0"/>
        <v>0</v>
      </c>
      <c r="N32" s="52" t="str">
        <f t="shared" si="1"/>
        <v/>
      </c>
      <c r="O32" s="50">
        <f>SUMIFS('Initiative Log'!$Y:$Y,'Initiative Log'!$D:$D,B32,'Initiative Log'!$K:$K,"Completed")</f>
        <v>0</v>
      </c>
      <c r="P32" s="50">
        <f>SUMIFS('Initiative Log'!$Z:$Z,'Initiative Log'!$D:$D,B32,'Initiative Log'!$K:$K,"Completed")</f>
        <v>0</v>
      </c>
    </row>
    <row r="33" spans="2:16" ht="15" customHeight="1" thickBot="1" x14ac:dyDescent="0.4">
      <c r="B33" s="49" t="s">
        <v>430</v>
      </c>
      <c r="C33" s="45" t="str">
        <f>IFERROR(VLOOKUP(B33,'Portfolio List'!$B$4:$I$76,5,FALSE()),"")</f>
        <v>Fund 3</v>
      </c>
      <c r="D33" s="45" t="str">
        <f>IFERROR(VLOOKUP(B33,'Portfolio List'!$B$4:$I$76,6,FALSE()),"")</f>
        <v>Region 3</v>
      </c>
      <c r="E33" s="45" t="str">
        <f>IFERROR(VLOOKUP(B33,'Portfolio List'!$B$4:$I$76,7,FALSE()),"")</f>
        <v>State 5</v>
      </c>
      <c r="F33" s="46">
        <f>IFERROR(VLOOKUP(B33,'Portfolio List'!$B$4:$I$76,4,FALSE()),"")</f>
        <v>208</v>
      </c>
      <c r="G33" s="50">
        <f>COUNTIF('Initiative Log'!$D:$D,B33)</f>
        <v>0</v>
      </c>
      <c r="H33" s="50">
        <f>COUNTIFS('Initiative Log'!$D:$D,B33,'Initiative Log'!$K:$K,"Completed")</f>
        <v>0</v>
      </c>
      <c r="I33" s="50">
        <f>SUMIFS('Initiative Log'!$P:$P,'Initiative Log'!$D:$D,B33,'Initiative Log'!$K:$K,"Completed")</f>
        <v>0</v>
      </c>
      <c r="J33" s="50">
        <f>SUMIFS('Initiative Log'!$Q:$Q,'Initiative Log'!$D:$D,B33,'Initiative Log'!$K:$K,"Completed")</f>
        <v>0</v>
      </c>
      <c r="K33" s="51">
        <f>SUMIFS('Initiative Log'!$V:$V,'Initiative Log'!$D:$D,B33,'Initiative Log'!$K:$K,"Completed")</f>
        <v>0</v>
      </c>
      <c r="L33" s="51">
        <f>SUMIFS('Initiative Log'!$O:$O,'Initiative Log'!$D:$D,B33)</f>
        <v>0</v>
      </c>
      <c r="M33" s="52">
        <f t="shared" si="0"/>
        <v>0</v>
      </c>
      <c r="N33" s="52" t="str">
        <f t="shared" si="1"/>
        <v/>
      </c>
      <c r="O33" s="50">
        <f>SUMIFS('Initiative Log'!$Y:$Y,'Initiative Log'!$D:$D,B33,'Initiative Log'!$K:$K,"Completed")</f>
        <v>0</v>
      </c>
      <c r="P33" s="50">
        <f>SUMIFS('Initiative Log'!$Z:$Z,'Initiative Log'!$D:$D,B33,'Initiative Log'!$K:$K,"Completed")</f>
        <v>0</v>
      </c>
    </row>
    <row r="34" spans="2:16" ht="15" customHeight="1" thickBot="1" x14ac:dyDescent="0.4">
      <c r="B34" s="49" t="s">
        <v>431</v>
      </c>
      <c r="C34" s="45" t="str">
        <f>IFERROR(VLOOKUP(B34,'Portfolio List'!$B$4:$I$76,5,FALSE()),"")</f>
        <v>Fund 4</v>
      </c>
      <c r="D34" s="45" t="str">
        <f>IFERROR(VLOOKUP(B34,'Portfolio List'!$B$4:$I$76,6,FALSE()),"")</f>
        <v>Region 3</v>
      </c>
      <c r="E34" s="45" t="str">
        <f>IFERROR(VLOOKUP(B34,'Portfolio List'!$B$4:$I$76,7,FALSE()),"")</f>
        <v>State 4</v>
      </c>
      <c r="F34" s="46">
        <f>IFERROR(VLOOKUP(B34,'Portfolio List'!$B$4:$I$76,4,FALSE()),"")</f>
        <v>412</v>
      </c>
      <c r="G34" s="50">
        <f>COUNTIF('Initiative Log'!$D:$D,B34)</f>
        <v>0</v>
      </c>
      <c r="H34" s="50">
        <f>COUNTIFS('Initiative Log'!$D:$D,B34,'Initiative Log'!$K:$K,"Completed")</f>
        <v>0</v>
      </c>
      <c r="I34" s="50">
        <f>SUMIFS('Initiative Log'!$P:$P,'Initiative Log'!$D:$D,B34,'Initiative Log'!$K:$K,"Completed")</f>
        <v>0</v>
      </c>
      <c r="J34" s="50">
        <f>SUMIFS('Initiative Log'!$Q:$Q,'Initiative Log'!$D:$D,B34,'Initiative Log'!$K:$K,"Completed")</f>
        <v>0</v>
      </c>
      <c r="K34" s="51">
        <f>SUMIFS('Initiative Log'!$V:$V,'Initiative Log'!$D:$D,B34,'Initiative Log'!$K:$K,"Completed")</f>
        <v>0</v>
      </c>
      <c r="L34" s="51">
        <f>SUMIFS('Initiative Log'!$O:$O,'Initiative Log'!$D:$D,B34)</f>
        <v>0</v>
      </c>
      <c r="M34" s="52">
        <f t="shared" si="0"/>
        <v>0</v>
      </c>
      <c r="N34" s="52" t="str">
        <f t="shared" si="1"/>
        <v/>
      </c>
      <c r="O34" s="50">
        <f>SUMIFS('Initiative Log'!$Y:$Y,'Initiative Log'!$D:$D,B34,'Initiative Log'!$K:$K,"Completed")</f>
        <v>0</v>
      </c>
      <c r="P34" s="50">
        <f>SUMIFS('Initiative Log'!$Z:$Z,'Initiative Log'!$D:$D,B34,'Initiative Log'!$K:$K,"Completed")</f>
        <v>0</v>
      </c>
    </row>
    <row r="35" spans="2:16" ht="15" customHeight="1" thickBot="1" x14ac:dyDescent="0.4">
      <c r="B35" s="49" t="s">
        <v>432</v>
      </c>
      <c r="C35" s="45" t="str">
        <f>IFERROR(VLOOKUP(B35,'Portfolio List'!$B$4:$I$76,5,FALSE()),"")</f>
        <v>Fund 4</v>
      </c>
      <c r="D35" s="45" t="str">
        <f>IFERROR(VLOOKUP(B35,'Portfolio List'!$B$4:$I$76,6,FALSE()),"")</f>
        <v>Region 3</v>
      </c>
      <c r="E35" s="45" t="str">
        <f>IFERROR(VLOOKUP(B35,'Portfolio List'!$B$4:$I$76,7,FALSE()),"")</f>
        <v>State 2</v>
      </c>
      <c r="F35" s="46">
        <f>IFERROR(VLOOKUP(B35,'Portfolio List'!$B$4:$I$76,4,FALSE()),"")</f>
        <v>96</v>
      </c>
      <c r="G35" s="50">
        <f>COUNTIF('Initiative Log'!$D:$D,B35)</f>
        <v>0</v>
      </c>
      <c r="H35" s="50">
        <f>COUNTIFS('Initiative Log'!$D:$D,B35,'Initiative Log'!$K:$K,"Completed")</f>
        <v>0</v>
      </c>
      <c r="I35" s="50">
        <f>SUMIFS('Initiative Log'!$P:$P,'Initiative Log'!$D:$D,B35,'Initiative Log'!$K:$K,"Completed")</f>
        <v>0</v>
      </c>
      <c r="J35" s="50">
        <f>SUMIFS('Initiative Log'!$Q:$Q,'Initiative Log'!$D:$D,B35,'Initiative Log'!$K:$K,"Completed")</f>
        <v>0</v>
      </c>
      <c r="K35" s="51">
        <f>SUMIFS('Initiative Log'!$V:$V,'Initiative Log'!$D:$D,B35,'Initiative Log'!$K:$K,"Completed")</f>
        <v>0</v>
      </c>
      <c r="L35" s="51">
        <f>SUMIFS('Initiative Log'!$O:$O,'Initiative Log'!$D:$D,B35)</f>
        <v>0</v>
      </c>
      <c r="M35" s="52">
        <f t="shared" si="0"/>
        <v>0</v>
      </c>
      <c r="N35" s="52" t="str">
        <f t="shared" si="1"/>
        <v/>
      </c>
      <c r="O35" s="50">
        <f>SUMIFS('Initiative Log'!$Y:$Y,'Initiative Log'!$D:$D,B35,'Initiative Log'!$K:$K,"Completed")</f>
        <v>0</v>
      </c>
      <c r="P35" s="50">
        <f>SUMIFS('Initiative Log'!$Z:$Z,'Initiative Log'!$D:$D,B35,'Initiative Log'!$K:$K,"Completed")</f>
        <v>0</v>
      </c>
    </row>
    <row r="36" spans="2:16" ht="15" customHeight="1" thickBot="1" x14ac:dyDescent="0.4">
      <c r="B36" s="49" t="s">
        <v>433</v>
      </c>
      <c r="C36" s="45" t="str">
        <f>IFERROR(VLOOKUP(B36,'Portfolio List'!$B$4:$I$76,5,FALSE()),"")</f>
        <v>Fund 4</v>
      </c>
      <c r="D36" s="45" t="str">
        <f>IFERROR(VLOOKUP(B36,'Portfolio List'!$B$4:$I$76,6,FALSE()),"")</f>
        <v>Region 3</v>
      </c>
      <c r="E36" s="45" t="str">
        <f>IFERROR(VLOOKUP(B36,'Portfolio List'!$B$4:$I$76,7,FALSE()),"")</f>
        <v>State 2</v>
      </c>
      <c r="F36" s="46">
        <f>IFERROR(VLOOKUP(B36,'Portfolio List'!$B$4:$I$76,4,FALSE()),"")</f>
        <v>103</v>
      </c>
      <c r="G36" s="50">
        <f>COUNTIF('Initiative Log'!$D:$D,B36)</f>
        <v>0</v>
      </c>
      <c r="H36" s="50">
        <f>COUNTIFS('Initiative Log'!$D:$D,B36,'Initiative Log'!$K:$K,"Completed")</f>
        <v>0</v>
      </c>
      <c r="I36" s="50">
        <f>SUMIFS('Initiative Log'!$P:$P,'Initiative Log'!$D:$D,B36,'Initiative Log'!$K:$K,"Completed")</f>
        <v>0</v>
      </c>
      <c r="J36" s="50">
        <f>SUMIFS('Initiative Log'!$Q:$Q,'Initiative Log'!$D:$D,B36,'Initiative Log'!$K:$K,"Completed")</f>
        <v>0</v>
      </c>
      <c r="K36" s="51">
        <f>SUMIFS('Initiative Log'!$V:$V,'Initiative Log'!$D:$D,B36,'Initiative Log'!$K:$K,"Completed")</f>
        <v>0</v>
      </c>
      <c r="L36" s="51">
        <f>SUMIFS('Initiative Log'!$O:$O,'Initiative Log'!$D:$D,B36)</f>
        <v>0</v>
      </c>
      <c r="M36" s="52">
        <f t="shared" si="0"/>
        <v>0</v>
      </c>
      <c r="N36" s="52" t="str">
        <f t="shared" si="1"/>
        <v/>
      </c>
      <c r="O36" s="50">
        <f>SUMIFS('Initiative Log'!$Y:$Y,'Initiative Log'!$D:$D,B36,'Initiative Log'!$K:$K,"Completed")</f>
        <v>0</v>
      </c>
      <c r="P36" s="50">
        <f>SUMIFS('Initiative Log'!$Z:$Z,'Initiative Log'!$D:$D,B36,'Initiative Log'!$K:$K,"Completed")</f>
        <v>0</v>
      </c>
    </row>
    <row r="37" spans="2:16" ht="15" customHeight="1" thickBot="1" x14ac:dyDescent="0.4">
      <c r="B37" s="49" t="s">
        <v>434</v>
      </c>
      <c r="C37" s="45" t="str">
        <f>IFERROR(VLOOKUP(B37,'Portfolio List'!$B$4:$I$76,5,FALSE()),"")</f>
        <v>Fund 4</v>
      </c>
      <c r="D37" s="45" t="str">
        <f>IFERROR(VLOOKUP(B37,'Portfolio List'!$B$4:$I$76,6,FALSE()),"")</f>
        <v>Region 3</v>
      </c>
      <c r="E37" s="45" t="str">
        <f>IFERROR(VLOOKUP(B37,'Portfolio List'!$B$4:$I$76,7,FALSE()),"")</f>
        <v>State 2</v>
      </c>
      <c r="F37" s="46">
        <f>IFERROR(VLOOKUP(B37,'Portfolio List'!$B$4:$I$76,4,FALSE()),"")</f>
        <v>424</v>
      </c>
      <c r="G37" s="50">
        <f>COUNTIF('Initiative Log'!$D:$D,B37)</f>
        <v>0</v>
      </c>
      <c r="H37" s="50">
        <f>COUNTIFS('Initiative Log'!$D:$D,B37,'Initiative Log'!$K:$K,"Completed")</f>
        <v>0</v>
      </c>
      <c r="I37" s="50">
        <f>SUMIFS('Initiative Log'!$P:$P,'Initiative Log'!$D:$D,B37,'Initiative Log'!$K:$K,"Completed")</f>
        <v>0</v>
      </c>
      <c r="J37" s="50">
        <f>SUMIFS('Initiative Log'!$Q:$Q,'Initiative Log'!$D:$D,B37,'Initiative Log'!$K:$K,"Completed")</f>
        <v>0</v>
      </c>
      <c r="K37" s="51">
        <f>SUMIFS('Initiative Log'!$V:$V,'Initiative Log'!$D:$D,B37,'Initiative Log'!$K:$K,"Completed")</f>
        <v>0</v>
      </c>
      <c r="L37" s="51">
        <f>SUMIFS('Initiative Log'!$O:$O,'Initiative Log'!$D:$D,B37)</f>
        <v>0</v>
      </c>
      <c r="M37" s="52">
        <f t="shared" ref="M37:M68" si="2">IFERROR(I37/F37,0)</f>
        <v>0</v>
      </c>
      <c r="N37" s="52" t="str">
        <f t="shared" ref="N37:N68" si="3">IFERROR(IF(OR(L37&lt;=0,K37&lt;=0),"",L37/K37),"-")</f>
        <v/>
      </c>
      <c r="O37" s="50">
        <f>SUMIFS('Initiative Log'!$Y:$Y,'Initiative Log'!$D:$D,B37,'Initiative Log'!$K:$K,"Completed")</f>
        <v>0</v>
      </c>
      <c r="P37" s="50">
        <f>SUMIFS('Initiative Log'!$Z:$Z,'Initiative Log'!$D:$D,B37,'Initiative Log'!$K:$K,"Completed")</f>
        <v>0</v>
      </c>
    </row>
    <row r="38" spans="2:16" ht="15" customHeight="1" thickBot="1" x14ac:dyDescent="0.4">
      <c r="B38" s="49" t="s">
        <v>435</v>
      </c>
      <c r="C38" s="45" t="str">
        <f>IFERROR(VLOOKUP(B38,'Portfolio List'!$B$4:$I$76,5,FALSE()),"")</f>
        <v>Fund 4</v>
      </c>
      <c r="D38" s="45" t="str">
        <f>IFERROR(VLOOKUP(B38,'Portfolio List'!$B$4:$I$76,6,FALSE()),"")</f>
        <v>Region 3</v>
      </c>
      <c r="E38" s="45" t="str">
        <f>IFERROR(VLOOKUP(B38,'Portfolio List'!$B$4:$I$76,7,FALSE()),"")</f>
        <v>State 2</v>
      </c>
      <c r="F38" s="46">
        <f>IFERROR(VLOOKUP(B38,'Portfolio List'!$B$4:$I$76,4,FALSE()),"")</f>
        <v>279</v>
      </c>
      <c r="G38" s="50">
        <f>COUNTIF('Initiative Log'!$D:$D,B38)</f>
        <v>0</v>
      </c>
      <c r="H38" s="50">
        <f>COUNTIFS('Initiative Log'!$D:$D,B38,'Initiative Log'!$K:$K,"Completed")</f>
        <v>0</v>
      </c>
      <c r="I38" s="50">
        <f>SUMIFS('Initiative Log'!$P:$P,'Initiative Log'!$D:$D,B38,'Initiative Log'!$K:$K,"Completed")</f>
        <v>0</v>
      </c>
      <c r="J38" s="50">
        <f>SUMIFS('Initiative Log'!$Q:$Q,'Initiative Log'!$D:$D,B38,'Initiative Log'!$K:$K,"Completed")</f>
        <v>0</v>
      </c>
      <c r="K38" s="51">
        <f>SUMIFS('Initiative Log'!$V:$V,'Initiative Log'!$D:$D,B38,'Initiative Log'!$K:$K,"Completed")</f>
        <v>0</v>
      </c>
      <c r="L38" s="51">
        <f>SUMIFS('Initiative Log'!$O:$O,'Initiative Log'!$D:$D,B38)</f>
        <v>0</v>
      </c>
      <c r="M38" s="52">
        <f t="shared" si="2"/>
        <v>0</v>
      </c>
      <c r="N38" s="52" t="str">
        <f t="shared" si="3"/>
        <v/>
      </c>
      <c r="O38" s="50">
        <f>SUMIFS('Initiative Log'!$Y:$Y,'Initiative Log'!$D:$D,B38,'Initiative Log'!$K:$K,"Completed")</f>
        <v>0</v>
      </c>
      <c r="P38" s="50">
        <f>SUMIFS('Initiative Log'!$Z:$Z,'Initiative Log'!$D:$D,B38,'Initiative Log'!$K:$K,"Completed")</f>
        <v>0</v>
      </c>
    </row>
    <row r="39" spans="2:16" ht="15" customHeight="1" thickBot="1" x14ac:dyDescent="0.4">
      <c r="B39" s="49" t="s">
        <v>436</v>
      </c>
      <c r="C39" s="45" t="str">
        <f>IFERROR(VLOOKUP(B39,'Portfolio List'!$B$4:$I$76,5,FALSE()),"")</f>
        <v>Fund 3</v>
      </c>
      <c r="D39" s="45" t="str">
        <f>IFERROR(VLOOKUP(B39,'Portfolio List'!$B$4:$I$76,6,FALSE()),"")</f>
        <v>Region 3</v>
      </c>
      <c r="E39" s="45" t="str">
        <f>IFERROR(VLOOKUP(B39,'Portfolio List'!$B$4:$I$76,7,FALSE()),"")</f>
        <v>State 5</v>
      </c>
      <c r="F39" s="46">
        <f>IFERROR(VLOOKUP(B39,'Portfolio List'!$B$4:$I$76,4,FALSE()),"")</f>
        <v>128</v>
      </c>
      <c r="G39" s="50">
        <f>COUNTIF('Initiative Log'!$D:$D,B39)</f>
        <v>0</v>
      </c>
      <c r="H39" s="50">
        <f>COUNTIFS('Initiative Log'!$D:$D,B39,'Initiative Log'!$K:$K,"Completed")</f>
        <v>0</v>
      </c>
      <c r="I39" s="50">
        <f>SUMIFS('Initiative Log'!$P:$P,'Initiative Log'!$D:$D,B39,'Initiative Log'!$K:$K,"Completed")</f>
        <v>0</v>
      </c>
      <c r="J39" s="50">
        <f>SUMIFS('Initiative Log'!$Q:$Q,'Initiative Log'!$D:$D,B39,'Initiative Log'!$K:$K,"Completed")</f>
        <v>0</v>
      </c>
      <c r="K39" s="51">
        <f>SUMIFS('Initiative Log'!$V:$V,'Initiative Log'!$D:$D,B39,'Initiative Log'!$K:$K,"Completed")</f>
        <v>0</v>
      </c>
      <c r="L39" s="51">
        <f>SUMIFS('Initiative Log'!$O:$O,'Initiative Log'!$D:$D,B39)</f>
        <v>0</v>
      </c>
      <c r="M39" s="52">
        <f t="shared" si="2"/>
        <v>0</v>
      </c>
      <c r="N39" s="52" t="str">
        <f t="shared" si="3"/>
        <v/>
      </c>
      <c r="O39" s="50">
        <f>SUMIFS('Initiative Log'!$Y:$Y,'Initiative Log'!$D:$D,B39,'Initiative Log'!$K:$K,"Completed")</f>
        <v>0</v>
      </c>
      <c r="P39" s="50">
        <f>SUMIFS('Initiative Log'!$Z:$Z,'Initiative Log'!$D:$D,B39,'Initiative Log'!$K:$K,"Completed")</f>
        <v>0</v>
      </c>
    </row>
    <row r="40" spans="2:16" ht="15" customHeight="1" thickBot="1" x14ac:dyDescent="0.4">
      <c r="B40" s="49" t="s">
        <v>437</v>
      </c>
      <c r="C40" s="45" t="str">
        <f>IFERROR(VLOOKUP(B40,'Portfolio List'!$B$4:$I$76,5,FALSE()),"")</f>
        <v>Fund 3</v>
      </c>
      <c r="D40" s="45" t="str">
        <f>IFERROR(VLOOKUP(B40,'Portfolio List'!$B$4:$I$76,6,FALSE()),"")</f>
        <v>Region 3</v>
      </c>
      <c r="E40" s="45" t="str">
        <f>IFERROR(VLOOKUP(B40,'Portfolio List'!$B$4:$I$76,7,FALSE()),"")</f>
        <v>State 5</v>
      </c>
      <c r="F40" s="46">
        <f>IFERROR(VLOOKUP(B40,'Portfolio List'!$B$4:$I$76,4,FALSE()),"")</f>
        <v>96</v>
      </c>
      <c r="G40" s="50">
        <f>COUNTIF('Initiative Log'!$D:$D,B40)</f>
        <v>0</v>
      </c>
      <c r="H40" s="50">
        <f>COUNTIFS('Initiative Log'!$D:$D,B40,'Initiative Log'!$K:$K,"Completed")</f>
        <v>0</v>
      </c>
      <c r="I40" s="50">
        <f>SUMIFS('Initiative Log'!$P:$P,'Initiative Log'!$D:$D,B40,'Initiative Log'!$K:$K,"Completed")</f>
        <v>0</v>
      </c>
      <c r="J40" s="50">
        <f>SUMIFS('Initiative Log'!$Q:$Q,'Initiative Log'!$D:$D,B40,'Initiative Log'!$K:$K,"Completed")</f>
        <v>0</v>
      </c>
      <c r="K40" s="51">
        <f>SUMIFS('Initiative Log'!$V:$V,'Initiative Log'!$D:$D,B40,'Initiative Log'!$K:$K,"Completed")</f>
        <v>0</v>
      </c>
      <c r="L40" s="51">
        <f>SUMIFS('Initiative Log'!$O:$O,'Initiative Log'!$D:$D,B40)</f>
        <v>0</v>
      </c>
      <c r="M40" s="52">
        <f t="shared" si="2"/>
        <v>0</v>
      </c>
      <c r="N40" s="52" t="str">
        <f t="shared" si="3"/>
        <v/>
      </c>
      <c r="O40" s="50">
        <f>SUMIFS('Initiative Log'!$Y:$Y,'Initiative Log'!$D:$D,B40,'Initiative Log'!$K:$K,"Completed")</f>
        <v>0</v>
      </c>
      <c r="P40" s="50">
        <f>SUMIFS('Initiative Log'!$Z:$Z,'Initiative Log'!$D:$D,B40,'Initiative Log'!$K:$K,"Completed")</f>
        <v>0</v>
      </c>
    </row>
    <row r="41" spans="2:16" ht="15" customHeight="1" thickBot="1" x14ac:dyDescent="0.4">
      <c r="B41" s="49" t="s">
        <v>438</v>
      </c>
      <c r="C41" s="45" t="str">
        <f>IFERROR(VLOOKUP(B41,'Portfolio List'!$B$4:$I$76,5,FALSE()),"")</f>
        <v>Fund 3</v>
      </c>
      <c r="D41" s="45" t="str">
        <f>IFERROR(VLOOKUP(B41,'Portfolio List'!$B$4:$I$76,6,FALSE()),"")</f>
        <v>Region 3</v>
      </c>
      <c r="E41" s="45" t="str">
        <f>IFERROR(VLOOKUP(B41,'Portfolio List'!$B$4:$I$76,7,FALSE()),"")</f>
        <v>State 5</v>
      </c>
      <c r="F41" s="46">
        <f>IFERROR(VLOOKUP(B41,'Portfolio List'!$B$4:$I$76,4,FALSE()),"")</f>
        <v>48</v>
      </c>
      <c r="G41" s="50">
        <f>COUNTIF('Initiative Log'!$D:$D,B41)</f>
        <v>0</v>
      </c>
      <c r="H41" s="50">
        <f>COUNTIFS('Initiative Log'!$D:$D,B41,'Initiative Log'!$K:$K,"Completed")</f>
        <v>0</v>
      </c>
      <c r="I41" s="50">
        <f>SUMIFS('Initiative Log'!$P:$P,'Initiative Log'!$D:$D,B41,'Initiative Log'!$K:$K,"Completed")</f>
        <v>0</v>
      </c>
      <c r="J41" s="50">
        <f>SUMIFS('Initiative Log'!$Q:$Q,'Initiative Log'!$D:$D,B41,'Initiative Log'!$K:$K,"Completed")</f>
        <v>0</v>
      </c>
      <c r="K41" s="51">
        <f>SUMIFS('Initiative Log'!$V:$V,'Initiative Log'!$D:$D,B41,'Initiative Log'!$K:$K,"Completed")</f>
        <v>0</v>
      </c>
      <c r="L41" s="51">
        <f>SUMIFS('Initiative Log'!$O:$O,'Initiative Log'!$D:$D,B41)</f>
        <v>0</v>
      </c>
      <c r="M41" s="52">
        <f t="shared" si="2"/>
        <v>0</v>
      </c>
      <c r="N41" s="52" t="str">
        <f t="shared" si="3"/>
        <v/>
      </c>
      <c r="O41" s="50">
        <f>SUMIFS('Initiative Log'!$Y:$Y,'Initiative Log'!$D:$D,B41,'Initiative Log'!$K:$K,"Completed")</f>
        <v>0</v>
      </c>
      <c r="P41" s="50">
        <f>SUMIFS('Initiative Log'!$Z:$Z,'Initiative Log'!$D:$D,B41,'Initiative Log'!$K:$K,"Completed")</f>
        <v>0</v>
      </c>
    </row>
    <row r="42" spans="2:16" ht="15" customHeight="1" thickBot="1" x14ac:dyDescent="0.4">
      <c r="B42" s="49" t="s">
        <v>439</v>
      </c>
      <c r="C42" s="45" t="str">
        <f>IFERROR(VLOOKUP(B42,'Portfolio List'!$B$4:$I$76,5,FALSE()),"")</f>
        <v>Fund 2</v>
      </c>
      <c r="D42" s="45" t="str">
        <f>IFERROR(VLOOKUP(B42,'Portfolio List'!$B$4:$I$76,6,FALSE()),"")</f>
        <v>Region 5</v>
      </c>
      <c r="E42" s="45" t="str">
        <f>IFERROR(VLOOKUP(B42,'Portfolio List'!$B$4:$I$76,7,FALSE()),"")</f>
        <v>State 6</v>
      </c>
      <c r="F42" s="46">
        <f>IFERROR(VLOOKUP(B42,'Portfolio List'!$B$4:$I$76,4,FALSE()),"")</f>
        <v>504</v>
      </c>
      <c r="G42" s="50">
        <f>COUNTIF('Initiative Log'!$D:$D,B42)</f>
        <v>0</v>
      </c>
      <c r="H42" s="50">
        <f>COUNTIFS('Initiative Log'!$D:$D,B42,'Initiative Log'!$K:$K,"Completed")</f>
        <v>0</v>
      </c>
      <c r="I42" s="50">
        <f>SUMIFS('Initiative Log'!$P:$P,'Initiative Log'!$D:$D,B42,'Initiative Log'!$K:$K,"Completed")</f>
        <v>0</v>
      </c>
      <c r="J42" s="50">
        <f>SUMIFS('Initiative Log'!$Q:$Q,'Initiative Log'!$D:$D,B42,'Initiative Log'!$K:$K,"Completed")</f>
        <v>0</v>
      </c>
      <c r="K42" s="51">
        <f>SUMIFS('Initiative Log'!$V:$V,'Initiative Log'!$D:$D,B42,'Initiative Log'!$K:$K,"Completed")</f>
        <v>0</v>
      </c>
      <c r="L42" s="51">
        <f>SUMIFS('Initiative Log'!$O:$O,'Initiative Log'!$D:$D,B42)</f>
        <v>0</v>
      </c>
      <c r="M42" s="52">
        <f t="shared" si="2"/>
        <v>0</v>
      </c>
      <c r="N42" s="52" t="str">
        <f t="shared" si="3"/>
        <v/>
      </c>
      <c r="O42" s="50">
        <f>SUMIFS('Initiative Log'!$Y:$Y,'Initiative Log'!$D:$D,B42,'Initiative Log'!$K:$K,"Completed")</f>
        <v>0</v>
      </c>
      <c r="P42" s="50">
        <f>SUMIFS('Initiative Log'!$Z:$Z,'Initiative Log'!$D:$D,B42,'Initiative Log'!$K:$K,"Completed")</f>
        <v>0</v>
      </c>
    </row>
    <row r="43" spans="2:16" ht="15" customHeight="1" thickBot="1" x14ac:dyDescent="0.4">
      <c r="B43" s="49" t="s">
        <v>440</v>
      </c>
      <c r="C43" s="45" t="str">
        <f>IFERROR(VLOOKUP(B43,'Portfolio List'!$B$4:$I$76,5,FALSE()),"")</f>
        <v>Fund 2</v>
      </c>
      <c r="D43" s="45" t="str">
        <f>IFERROR(VLOOKUP(B43,'Portfolio List'!$B$4:$I$76,6,FALSE()),"")</f>
        <v>Region 5</v>
      </c>
      <c r="E43" s="45" t="str">
        <f>IFERROR(VLOOKUP(B43,'Portfolio List'!$B$4:$I$76,7,FALSE()),"")</f>
        <v>State 6</v>
      </c>
      <c r="F43" s="46">
        <f>IFERROR(VLOOKUP(B43,'Portfolio List'!$B$4:$I$76,4,FALSE()),"")</f>
        <v>296</v>
      </c>
      <c r="G43" s="50">
        <f>COUNTIF('Initiative Log'!$D:$D,B43)</f>
        <v>0</v>
      </c>
      <c r="H43" s="50">
        <f>COUNTIFS('Initiative Log'!$D:$D,B43,'Initiative Log'!$K:$K,"Completed")</f>
        <v>0</v>
      </c>
      <c r="I43" s="50">
        <f>SUMIFS('Initiative Log'!$P:$P,'Initiative Log'!$D:$D,B43,'Initiative Log'!$K:$K,"Completed")</f>
        <v>0</v>
      </c>
      <c r="J43" s="50">
        <f>SUMIFS('Initiative Log'!$Q:$Q,'Initiative Log'!$D:$D,B43,'Initiative Log'!$K:$K,"Completed")</f>
        <v>0</v>
      </c>
      <c r="K43" s="51">
        <f>SUMIFS('Initiative Log'!$V:$V,'Initiative Log'!$D:$D,B43,'Initiative Log'!$K:$K,"Completed")</f>
        <v>0</v>
      </c>
      <c r="L43" s="51">
        <f>SUMIFS('Initiative Log'!$O:$O,'Initiative Log'!$D:$D,B43)</f>
        <v>0</v>
      </c>
      <c r="M43" s="52">
        <f t="shared" si="2"/>
        <v>0</v>
      </c>
      <c r="N43" s="52" t="str">
        <f t="shared" si="3"/>
        <v/>
      </c>
      <c r="O43" s="50">
        <f>SUMIFS('Initiative Log'!$Y:$Y,'Initiative Log'!$D:$D,B43,'Initiative Log'!$K:$K,"Completed")</f>
        <v>0</v>
      </c>
      <c r="P43" s="50">
        <f>SUMIFS('Initiative Log'!$Z:$Z,'Initiative Log'!$D:$D,B43,'Initiative Log'!$K:$K,"Completed")</f>
        <v>0</v>
      </c>
    </row>
    <row r="44" spans="2:16" ht="15" customHeight="1" thickBot="1" x14ac:dyDescent="0.4">
      <c r="B44" s="49" t="s">
        <v>441</v>
      </c>
      <c r="C44" s="45" t="str">
        <f>IFERROR(VLOOKUP(B44,'Portfolio List'!$B$4:$I$76,5,FALSE()),"")</f>
        <v>Fund 3</v>
      </c>
      <c r="D44" s="45" t="str">
        <f>IFERROR(VLOOKUP(B44,'Portfolio List'!$B$4:$I$76,6,FALSE()),"")</f>
        <v>Region 5</v>
      </c>
      <c r="E44" s="45" t="str">
        <f>IFERROR(VLOOKUP(B44,'Portfolio List'!$B$4:$I$76,7,FALSE()),"")</f>
        <v>State 6</v>
      </c>
      <c r="F44" s="46">
        <f>IFERROR(VLOOKUP(B44,'Portfolio List'!$B$4:$I$76,4,FALSE()),"")</f>
        <v>134</v>
      </c>
      <c r="G44" s="50">
        <f>COUNTIF('Initiative Log'!$D:$D,B44)</f>
        <v>0</v>
      </c>
      <c r="H44" s="50">
        <f>COUNTIFS('Initiative Log'!$D:$D,B44,'Initiative Log'!$K:$K,"Completed")</f>
        <v>0</v>
      </c>
      <c r="I44" s="50">
        <f>SUMIFS('Initiative Log'!$P:$P,'Initiative Log'!$D:$D,B44,'Initiative Log'!$K:$K,"Completed")</f>
        <v>0</v>
      </c>
      <c r="J44" s="50">
        <f>SUMIFS('Initiative Log'!$Q:$Q,'Initiative Log'!$D:$D,B44,'Initiative Log'!$K:$K,"Completed")</f>
        <v>0</v>
      </c>
      <c r="K44" s="51">
        <f>SUMIFS('Initiative Log'!$V:$V,'Initiative Log'!$D:$D,B44,'Initiative Log'!$K:$K,"Completed")</f>
        <v>0</v>
      </c>
      <c r="L44" s="51">
        <f>SUMIFS('Initiative Log'!$O:$O,'Initiative Log'!$D:$D,B44)</f>
        <v>0</v>
      </c>
      <c r="M44" s="52">
        <f t="shared" si="2"/>
        <v>0</v>
      </c>
      <c r="N44" s="52" t="str">
        <f t="shared" si="3"/>
        <v/>
      </c>
      <c r="O44" s="50">
        <f>SUMIFS('Initiative Log'!$Y:$Y,'Initiative Log'!$D:$D,B44,'Initiative Log'!$K:$K,"Completed")</f>
        <v>0</v>
      </c>
      <c r="P44" s="50">
        <f>SUMIFS('Initiative Log'!$Z:$Z,'Initiative Log'!$D:$D,B44,'Initiative Log'!$K:$K,"Completed")</f>
        <v>0</v>
      </c>
    </row>
    <row r="45" spans="2:16" ht="15" customHeight="1" thickBot="1" x14ac:dyDescent="0.4">
      <c r="B45" s="49" t="s">
        <v>442</v>
      </c>
      <c r="C45" s="45" t="str">
        <f>IFERROR(VLOOKUP(B45,'Portfolio List'!$B$4:$I$76,5,FALSE()),"")</f>
        <v>Fund 3</v>
      </c>
      <c r="D45" s="45" t="str">
        <f>IFERROR(VLOOKUP(B45,'Portfolio List'!$B$4:$I$76,6,FALSE()),"")</f>
        <v>Region 5</v>
      </c>
      <c r="E45" s="45" t="str">
        <f>IFERROR(VLOOKUP(B45,'Portfolio List'!$B$4:$I$76,7,FALSE()),"")</f>
        <v>State 6</v>
      </c>
      <c r="F45" s="46">
        <f>IFERROR(VLOOKUP(B45,'Portfolio List'!$B$4:$I$76,4,FALSE()),"")</f>
        <v>88</v>
      </c>
      <c r="G45" s="50">
        <f>COUNTIF('Initiative Log'!$D:$D,B45)</f>
        <v>0</v>
      </c>
      <c r="H45" s="50">
        <f>COUNTIFS('Initiative Log'!$D:$D,B45,'Initiative Log'!$K:$K,"Completed")</f>
        <v>0</v>
      </c>
      <c r="I45" s="50">
        <f>SUMIFS('Initiative Log'!$P:$P,'Initiative Log'!$D:$D,B45,'Initiative Log'!$K:$K,"Completed")</f>
        <v>0</v>
      </c>
      <c r="J45" s="50">
        <f>SUMIFS('Initiative Log'!$Q:$Q,'Initiative Log'!$D:$D,B45,'Initiative Log'!$K:$K,"Completed")</f>
        <v>0</v>
      </c>
      <c r="K45" s="51">
        <f>SUMIFS('Initiative Log'!$V:$V,'Initiative Log'!$D:$D,B45,'Initiative Log'!$K:$K,"Completed")</f>
        <v>0</v>
      </c>
      <c r="L45" s="51">
        <f>SUMIFS('Initiative Log'!$O:$O,'Initiative Log'!$D:$D,B45)</f>
        <v>0</v>
      </c>
      <c r="M45" s="52">
        <f t="shared" si="2"/>
        <v>0</v>
      </c>
      <c r="N45" s="52" t="str">
        <f t="shared" si="3"/>
        <v/>
      </c>
      <c r="O45" s="50">
        <f>SUMIFS('Initiative Log'!$Y:$Y,'Initiative Log'!$D:$D,B45,'Initiative Log'!$K:$K,"Completed")</f>
        <v>0</v>
      </c>
      <c r="P45" s="50">
        <f>SUMIFS('Initiative Log'!$Z:$Z,'Initiative Log'!$D:$D,B45,'Initiative Log'!$K:$K,"Completed")</f>
        <v>0</v>
      </c>
    </row>
    <row r="46" spans="2:16" ht="15" customHeight="1" thickBot="1" x14ac:dyDescent="0.4">
      <c r="B46" s="49" t="s">
        <v>443</v>
      </c>
      <c r="C46" s="45" t="str">
        <f>IFERROR(VLOOKUP(B46,'Portfolio List'!$B$4:$I$76,5,FALSE()),"")</f>
        <v>Fund 5</v>
      </c>
      <c r="D46" s="45" t="str">
        <f>IFERROR(VLOOKUP(B46,'Portfolio List'!$B$4:$I$76,6,FALSE()),"")</f>
        <v>Region 6</v>
      </c>
      <c r="E46" s="45" t="str">
        <f>IFERROR(VLOOKUP(B46,'Portfolio List'!$B$4:$I$76,7,FALSE()),"")</f>
        <v>State 7</v>
      </c>
      <c r="F46" s="46">
        <f>IFERROR(VLOOKUP(B46,'Portfolio List'!$B$4:$I$76,4,FALSE()),"")</f>
        <v>228</v>
      </c>
      <c r="G46" s="50">
        <f>COUNTIF('Initiative Log'!$D:$D,B46)</f>
        <v>0</v>
      </c>
      <c r="H46" s="50">
        <f>COUNTIFS('Initiative Log'!$D:$D,B46,'Initiative Log'!$K:$K,"Completed")</f>
        <v>0</v>
      </c>
      <c r="I46" s="50">
        <f>SUMIFS('Initiative Log'!$P:$P,'Initiative Log'!$D:$D,B46,'Initiative Log'!$K:$K,"Completed")</f>
        <v>0</v>
      </c>
      <c r="J46" s="50">
        <f>SUMIFS('Initiative Log'!$Q:$Q,'Initiative Log'!$D:$D,B46,'Initiative Log'!$K:$K,"Completed")</f>
        <v>0</v>
      </c>
      <c r="K46" s="51">
        <f>SUMIFS('Initiative Log'!$V:$V,'Initiative Log'!$D:$D,B46,'Initiative Log'!$K:$K,"Completed")</f>
        <v>0</v>
      </c>
      <c r="L46" s="51">
        <f>SUMIFS('Initiative Log'!$O:$O,'Initiative Log'!$D:$D,B46)</f>
        <v>0</v>
      </c>
      <c r="M46" s="52">
        <f t="shared" si="2"/>
        <v>0</v>
      </c>
      <c r="N46" s="52" t="str">
        <f t="shared" si="3"/>
        <v/>
      </c>
      <c r="O46" s="50">
        <f>SUMIFS('Initiative Log'!$Y:$Y,'Initiative Log'!$D:$D,B46,'Initiative Log'!$K:$K,"Completed")</f>
        <v>0</v>
      </c>
      <c r="P46" s="50">
        <f>SUMIFS('Initiative Log'!$Z:$Z,'Initiative Log'!$D:$D,B46,'Initiative Log'!$K:$K,"Completed")</f>
        <v>0</v>
      </c>
    </row>
    <row r="47" spans="2:16" ht="15" customHeight="1" thickBot="1" x14ac:dyDescent="0.4">
      <c r="B47" s="49" t="s">
        <v>444</v>
      </c>
      <c r="C47" s="45" t="str">
        <f>IFERROR(VLOOKUP(B47,'Portfolio List'!$B$4:$I$76,5,FALSE()),"")</f>
        <v>Fund 5</v>
      </c>
      <c r="D47" s="45" t="str">
        <f>IFERROR(VLOOKUP(B47,'Portfolio List'!$B$4:$I$76,6,FALSE()),"")</f>
        <v>Region 6</v>
      </c>
      <c r="E47" s="45" t="str">
        <f>IFERROR(VLOOKUP(B47,'Portfolio List'!$B$4:$I$76,7,FALSE()),"")</f>
        <v>State 7</v>
      </c>
      <c r="F47" s="46">
        <f>IFERROR(VLOOKUP(B47,'Portfolio List'!$B$4:$I$76,4,FALSE()),"")</f>
        <v>129</v>
      </c>
      <c r="G47" s="50">
        <f>COUNTIF('Initiative Log'!$D:$D,B47)</f>
        <v>0</v>
      </c>
      <c r="H47" s="50">
        <f>COUNTIFS('Initiative Log'!$D:$D,B47,'Initiative Log'!$K:$K,"Completed")</f>
        <v>0</v>
      </c>
      <c r="I47" s="50">
        <f>SUMIFS('Initiative Log'!$P:$P,'Initiative Log'!$D:$D,B47,'Initiative Log'!$K:$K,"Completed")</f>
        <v>0</v>
      </c>
      <c r="J47" s="50">
        <f>SUMIFS('Initiative Log'!$Q:$Q,'Initiative Log'!$D:$D,B47,'Initiative Log'!$K:$K,"Completed")</f>
        <v>0</v>
      </c>
      <c r="K47" s="51">
        <f>SUMIFS('Initiative Log'!$V:$V,'Initiative Log'!$D:$D,B47,'Initiative Log'!$K:$K,"Completed")</f>
        <v>0</v>
      </c>
      <c r="L47" s="51">
        <f>SUMIFS('Initiative Log'!$O:$O,'Initiative Log'!$D:$D,B47)</f>
        <v>0</v>
      </c>
      <c r="M47" s="52">
        <f t="shared" si="2"/>
        <v>0</v>
      </c>
      <c r="N47" s="52" t="str">
        <f t="shared" si="3"/>
        <v/>
      </c>
      <c r="O47" s="50">
        <f>SUMIFS('Initiative Log'!$Y:$Y,'Initiative Log'!$D:$D,B47,'Initiative Log'!$K:$K,"Completed")</f>
        <v>0</v>
      </c>
      <c r="P47" s="50">
        <f>SUMIFS('Initiative Log'!$Z:$Z,'Initiative Log'!$D:$D,B47,'Initiative Log'!$K:$K,"Completed")</f>
        <v>0</v>
      </c>
    </row>
    <row r="48" spans="2:16" ht="15" customHeight="1" thickBot="1" x14ac:dyDescent="0.4">
      <c r="B48" s="49" t="s">
        <v>445</v>
      </c>
      <c r="C48" s="45" t="str">
        <f>IFERROR(VLOOKUP(B48,'Portfolio List'!$B$4:$I$76,5,FALSE()),"")</f>
        <v>Fund 2</v>
      </c>
      <c r="D48" s="45" t="str">
        <f>IFERROR(VLOOKUP(B48,'Portfolio List'!$B$4:$I$76,6,FALSE()),"")</f>
        <v>Region 2</v>
      </c>
      <c r="E48" s="45" t="str">
        <f>IFERROR(VLOOKUP(B48,'Portfolio List'!$B$4:$I$76,7,FALSE()),"")</f>
        <v>State 1</v>
      </c>
      <c r="F48" s="46">
        <f>IFERROR(VLOOKUP(B48,'Portfolio List'!$B$4:$I$76,4,FALSE()),"")</f>
        <v>288</v>
      </c>
      <c r="G48" s="50">
        <f>COUNTIF('Initiative Log'!$D:$D,B48)</f>
        <v>0</v>
      </c>
      <c r="H48" s="50">
        <f>COUNTIFS('Initiative Log'!$D:$D,B48,'Initiative Log'!$K:$K,"Completed")</f>
        <v>0</v>
      </c>
      <c r="I48" s="50">
        <f>SUMIFS('Initiative Log'!$P:$P,'Initiative Log'!$D:$D,B48,'Initiative Log'!$K:$K,"Completed")</f>
        <v>0</v>
      </c>
      <c r="J48" s="50">
        <f>SUMIFS('Initiative Log'!$Q:$Q,'Initiative Log'!$D:$D,B48,'Initiative Log'!$K:$K,"Completed")</f>
        <v>0</v>
      </c>
      <c r="K48" s="51">
        <f>SUMIFS('Initiative Log'!$V:$V,'Initiative Log'!$D:$D,B48,'Initiative Log'!$K:$K,"Completed")</f>
        <v>0</v>
      </c>
      <c r="L48" s="51">
        <f>SUMIFS('Initiative Log'!$O:$O,'Initiative Log'!$D:$D,B48)</f>
        <v>0</v>
      </c>
      <c r="M48" s="52">
        <f t="shared" si="2"/>
        <v>0</v>
      </c>
      <c r="N48" s="52" t="str">
        <f t="shared" si="3"/>
        <v/>
      </c>
      <c r="O48" s="50">
        <f>SUMIFS('Initiative Log'!$Y:$Y,'Initiative Log'!$D:$D,B48,'Initiative Log'!$K:$K,"Completed")</f>
        <v>0</v>
      </c>
      <c r="P48" s="50">
        <f>SUMIFS('Initiative Log'!$Z:$Z,'Initiative Log'!$D:$D,B48,'Initiative Log'!$K:$K,"Completed")</f>
        <v>0</v>
      </c>
    </row>
    <row r="49" spans="2:16" ht="15" customHeight="1" thickBot="1" x14ac:dyDescent="0.4">
      <c r="B49" s="49" t="s">
        <v>446</v>
      </c>
      <c r="C49" s="45" t="str">
        <f>IFERROR(VLOOKUP(B49,'Portfolio List'!$B$4:$I$76,5,FALSE()),"")</f>
        <v>Fund 3</v>
      </c>
      <c r="D49" s="45" t="str">
        <f>IFERROR(VLOOKUP(B49,'Portfolio List'!$B$4:$I$76,6,FALSE()),"")</f>
        <v>Region 2</v>
      </c>
      <c r="E49" s="45" t="str">
        <f>IFERROR(VLOOKUP(B49,'Portfolio List'!$B$4:$I$76,7,FALSE()),"")</f>
        <v>State 1</v>
      </c>
      <c r="F49" s="46">
        <f>IFERROR(VLOOKUP(B49,'Portfolio List'!$B$4:$I$76,4,FALSE()),"")</f>
        <v>360</v>
      </c>
      <c r="G49" s="50">
        <f>COUNTIF('Initiative Log'!$D:$D,B49)</f>
        <v>0</v>
      </c>
      <c r="H49" s="50">
        <f>COUNTIFS('Initiative Log'!$D:$D,B49,'Initiative Log'!$K:$K,"Completed")</f>
        <v>0</v>
      </c>
      <c r="I49" s="50">
        <f>SUMIFS('Initiative Log'!$P:$P,'Initiative Log'!$D:$D,B49,'Initiative Log'!$K:$K,"Completed")</f>
        <v>0</v>
      </c>
      <c r="J49" s="50">
        <f>SUMIFS('Initiative Log'!$Q:$Q,'Initiative Log'!$D:$D,B49,'Initiative Log'!$K:$K,"Completed")</f>
        <v>0</v>
      </c>
      <c r="K49" s="51">
        <f>SUMIFS('Initiative Log'!$V:$V,'Initiative Log'!$D:$D,B49,'Initiative Log'!$K:$K,"Completed")</f>
        <v>0</v>
      </c>
      <c r="L49" s="51">
        <f>SUMIFS('Initiative Log'!$O:$O,'Initiative Log'!$D:$D,B49)</f>
        <v>0</v>
      </c>
      <c r="M49" s="52">
        <f t="shared" si="2"/>
        <v>0</v>
      </c>
      <c r="N49" s="52" t="str">
        <f t="shared" si="3"/>
        <v/>
      </c>
      <c r="O49" s="50">
        <f>SUMIFS('Initiative Log'!$Y:$Y,'Initiative Log'!$D:$D,B49,'Initiative Log'!$K:$K,"Completed")</f>
        <v>0</v>
      </c>
      <c r="P49" s="50">
        <f>SUMIFS('Initiative Log'!$Z:$Z,'Initiative Log'!$D:$D,B49,'Initiative Log'!$K:$K,"Completed")</f>
        <v>0</v>
      </c>
    </row>
    <row r="50" spans="2:16" ht="15" customHeight="1" thickBot="1" x14ac:dyDescent="0.4">
      <c r="B50" s="49" t="s">
        <v>447</v>
      </c>
      <c r="C50" s="45" t="str">
        <f>IFERROR(VLOOKUP(B50,'Portfolio List'!$B$4:$I$76,5,FALSE()),"")</f>
        <v>Fund 3</v>
      </c>
      <c r="D50" s="45" t="str">
        <f>IFERROR(VLOOKUP(B50,'Portfolio List'!$B$4:$I$76,6,FALSE()),"")</f>
        <v>Region 2</v>
      </c>
      <c r="E50" s="45" t="str">
        <f>IFERROR(VLOOKUP(B50,'Portfolio List'!$B$4:$I$76,7,FALSE()),"")</f>
        <v>State 1</v>
      </c>
      <c r="F50" s="46">
        <f>IFERROR(VLOOKUP(B50,'Portfolio List'!$B$4:$I$76,4,FALSE()),"")</f>
        <v>220</v>
      </c>
      <c r="G50" s="50">
        <f>COUNTIF('Initiative Log'!$D:$D,B50)</f>
        <v>0</v>
      </c>
      <c r="H50" s="50">
        <f>COUNTIFS('Initiative Log'!$D:$D,B50,'Initiative Log'!$K:$K,"Completed")</f>
        <v>0</v>
      </c>
      <c r="I50" s="50">
        <f>SUMIFS('Initiative Log'!$P:$P,'Initiative Log'!$D:$D,B50,'Initiative Log'!$K:$K,"Completed")</f>
        <v>0</v>
      </c>
      <c r="J50" s="50">
        <f>SUMIFS('Initiative Log'!$Q:$Q,'Initiative Log'!$D:$D,B50,'Initiative Log'!$K:$K,"Completed")</f>
        <v>0</v>
      </c>
      <c r="K50" s="51">
        <f>SUMIFS('Initiative Log'!$V:$V,'Initiative Log'!$D:$D,B50,'Initiative Log'!$K:$K,"Completed")</f>
        <v>0</v>
      </c>
      <c r="L50" s="51">
        <f>SUMIFS('Initiative Log'!$O:$O,'Initiative Log'!$D:$D,B50)</f>
        <v>0</v>
      </c>
      <c r="M50" s="52">
        <f t="shared" si="2"/>
        <v>0</v>
      </c>
      <c r="N50" s="52" t="str">
        <f t="shared" si="3"/>
        <v/>
      </c>
      <c r="O50" s="50">
        <f>SUMIFS('Initiative Log'!$Y:$Y,'Initiative Log'!$D:$D,B50,'Initiative Log'!$K:$K,"Completed")</f>
        <v>0</v>
      </c>
      <c r="P50" s="50">
        <f>SUMIFS('Initiative Log'!$Z:$Z,'Initiative Log'!$D:$D,B50,'Initiative Log'!$K:$K,"Completed")</f>
        <v>0</v>
      </c>
    </row>
    <row r="51" spans="2:16" ht="15" customHeight="1" thickBot="1" x14ac:dyDescent="0.4">
      <c r="B51" s="49" t="s">
        <v>448</v>
      </c>
      <c r="C51" s="45" t="str">
        <f>IFERROR(VLOOKUP(B51,'Portfolio List'!$B$4:$I$76,5,FALSE()),"")</f>
        <v>Fund 3</v>
      </c>
      <c r="D51" s="45" t="str">
        <f>IFERROR(VLOOKUP(B51,'Portfolio List'!$B$4:$I$76,6,FALSE()),"")</f>
        <v>Region 2</v>
      </c>
      <c r="E51" s="45" t="str">
        <f>IFERROR(VLOOKUP(B51,'Portfolio List'!$B$4:$I$76,7,FALSE()),"")</f>
        <v>State 1</v>
      </c>
      <c r="F51" s="46">
        <f>IFERROR(VLOOKUP(B51,'Portfolio List'!$B$4:$I$76,4,FALSE()),"")</f>
        <v>187</v>
      </c>
      <c r="G51" s="50">
        <f>COUNTIF('Initiative Log'!$D:$D,B51)</f>
        <v>0</v>
      </c>
      <c r="H51" s="50">
        <f>COUNTIFS('Initiative Log'!$D:$D,B51,'Initiative Log'!$K:$K,"Completed")</f>
        <v>0</v>
      </c>
      <c r="I51" s="50">
        <f>SUMIFS('Initiative Log'!$P:$P,'Initiative Log'!$D:$D,B51,'Initiative Log'!$K:$K,"Completed")</f>
        <v>0</v>
      </c>
      <c r="J51" s="50">
        <f>SUMIFS('Initiative Log'!$Q:$Q,'Initiative Log'!$D:$D,B51,'Initiative Log'!$K:$K,"Completed")</f>
        <v>0</v>
      </c>
      <c r="K51" s="51">
        <f>SUMIFS('Initiative Log'!$V:$V,'Initiative Log'!$D:$D,B51,'Initiative Log'!$K:$K,"Completed")</f>
        <v>0</v>
      </c>
      <c r="L51" s="51">
        <f>SUMIFS('Initiative Log'!$O:$O,'Initiative Log'!$D:$D,B51)</f>
        <v>0</v>
      </c>
      <c r="M51" s="52">
        <f t="shared" si="2"/>
        <v>0</v>
      </c>
      <c r="N51" s="52" t="str">
        <f t="shared" si="3"/>
        <v/>
      </c>
      <c r="O51" s="50">
        <f>SUMIFS('Initiative Log'!$Y:$Y,'Initiative Log'!$D:$D,B51,'Initiative Log'!$K:$K,"Completed")</f>
        <v>0</v>
      </c>
      <c r="P51" s="50">
        <f>SUMIFS('Initiative Log'!$Z:$Z,'Initiative Log'!$D:$D,B51,'Initiative Log'!$K:$K,"Completed")</f>
        <v>0</v>
      </c>
    </row>
    <row r="52" spans="2:16" ht="15" customHeight="1" thickBot="1" x14ac:dyDescent="0.4">
      <c r="B52" s="49" t="s">
        <v>449</v>
      </c>
      <c r="C52" s="45" t="str">
        <f>IFERROR(VLOOKUP(B52,'Portfolio List'!$B$4:$I$76,5,FALSE()),"")</f>
        <v>Fund 4</v>
      </c>
      <c r="D52" s="45" t="str">
        <f>IFERROR(VLOOKUP(B52,'Portfolio List'!$B$4:$I$76,6,FALSE()),"")</f>
        <v>Region 2</v>
      </c>
      <c r="E52" s="45" t="str">
        <f>IFERROR(VLOOKUP(B52,'Portfolio List'!$B$4:$I$76,7,FALSE()),"")</f>
        <v>State 1</v>
      </c>
      <c r="F52" s="46">
        <f>IFERROR(VLOOKUP(B52,'Portfolio List'!$B$4:$I$76,4,FALSE()),"")</f>
        <v>400</v>
      </c>
      <c r="G52" s="50">
        <f>COUNTIF('Initiative Log'!$D:$D,B52)</f>
        <v>0</v>
      </c>
      <c r="H52" s="50">
        <f>COUNTIFS('Initiative Log'!$D:$D,B52,'Initiative Log'!$K:$K,"Completed")</f>
        <v>0</v>
      </c>
      <c r="I52" s="50">
        <f>SUMIFS('Initiative Log'!$P:$P,'Initiative Log'!$D:$D,B52,'Initiative Log'!$K:$K,"Completed")</f>
        <v>0</v>
      </c>
      <c r="J52" s="50">
        <f>SUMIFS('Initiative Log'!$Q:$Q,'Initiative Log'!$D:$D,B52,'Initiative Log'!$K:$K,"Completed")</f>
        <v>0</v>
      </c>
      <c r="K52" s="51">
        <f>SUMIFS('Initiative Log'!$V:$V,'Initiative Log'!$D:$D,B52,'Initiative Log'!$K:$K,"Completed")</f>
        <v>0</v>
      </c>
      <c r="L52" s="51">
        <f>SUMIFS('Initiative Log'!$O:$O,'Initiative Log'!$D:$D,B52)</f>
        <v>0</v>
      </c>
      <c r="M52" s="52">
        <f t="shared" si="2"/>
        <v>0</v>
      </c>
      <c r="N52" s="52" t="str">
        <f t="shared" si="3"/>
        <v/>
      </c>
      <c r="O52" s="50">
        <f>SUMIFS('Initiative Log'!$Y:$Y,'Initiative Log'!$D:$D,B52,'Initiative Log'!$K:$K,"Completed")</f>
        <v>0</v>
      </c>
      <c r="P52" s="50">
        <f>SUMIFS('Initiative Log'!$Z:$Z,'Initiative Log'!$D:$D,B52,'Initiative Log'!$K:$K,"Completed")</f>
        <v>0</v>
      </c>
    </row>
    <row r="53" spans="2:16" ht="15" customHeight="1" thickBot="1" x14ac:dyDescent="0.4">
      <c r="B53" s="49" t="s">
        <v>450</v>
      </c>
      <c r="C53" s="45" t="str">
        <f>IFERROR(VLOOKUP(B53,'Portfolio List'!$B$4:$I$76,5,FALSE()),"")</f>
        <v>Fund 3</v>
      </c>
      <c r="D53" s="45" t="str">
        <f>IFERROR(VLOOKUP(B53,'Portfolio List'!$B$4:$I$76,6,FALSE()),"")</f>
        <v>Region 7</v>
      </c>
      <c r="E53" s="45" t="str">
        <f>IFERROR(VLOOKUP(B53,'Portfolio List'!$B$4:$I$76,7,FALSE()),"")</f>
        <v>State 8</v>
      </c>
      <c r="F53" s="46">
        <f>IFERROR(VLOOKUP(B53,'Portfolio List'!$B$4:$I$76,4,FALSE()),"")</f>
        <v>159</v>
      </c>
      <c r="G53" s="50">
        <f>COUNTIF('Initiative Log'!$D:$D,B53)</f>
        <v>0</v>
      </c>
      <c r="H53" s="50">
        <f>COUNTIFS('Initiative Log'!$D:$D,B53,'Initiative Log'!$K:$K,"Completed")</f>
        <v>0</v>
      </c>
      <c r="I53" s="50">
        <f>SUMIFS('Initiative Log'!$P:$P,'Initiative Log'!$D:$D,B53,'Initiative Log'!$K:$K,"Completed")</f>
        <v>0</v>
      </c>
      <c r="J53" s="50">
        <f>SUMIFS('Initiative Log'!$Q:$Q,'Initiative Log'!$D:$D,B53,'Initiative Log'!$K:$K,"Completed")</f>
        <v>0</v>
      </c>
      <c r="K53" s="51">
        <f>SUMIFS('Initiative Log'!$V:$V,'Initiative Log'!$D:$D,B53,'Initiative Log'!$K:$K,"Completed")</f>
        <v>0</v>
      </c>
      <c r="L53" s="51">
        <f>SUMIFS('Initiative Log'!$O:$O,'Initiative Log'!$D:$D,B53)</f>
        <v>0</v>
      </c>
      <c r="M53" s="52">
        <f t="shared" si="2"/>
        <v>0</v>
      </c>
      <c r="N53" s="52" t="str">
        <f t="shared" si="3"/>
        <v/>
      </c>
      <c r="O53" s="50">
        <f>SUMIFS('Initiative Log'!$Y:$Y,'Initiative Log'!$D:$D,B53,'Initiative Log'!$K:$K,"Completed")</f>
        <v>0</v>
      </c>
      <c r="P53" s="50">
        <f>SUMIFS('Initiative Log'!$Z:$Z,'Initiative Log'!$D:$D,B53,'Initiative Log'!$K:$K,"Completed")</f>
        <v>0</v>
      </c>
    </row>
    <row r="54" spans="2:16" ht="15" customHeight="1" thickBot="1" x14ac:dyDescent="0.4">
      <c r="B54" s="49" t="s">
        <v>451</v>
      </c>
      <c r="C54" s="45" t="str">
        <f>IFERROR(VLOOKUP(B54,'Portfolio List'!$B$4:$I$76,5,FALSE()),"")</f>
        <v>Fund 4</v>
      </c>
      <c r="D54" s="45" t="str">
        <f>IFERROR(VLOOKUP(B54,'Portfolio List'!$B$4:$I$76,6,FALSE()),"")</f>
        <v>Region 6</v>
      </c>
      <c r="E54" s="45" t="str">
        <f>IFERROR(VLOOKUP(B54,'Portfolio List'!$B$4:$I$76,7,FALSE()),"")</f>
        <v>State 7</v>
      </c>
      <c r="F54" s="46">
        <f>IFERROR(VLOOKUP(B54,'Portfolio List'!$B$4:$I$76,4,FALSE()),"")</f>
        <v>363</v>
      </c>
      <c r="G54" s="50">
        <f>COUNTIF('Initiative Log'!$D:$D,B54)</f>
        <v>0</v>
      </c>
      <c r="H54" s="50">
        <f>COUNTIFS('Initiative Log'!$D:$D,B54,'Initiative Log'!$K:$K,"Completed")</f>
        <v>0</v>
      </c>
      <c r="I54" s="50">
        <f>SUMIFS('Initiative Log'!$P:$P,'Initiative Log'!$D:$D,B54,'Initiative Log'!$K:$K,"Completed")</f>
        <v>0</v>
      </c>
      <c r="J54" s="50">
        <f>SUMIFS('Initiative Log'!$Q:$Q,'Initiative Log'!$D:$D,B54,'Initiative Log'!$K:$K,"Completed")</f>
        <v>0</v>
      </c>
      <c r="K54" s="51">
        <f>SUMIFS('Initiative Log'!$V:$V,'Initiative Log'!$D:$D,B54,'Initiative Log'!$K:$K,"Completed")</f>
        <v>0</v>
      </c>
      <c r="L54" s="51">
        <f>SUMIFS('Initiative Log'!$O:$O,'Initiative Log'!$D:$D,B54)</f>
        <v>0</v>
      </c>
      <c r="M54" s="52">
        <f t="shared" si="2"/>
        <v>0</v>
      </c>
      <c r="N54" s="52" t="str">
        <f t="shared" si="3"/>
        <v/>
      </c>
      <c r="O54" s="50">
        <f>SUMIFS('Initiative Log'!$Y:$Y,'Initiative Log'!$D:$D,B54,'Initiative Log'!$K:$K,"Completed")</f>
        <v>0</v>
      </c>
      <c r="P54" s="50">
        <f>SUMIFS('Initiative Log'!$Z:$Z,'Initiative Log'!$D:$D,B54,'Initiative Log'!$K:$K,"Completed")</f>
        <v>0</v>
      </c>
    </row>
    <row r="55" spans="2:16" ht="15" customHeight="1" thickBot="1" x14ac:dyDescent="0.4">
      <c r="B55" s="49" t="s">
        <v>452</v>
      </c>
      <c r="C55" s="45" t="str">
        <f>IFERROR(VLOOKUP(B55,'Portfolio List'!$B$4:$I$76,5,FALSE()),"")</f>
        <v>Fund 4</v>
      </c>
      <c r="D55" s="45" t="str">
        <f>IFERROR(VLOOKUP(B55,'Portfolio List'!$B$4:$I$76,6,FALSE()),"")</f>
        <v>Region 4</v>
      </c>
      <c r="E55" s="45" t="str">
        <f>IFERROR(VLOOKUP(B55,'Portfolio List'!$B$4:$I$76,7,FALSE()),"")</f>
        <v>State 3</v>
      </c>
      <c r="F55" s="46">
        <f>IFERROR(VLOOKUP(B55,'Portfolio List'!$B$4:$I$76,4,FALSE()),"")</f>
        <v>180</v>
      </c>
      <c r="G55" s="50">
        <f>COUNTIF('Initiative Log'!$D:$D,B55)</f>
        <v>0</v>
      </c>
      <c r="H55" s="50">
        <f>COUNTIFS('Initiative Log'!$D:$D,B55,'Initiative Log'!$K:$K,"Completed")</f>
        <v>0</v>
      </c>
      <c r="I55" s="50">
        <f>SUMIFS('Initiative Log'!$P:$P,'Initiative Log'!$D:$D,B55,'Initiative Log'!$K:$K,"Completed")</f>
        <v>0</v>
      </c>
      <c r="J55" s="50">
        <f>SUMIFS('Initiative Log'!$Q:$Q,'Initiative Log'!$D:$D,B55,'Initiative Log'!$K:$K,"Completed")</f>
        <v>0</v>
      </c>
      <c r="K55" s="51">
        <f>SUMIFS('Initiative Log'!$V:$V,'Initiative Log'!$D:$D,B55,'Initiative Log'!$K:$K,"Completed")</f>
        <v>0</v>
      </c>
      <c r="L55" s="51">
        <f>SUMIFS('Initiative Log'!$O:$O,'Initiative Log'!$D:$D,B55)</f>
        <v>0</v>
      </c>
      <c r="M55" s="52">
        <f t="shared" si="2"/>
        <v>0</v>
      </c>
      <c r="N55" s="52" t="str">
        <f t="shared" si="3"/>
        <v/>
      </c>
      <c r="O55" s="50">
        <f>SUMIFS('Initiative Log'!$Y:$Y,'Initiative Log'!$D:$D,B55,'Initiative Log'!$K:$K,"Completed")</f>
        <v>0</v>
      </c>
      <c r="P55" s="50">
        <f>SUMIFS('Initiative Log'!$Z:$Z,'Initiative Log'!$D:$D,B55,'Initiative Log'!$K:$K,"Completed")</f>
        <v>0</v>
      </c>
    </row>
    <row r="56" spans="2:16" ht="15" customHeight="1" thickBot="1" x14ac:dyDescent="0.4">
      <c r="B56" s="49" t="s">
        <v>453</v>
      </c>
      <c r="C56" s="45" t="str">
        <f>IFERROR(VLOOKUP(B56,'Portfolio List'!$B$4:$I$76,5,FALSE()),"")</f>
        <v>Fund 3</v>
      </c>
      <c r="D56" s="45" t="str">
        <f>IFERROR(VLOOKUP(B56,'Portfolio List'!$B$4:$I$76,6,FALSE()),"")</f>
        <v>Region 2</v>
      </c>
      <c r="E56" s="45" t="str">
        <f>IFERROR(VLOOKUP(B56,'Portfolio List'!$B$4:$I$76,7,FALSE()),"")</f>
        <v>State 1</v>
      </c>
      <c r="F56" s="46">
        <f>IFERROR(VLOOKUP(B56,'Portfolio List'!$B$4:$I$76,4,FALSE()),"")</f>
        <v>84</v>
      </c>
      <c r="G56" s="50">
        <f>COUNTIF('Initiative Log'!$D:$D,B56)</f>
        <v>0</v>
      </c>
      <c r="H56" s="50">
        <f>COUNTIFS('Initiative Log'!$D:$D,B56,'Initiative Log'!$K:$K,"Completed")</f>
        <v>0</v>
      </c>
      <c r="I56" s="50">
        <f>SUMIFS('Initiative Log'!$P:$P,'Initiative Log'!$D:$D,B56,'Initiative Log'!$K:$K,"Completed")</f>
        <v>0</v>
      </c>
      <c r="J56" s="50">
        <f>SUMIFS('Initiative Log'!$Q:$Q,'Initiative Log'!$D:$D,B56,'Initiative Log'!$K:$K,"Completed")</f>
        <v>0</v>
      </c>
      <c r="K56" s="51">
        <f>SUMIFS('Initiative Log'!$V:$V,'Initiative Log'!$D:$D,B56,'Initiative Log'!$K:$K,"Completed")</f>
        <v>0</v>
      </c>
      <c r="L56" s="51">
        <f>SUMIFS('Initiative Log'!$O:$O,'Initiative Log'!$D:$D,B56)</f>
        <v>0</v>
      </c>
      <c r="M56" s="52">
        <f t="shared" si="2"/>
        <v>0</v>
      </c>
      <c r="N56" s="52" t="str">
        <f t="shared" si="3"/>
        <v/>
      </c>
      <c r="O56" s="50">
        <f>SUMIFS('Initiative Log'!$Y:$Y,'Initiative Log'!$D:$D,B56,'Initiative Log'!$K:$K,"Completed")</f>
        <v>0</v>
      </c>
      <c r="P56" s="50">
        <f>SUMIFS('Initiative Log'!$Z:$Z,'Initiative Log'!$D:$D,B56,'Initiative Log'!$K:$K,"Completed")</f>
        <v>0</v>
      </c>
    </row>
    <row r="57" spans="2:16" ht="15" customHeight="1" thickBot="1" x14ac:dyDescent="0.4">
      <c r="B57" s="49" t="s">
        <v>454</v>
      </c>
      <c r="C57" s="45" t="str">
        <f>IFERROR(VLOOKUP(B57,'Portfolio List'!$B$4:$I$76,5,FALSE()),"")</f>
        <v>Fund 4</v>
      </c>
      <c r="D57" s="45" t="str">
        <f>IFERROR(VLOOKUP(B57,'Portfolio List'!$B$4:$I$76,6,FALSE()),"")</f>
        <v>Region 2</v>
      </c>
      <c r="E57" s="45" t="str">
        <f>IFERROR(VLOOKUP(B57,'Portfolio List'!$B$4:$I$76,7,FALSE()),"")</f>
        <v>State 1</v>
      </c>
      <c r="F57" s="46">
        <f>IFERROR(VLOOKUP(B57,'Portfolio List'!$B$4:$I$76,4,FALSE()),"")</f>
        <v>207</v>
      </c>
      <c r="G57" s="50">
        <f>COUNTIF('Initiative Log'!$D:$D,B57)</f>
        <v>0</v>
      </c>
      <c r="H57" s="50">
        <f>COUNTIFS('Initiative Log'!$D:$D,B57,'Initiative Log'!$K:$K,"Completed")</f>
        <v>0</v>
      </c>
      <c r="I57" s="50">
        <f>SUMIFS('Initiative Log'!$P:$P,'Initiative Log'!$D:$D,B57,'Initiative Log'!$K:$K,"Completed")</f>
        <v>0</v>
      </c>
      <c r="J57" s="50">
        <f>SUMIFS('Initiative Log'!$Q:$Q,'Initiative Log'!$D:$D,B57,'Initiative Log'!$K:$K,"Completed")</f>
        <v>0</v>
      </c>
      <c r="K57" s="51">
        <f>SUMIFS('Initiative Log'!$V:$V,'Initiative Log'!$D:$D,B57,'Initiative Log'!$K:$K,"Completed")</f>
        <v>0</v>
      </c>
      <c r="L57" s="51">
        <f>SUMIFS('Initiative Log'!$O:$O,'Initiative Log'!$D:$D,B57)</f>
        <v>0</v>
      </c>
      <c r="M57" s="52">
        <f t="shared" si="2"/>
        <v>0</v>
      </c>
      <c r="N57" s="52" t="str">
        <f t="shared" si="3"/>
        <v/>
      </c>
      <c r="O57" s="50">
        <f>SUMIFS('Initiative Log'!$Y:$Y,'Initiative Log'!$D:$D,B57,'Initiative Log'!$K:$K,"Completed")</f>
        <v>0</v>
      </c>
      <c r="P57" s="50">
        <f>SUMIFS('Initiative Log'!$Z:$Z,'Initiative Log'!$D:$D,B57,'Initiative Log'!$K:$K,"Completed")</f>
        <v>0</v>
      </c>
    </row>
    <row r="58" spans="2:16" ht="15" customHeight="1" thickBot="1" x14ac:dyDescent="0.4">
      <c r="B58" s="49" t="s">
        <v>455</v>
      </c>
      <c r="C58" s="45" t="str">
        <f>IFERROR(VLOOKUP(B58,'Portfolio List'!$B$4:$I$76,5,FALSE()),"")</f>
        <v>Fund 4</v>
      </c>
      <c r="D58" s="45" t="str">
        <f>IFERROR(VLOOKUP(B58,'Portfolio List'!$B$4:$I$76,6,FALSE()),"")</f>
        <v>Region 2</v>
      </c>
      <c r="E58" s="45" t="str">
        <f>IFERROR(VLOOKUP(B58,'Portfolio List'!$B$4:$I$76,7,FALSE()),"")</f>
        <v>State 1</v>
      </c>
      <c r="F58" s="46">
        <f>IFERROR(VLOOKUP(B58,'Portfolio List'!$B$4:$I$76,4,FALSE()),"")</f>
        <v>28</v>
      </c>
      <c r="G58" s="50">
        <f>COUNTIF('Initiative Log'!$D:$D,B58)</f>
        <v>0</v>
      </c>
      <c r="H58" s="50">
        <f>COUNTIFS('Initiative Log'!$D:$D,B58,'Initiative Log'!$K:$K,"Completed")</f>
        <v>0</v>
      </c>
      <c r="I58" s="50">
        <f>SUMIFS('Initiative Log'!$P:$P,'Initiative Log'!$D:$D,B58,'Initiative Log'!$K:$K,"Completed")</f>
        <v>0</v>
      </c>
      <c r="J58" s="50">
        <f>SUMIFS('Initiative Log'!$Q:$Q,'Initiative Log'!$D:$D,B58,'Initiative Log'!$K:$K,"Completed")</f>
        <v>0</v>
      </c>
      <c r="K58" s="51">
        <f>SUMIFS('Initiative Log'!$V:$V,'Initiative Log'!$D:$D,B58,'Initiative Log'!$K:$K,"Completed")</f>
        <v>0</v>
      </c>
      <c r="L58" s="51">
        <f>SUMIFS('Initiative Log'!$O:$O,'Initiative Log'!$D:$D,B58)</f>
        <v>0</v>
      </c>
      <c r="M58" s="52">
        <f t="shared" si="2"/>
        <v>0</v>
      </c>
      <c r="N58" s="52" t="str">
        <f t="shared" si="3"/>
        <v/>
      </c>
      <c r="O58" s="50">
        <f>SUMIFS('Initiative Log'!$Y:$Y,'Initiative Log'!$D:$D,B58,'Initiative Log'!$K:$K,"Completed")</f>
        <v>0</v>
      </c>
      <c r="P58" s="50">
        <f>SUMIFS('Initiative Log'!$Z:$Z,'Initiative Log'!$D:$D,B58,'Initiative Log'!$K:$K,"Completed")</f>
        <v>0</v>
      </c>
    </row>
    <row r="59" spans="2:16" ht="15" customHeight="1" thickBot="1" x14ac:dyDescent="0.4">
      <c r="B59" s="49" t="s">
        <v>456</v>
      </c>
      <c r="C59" s="45" t="str">
        <f>IFERROR(VLOOKUP(B59,'Portfolio List'!$B$4:$I$76,5,FALSE()),"")</f>
        <v>Fund 4</v>
      </c>
      <c r="D59" s="45" t="str">
        <f>IFERROR(VLOOKUP(B59,'Portfolio List'!$B$4:$I$76,6,FALSE()),"")</f>
        <v>Region 2</v>
      </c>
      <c r="E59" s="45" t="str">
        <f>IFERROR(VLOOKUP(B59,'Portfolio List'!$B$4:$I$76,7,FALSE()),"")</f>
        <v>State 1</v>
      </c>
      <c r="F59" s="46">
        <f>IFERROR(VLOOKUP(B59,'Portfolio List'!$B$4:$I$76,4,FALSE()),"")</f>
        <v>26</v>
      </c>
      <c r="G59" s="50">
        <f>COUNTIF('Initiative Log'!$D:$D,B59)</f>
        <v>0</v>
      </c>
      <c r="H59" s="50">
        <f>COUNTIFS('Initiative Log'!$D:$D,B59,'Initiative Log'!$K:$K,"Completed")</f>
        <v>0</v>
      </c>
      <c r="I59" s="50">
        <f>SUMIFS('Initiative Log'!$P:$P,'Initiative Log'!$D:$D,B59,'Initiative Log'!$K:$K,"Completed")</f>
        <v>0</v>
      </c>
      <c r="J59" s="50">
        <f>SUMIFS('Initiative Log'!$Q:$Q,'Initiative Log'!$D:$D,B59,'Initiative Log'!$K:$K,"Completed")</f>
        <v>0</v>
      </c>
      <c r="K59" s="51">
        <f>SUMIFS('Initiative Log'!$V:$V,'Initiative Log'!$D:$D,B59,'Initiative Log'!$K:$K,"Completed")</f>
        <v>0</v>
      </c>
      <c r="L59" s="51">
        <f>SUMIFS('Initiative Log'!$O:$O,'Initiative Log'!$D:$D,B59)</f>
        <v>0</v>
      </c>
      <c r="M59" s="52">
        <f t="shared" si="2"/>
        <v>0</v>
      </c>
      <c r="N59" s="52" t="str">
        <f t="shared" si="3"/>
        <v/>
      </c>
      <c r="O59" s="50">
        <f>SUMIFS('Initiative Log'!$Y:$Y,'Initiative Log'!$D:$D,B59,'Initiative Log'!$K:$K,"Completed")</f>
        <v>0</v>
      </c>
      <c r="P59" s="50">
        <f>SUMIFS('Initiative Log'!$Z:$Z,'Initiative Log'!$D:$D,B59,'Initiative Log'!$K:$K,"Completed")</f>
        <v>0</v>
      </c>
    </row>
    <row r="60" spans="2:16" ht="15" customHeight="1" thickBot="1" x14ac:dyDescent="0.4">
      <c r="B60" s="49" t="s">
        <v>457</v>
      </c>
      <c r="C60" s="45" t="str">
        <f>IFERROR(VLOOKUP(B60,'Portfolio List'!$B$4:$I$76,5,FALSE()),"")</f>
        <v>Fund 4</v>
      </c>
      <c r="D60" s="45" t="str">
        <f>IFERROR(VLOOKUP(B60,'Portfolio List'!$B$4:$I$76,6,FALSE()),"")</f>
        <v>Region 2</v>
      </c>
      <c r="E60" s="45" t="str">
        <f>IFERROR(VLOOKUP(B60,'Portfolio List'!$B$4:$I$76,7,FALSE()),"")</f>
        <v>State 1</v>
      </c>
      <c r="F60" s="46">
        <f>IFERROR(VLOOKUP(B60,'Portfolio List'!$B$4:$I$76,4,FALSE()),"")</f>
        <v>128</v>
      </c>
      <c r="G60" s="50">
        <f>COUNTIF('Initiative Log'!$D:$D,B60)</f>
        <v>0</v>
      </c>
      <c r="H60" s="50">
        <f>COUNTIFS('Initiative Log'!$D:$D,B60,'Initiative Log'!$K:$K,"Completed")</f>
        <v>0</v>
      </c>
      <c r="I60" s="50">
        <f>SUMIFS('Initiative Log'!$P:$P,'Initiative Log'!$D:$D,B60,'Initiative Log'!$K:$K,"Completed")</f>
        <v>0</v>
      </c>
      <c r="J60" s="50">
        <f>SUMIFS('Initiative Log'!$Q:$Q,'Initiative Log'!$D:$D,B60,'Initiative Log'!$K:$K,"Completed")</f>
        <v>0</v>
      </c>
      <c r="K60" s="51">
        <f>SUMIFS('Initiative Log'!$V:$V,'Initiative Log'!$D:$D,B60,'Initiative Log'!$K:$K,"Completed")</f>
        <v>0</v>
      </c>
      <c r="L60" s="51">
        <f>SUMIFS('Initiative Log'!$O:$O,'Initiative Log'!$D:$D,B60)</f>
        <v>0</v>
      </c>
      <c r="M60" s="52">
        <f t="shared" si="2"/>
        <v>0</v>
      </c>
      <c r="N60" s="52" t="str">
        <f t="shared" si="3"/>
        <v/>
      </c>
      <c r="O60" s="50">
        <f>SUMIFS('Initiative Log'!$Y:$Y,'Initiative Log'!$D:$D,B60,'Initiative Log'!$K:$K,"Completed")</f>
        <v>0</v>
      </c>
      <c r="P60" s="50">
        <f>SUMIFS('Initiative Log'!$Z:$Z,'Initiative Log'!$D:$D,B60,'Initiative Log'!$K:$K,"Completed")</f>
        <v>0</v>
      </c>
    </row>
    <row r="61" spans="2:16" ht="15" customHeight="1" thickBot="1" x14ac:dyDescent="0.4">
      <c r="B61" s="49" t="s">
        <v>458</v>
      </c>
      <c r="C61" s="45" t="str">
        <f>IFERROR(VLOOKUP(B61,'Portfolio List'!$B$4:$I$76,5,FALSE()),"")</f>
        <v>Fund 4</v>
      </c>
      <c r="D61" s="45" t="str">
        <f>IFERROR(VLOOKUP(B61,'Portfolio List'!$B$4:$I$76,6,FALSE()),"")</f>
        <v>Region 7</v>
      </c>
      <c r="E61" s="45" t="str">
        <f>IFERROR(VLOOKUP(B61,'Portfolio List'!$B$4:$I$76,7,FALSE()),"")</f>
        <v>State 8</v>
      </c>
      <c r="F61" s="46">
        <f>IFERROR(VLOOKUP(B61,'Portfolio List'!$B$4:$I$76,4,FALSE()),"")</f>
        <v>244</v>
      </c>
      <c r="G61" s="50">
        <f>COUNTIF('Initiative Log'!$D:$D,B61)</f>
        <v>0</v>
      </c>
      <c r="H61" s="50">
        <f>COUNTIFS('Initiative Log'!$D:$D,B61,'Initiative Log'!$K:$K,"Completed")</f>
        <v>0</v>
      </c>
      <c r="I61" s="50">
        <f>SUMIFS('Initiative Log'!$P:$P,'Initiative Log'!$D:$D,B61,'Initiative Log'!$K:$K,"Completed")</f>
        <v>0</v>
      </c>
      <c r="J61" s="50">
        <f>SUMIFS('Initiative Log'!$Q:$Q,'Initiative Log'!$D:$D,B61,'Initiative Log'!$K:$K,"Completed")</f>
        <v>0</v>
      </c>
      <c r="K61" s="51">
        <f>SUMIFS('Initiative Log'!$V:$V,'Initiative Log'!$D:$D,B61,'Initiative Log'!$K:$K,"Completed")</f>
        <v>0</v>
      </c>
      <c r="L61" s="51">
        <f>SUMIFS('Initiative Log'!$O:$O,'Initiative Log'!$D:$D,B61)</f>
        <v>0</v>
      </c>
      <c r="M61" s="52">
        <f t="shared" si="2"/>
        <v>0</v>
      </c>
      <c r="N61" s="52" t="str">
        <f t="shared" si="3"/>
        <v/>
      </c>
      <c r="O61" s="50">
        <f>SUMIFS('Initiative Log'!$Y:$Y,'Initiative Log'!$D:$D,B61,'Initiative Log'!$K:$K,"Completed")</f>
        <v>0</v>
      </c>
      <c r="P61" s="50">
        <f>SUMIFS('Initiative Log'!$Z:$Z,'Initiative Log'!$D:$D,B61,'Initiative Log'!$K:$K,"Completed")</f>
        <v>0</v>
      </c>
    </row>
    <row r="62" spans="2:16" ht="15" customHeight="1" thickBot="1" x14ac:dyDescent="0.4">
      <c r="B62" s="49" t="s">
        <v>459</v>
      </c>
      <c r="C62" s="45" t="str">
        <f>IFERROR(VLOOKUP(B62,'Portfolio List'!$B$4:$I$76,5,FALSE()),"")</f>
        <v>Fund 4</v>
      </c>
      <c r="D62" s="45" t="str">
        <f>IFERROR(VLOOKUP(B62,'Portfolio List'!$B$4:$I$76,6,FALSE()),"")</f>
        <v>Region 7</v>
      </c>
      <c r="E62" s="45" t="str">
        <f>IFERROR(VLOOKUP(B62,'Portfolio List'!$B$4:$I$76,7,FALSE()),"")</f>
        <v>State 8</v>
      </c>
      <c r="F62" s="46">
        <f>IFERROR(VLOOKUP(B62,'Portfolio List'!$B$4:$I$76,4,FALSE()),"")</f>
        <v>310</v>
      </c>
      <c r="G62" s="50">
        <f>COUNTIF('Initiative Log'!$D:$D,B62)</f>
        <v>0</v>
      </c>
      <c r="H62" s="50">
        <f>COUNTIFS('Initiative Log'!$D:$D,B62,'Initiative Log'!$K:$K,"Completed")</f>
        <v>0</v>
      </c>
      <c r="I62" s="50">
        <f>SUMIFS('Initiative Log'!$P:$P,'Initiative Log'!$D:$D,B62,'Initiative Log'!$K:$K,"Completed")</f>
        <v>0</v>
      </c>
      <c r="J62" s="50">
        <f>SUMIFS('Initiative Log'!$Q:$Q,'Initiative Log'!$D:$D,B62,'Initiative Log'!$K:$K,"Completed")</f>
        <v>0</v>
      </c>
      <c r="K62" s="51">
        <f>SUMIFS('Initiative Log'!$V:$V,'Initiative Log'!$D:$D,B62,'Initiative Log'!$K:$K,"Completed")</f>
        <v>0</v>
      </c>
      <c r="L62" s="51">
        <f>SUMIFS('Initiative Log'!$O:$O,'Initiative Log'!$D:$D,B62)</f>
        <v>0</v>
      </c>
      <c r="M62" s="52">
        <f t="shared" si="2"/>
        <v>0</v>
      </c>
      <c r="N62" s="52" t="str">
        <f t="shared" si="3"/>
        <v/>
      </c>
      <c r="O62" s="50">
        <f>SUMIFS('Initiative Log'!$Y:$Y,'Initiative Log'!$D:$D,B62,'Initiative Log'!$K:$K,"Completed")</f>
        <v>0</v>
      </c>
      <c r="P62" s="50">
        <f>SUMIFS('Initiative Log'!$Z:$Z,'Initiative Log'!$D:$D,B62,'Initiative Log'!$K:$K,"Completed")</f>
        <v>0</v>
      </c>
    </row>
    <row r="63" spans="2:16" ht="15" customHeight="1" thickBot="1" x14ac:dyDescent="0.4">
      <c r="B63" s="49" t="s">
        <v>460</v>
      </c>
      <c r="C63" s="45" t="str">
        <f>IFERROR(VLOOKUP(B63,'Portfolio List'!$B$4:$I$76,5,FALSE()),"")</f>
        <v>Fund 4</v>
      </c>
      <c r="D63" s="45" t="str">
        <f>IFERROR(VLOOKUP(B63,'Portfolio List'!$B$4:$I$76,6,FALSE()),"")</f>
        <v>Region 2</v>
      </c>
      <c r="E63" s="45" t="str">
        <f>IFERROR(VLOOKUP(B63,'Portfolio List'!$B$4:$I$76,7,FALSE()),"")</f>
        <v>State 1</v>
      </c>
      <c r="F63" s="46">
        <f>IFERROR(VLOOKUP(B63,'Portfolio List'!$B$4:$I$76,4,FALSE()),"")</f>
        <v>952</v>
      </c>
      <c r="G63" s="50">
        <f>COUNTIF('Initiative Log'!$D:$D,B63)</f>
        <v>0</v>
      </c>
      <c r="H63" s="50">
        <f>COUNTIFS('Initiative Log'!$D:$D,B63,'Initiative Log'!$K:$K,"Completed")</f>
        <v>0</v>
      </c>
      <c r="I63" s="50">
        <f>SUMIFS('Initiative Log'!$P:$P,'Initiative Log'!$D:$D,B63,'Initiative Log'!$K:$K,"Completed")</f>
        <v>0</v>
      </c>
      <c r="J63" s="50">
        <f>SUMIFS('Initiative Log'!$Q:$Q,'Initiative Log'!$D:$D,B63,'Initiative Log'!$K:$K,"Completed")</f>
        <v>0</v>
      </c>
      <c r="K63" s="51">
        <f>SUMIFS('Initiative Log'!$V:$V,'Initiative Log'!$D:$D,B63,'Initiative Log'!$K:$K,"Completed")</f>
        <v>0</v>
      </c>
      <c r="L63" s="51">
        <f>SUMIFS('Initiative Log'!$O:$O,'Initiative Log'!$D:$D,B63)</f>
        <v>0</v>
      </c>
      <c r="M63" s="52">
        <f t="shared" si="2"/>
        <v>0</v>
      </c>
      <c r="N63" s="52" t="str">
        <f t="shared" si="3"/>
        <v/>
      </c>
      <c r="O63" s="50">
        <f>SUMIFS('Initiative Log'!$Y:$Y,'Initiative Log'!$D:$D,B63,'Initiative Log'!$K:$K,"Completed")</f>
        <v>0</v>
      </c>
      <c r="P63" s="50">
        <f>SUMIFS('Initiative Log'!$Z:$Z,'Initiative Log'!$D:$D,B63,'Initiative Log'!$K:$K,"Completed")</f>
        <v>0</v>
      </c>
    </row>
    <row r="64" spans="2:16" ht="15" customHeight="1" thickBot="1" x14ac:dyDescent="0.4">
      <c r="B64" s="49" t="s">
        <v>461</v>
      </c>
      <c r="C64" s="45" t="str">
        <f>IFERROR(VLOOKUP(B64,'Portfolio List'!$B$4:$I$76,5,FALSE()),"")</f>
        <v>Fund 6</v>
      </c>
      <c r="D64" s="45" t="str">
        <f>IFERROR(VLOOKUP(B64,'Portfolio List'!$B$4:$I$76,6,FALSE()),"")</f>
        <v>Region 2</v>
      </c>
      <c r="E64" s="45" t="str">
        <f>IFERROR(VLOOKUP(B64,'Portfolio List'!$B$4:$I$76,7,FALSE()),"")</f>
        <v>State 1</v>
      </c>
      <c r="F64" s="46">
        <f>IFERROR(VLOOKUP(B64,'Portfolio List'!$B$4:$I$76,4,FALSE()),"")</f>
        <v>124</v>
      </c>
      <c r="G64" s="50">
        <f>COUNTIF('Initiative Log'!$D:$D,B64)</f>
        <v>0</v>
      </c>
      <c r="H64" s="50">
        <f>COUNTIFS('Initiative Log'!$D:$D,B64,'Initiative Log'!$K:$K,"Completed")</f>
        <v>0</v>
      </c>
      <c r="I64" s="50">
        <f>SUMIFS('Initiative Log'!$P:$P,'Initiative Log'!$D:$D,B64,'Initiative Log'!$K:$K,"Completed")</f>
        <v>0</v>
      </c>
      <c r="J64" s="50">
        <f>SUMIFS('Initiative Log'!$Q:$Q,'Initiative Log'!$D:$D,B64,'Initiative Log'!$K:$K,"Completed")</f>
        <v>0</v>
      </c>
      <c r="K64" s="51">
        <f>SUMIFS('Initiative Log'!$V:$V,'Initiative Log'!$D:$D,B64,'Initiative Log'!$K:$K,"Completed")</f>
        <v>0</v>
      </c>
      <c r="L64" s="51">
        <f>SUMIFS('Initiative Log'!$O:$O,'Initiative Log'!$D:$D,B64)</f>
        <v>0</v>
      </c>
      <c r="M64" s="52">
        <f t="shared" si="2"/>
        <v>0</v>
      </c>
      <c r="N64" s="52" t="str">
        <f t="shared" si="3"/>
        <v/>
      </c>
      <c r="O64" s="50">
        <f>SUMIFS('Initiative Log'!$Y:$Y,'Initiative Log'!$D:$D,B64,'Initiative Log'!$K:$K,"Completed")</f>
        <v>0</v>
      </c>
      <c r="P64" s="50">
        <f>SUMIFS('Initiative Log'!$Z:$Z,'Initiative Log'!$D:$D,B64,'Initiative Log'!$K:$K,"Completed")</f>
        <v>0</v>
      </c>
    </row>
    <row r="65" spans="2:16" ht="15" customHeight="1" thickBot="1" x14ac:dyDescent="0.4">
      <c r="B65" s="49" t="s">
        <v>462</v>
      </c>
      <c r="C65" s="45" t="str">
        <f>IFERROR(VLOOKUP(B65,'Portfolio List'!$B$4:$I$76,5,FALSE()),"")</f>
        <v>Fund 6</v>
      </c>
      <c r="D65" s="45" t="str">
        <f>IFERROR(VLOOKUP(B65,'Portfolio List'!$B$4:$I$76,6,FALSE()),"")</f>
        <v>Region 2</v>
      </c>
      <c r="E65" s="45" t="str">
        <f>IFERROR(VLOOKUP(B65,'Portfolio List'!$B$4:$I$76,7,FALSE()),"")</f>
        <v>State 1</v>
      </c>
      <c r="F65" s="46">
        <f>IFERROR(VLOOKUP(B65,'Portfolio List'!$B$4:$I$76,4,FALSE()),"")</f>
        <v>54</v>
      </c>
      <c r="G65" s="50">
        <f>COUNTIF('Initiative Log'!$D:$D,B65)</f>
        <v>0</v>
      </c>
      <c r="H65" s="50">
        <f>COUNTIFS('Initiative Log'!$D:$D,B65,'Initiative Log'!$K:$K,"Completed")</f>
        <v>0</v>
      </c>
      <c r="I65" s="50">
        <f>SUMIFS('Initiative Log'!$P:$P,'Initiative Log'!$D:$D,B65,'Initiative Log'!$K:$K,"Completed")</f>
        <v>0</v>
      </c>
      <c r="J65" s="50">
        <f>SUMIFS('Initiative Log'!$Q:$Q,'Initiative Log'!$D:$D,B65,'Initiative Log'!$K:$K,"Completed")</f>
        <v>0</v>
      </c>
      <c r="K65" s="51">
        <f>SUMIFS('Initiative Log'!$V:$V,'Initiative Log'!$D:$D,B65,'Initiative Log'!$K:$K,"Completed")</f>
        <v>0</v>
      </c>
      <c r="L65" s="51">
        <f>SUMIFS('Initiative Log'!$O:$O,'Initiative Log'!$D:$D,B65)</f>
        <v>0</v>
      </c>
      <c r="M65" s="52">
        <f t="shared" si="2"/>
        <v>0</v>
      </c>
      <c r="N65" s="52" t="str">
        <f t="shared" si="3"/>
        <v/>
      </c>
      <c r="O65" s="50">
        <f>SUMIFS('Initiative Log'!$Y:$Y,'Initiative Log'!$D:$D,B65,'Initiative Log'!$K:$K,"Completed")</f>
        <v>0</v>
      </c>
      <c r="P65" s="50">
        <f>SUMIFS('Initiative Log'!$Z:$Z,'Initiative Log'!$D:$D,B65,'Initiative Log'!$K:$K,"Completed")</f>
        <v>0</v>
      </c>
    </row>
    <row r="66" spans="2:16" ht="15" customHeight="1" thickBot="1" x14ac:dyDescent="0.4">
      <c r="B66" s="49" t="s">
        <v>463</v>
      </c>
      <c r="C66" s="45" t="str">
        <f>IFERROR(VLOOKUP(B66,'Portfolio List'!$B$4:$I$76,5,FALSE()),"")</f>
        <v>Fund 6</v>
      </c>
      <c r="D66" s="45" t="str">
        <f>IFERROR(VLOOKUP(B66,'Portfolio List'!$B$4:$I$76,6,FALSE()),"")</f>
        <v>Region 7</v>
      </c>
      <c r="E66" s="45" t="str">
        <f>IFERROR(VLOOKUP(B66,'Portfolio List'!$B$4:$I$76,7,FALSE()),"")</f>
        <v>State 8</v>
      </c>
      <c r="F66" s="46">
        <f>IFERROR(VLOOKUP(B66,'Portfolio List'!$B$4:$I$76,4,FALSE()),"")</f>
        <v>247</v>
      </c>
      <c r="G66" s="50">
        <f>COUNTIF('Initiative Log'!$D:$D,B66)</f>
        <v>0</v>
      </c>
      <c r="H66" s="50">
        <f>COUNTIFS('Initiative Log'!$D:$D,B66,'Initiative Log'!$K:$K,"Completed")</f>
        <v>0</v>
      </c>
      <c r="I66" s="50">
        <f>SUMIFS('Initiative Log'!$P:$P,'Initiative Log'!$D:$D,B66,'Initiative Log'!$K:$K,"Completed")</f>
        <v>0</v>
      </c>
      <c r="J66" s="50">
        <f>SUMIFS('Initiative Log'!$Q:$Q,'Initiative Log'!$D:$D,B66,'Initiative Log'!$K:$K,"Completed")</f>
        <v>0</v>
      </c>
      <c r="K66" s="51">
        <f>SUMIFS('Initiative Log'!$V:$V,'Initiative Log'!$D:$D,B66,'Initiative Log'!$K:$K,"Completed")</f>
        <v>0</v>
      </c>
      <c r="L66" s="51">
        <f>SUMIFS('Initiative Log'!$O:$O,'Initiative Log'!$D:$D,B66)</f>
        <v>0</v>
      </c>
      <c r="M66" s="52">
        <f t="shared" si="2"/>
        <v>0</v>
      </c>
      <c r="N66" s="52" t="str">
        <f t="shared" si="3"/>
        <v/>
      </c>
      <c r="O66" s="50">
        <f>SUMIFS('Initiative Log'!$Y:$Y,'Initiative Log'!$D:$D,B66,'Initiative Log'!$K:$K,"Completed")</f>
        <v>0</v>
      </c>
      <c r="P66" s="50">
        <f>SUMIFS('Initiative Log'!$Z:$Z,'Initiative Log'!$D:$D,B66,'Initiative Log'!$K:$K,"Completed")</f>
        <v>0</v>
      </c>
    </row>
    <row r="67" spans="2:16" ht="15" customHeight="1" thickBot="1" x14ac:dyDescent="0.4">
      <c r="B67" s="49" t="s">
        <v>464</v>
      </c>
      <c r="C67" s="45" t="str">
        <f>IFERROR(VLOOKUP(B67,'Portfolio List'!$B$4:$I$76,5,FALSE()),"")</f>
        <v>Fund 6</v>
      </c>
      <c r="D67" s="45" t="str">
        <f>IFERROR(VLOOKUP(B67,'Portfolio List'!$B$4:$I$76,6,FALSE()),"")</f>
        <v>Region 6</v>
      </c>
      <c r="E67" s="45" t="str">
        <f>IFERROR(VLOOKUP(B67,'Portfolio List'!$B$4:$I$76,7,FALSE()),"")</f>
        <v>State 7</v>
      </c>
      <c r="F67" s="46">
        <f>IFERROR(VLOOKUP(B67,'Portfolio List'!$B$4:$I$76,4,FALSE()),"")</f>
        <v>321</v>
      </c>
      <c r="G67" s="50">
        <f>COUNTIF('Initiative Log'!$D:$D,B67)</f>
        <v>0</v>
      </c>
      <c r="H67" s="50">
        <f>COUNTIFS('Initiative Log'!$D:$D,B67,'Initiative Log'!$K:$K,"Completed")</f>
        <v>0</v>
      </c>
      <c r="I67" s="50">
        <f>SUMIFS('Initiative Log'!$P:$P,'Initiative Log'!$D:$D,B67,'Initiative Log'!$K:$K,"Completed")</f>
        <v>0</v>
      </c>
      <c r="J67" s="50">
        <f>SUMIFS('Initiative Log'!$Q:$Q,'Initiative Log'!$D:$D,B67,'Initiative Log'!$K:$K,"Completed")</f>
        <v>0</v>
      </c>
      <c r="K67" s="51">
        <f>SUMIFS('Initiative Log'!$V:$V,'Initiative Log'!$D:$D,B67,'Initiative Log'!$K:$K,"Completed")</f>
        <v>0</v>
      </c>
      <c r="L67" s="51">
        <f>SUMIFS('Initiative Log'!$O:$O,'Initiative Log'!$D:$D,B67)</f>
        <v>0</v>
      </c>
      <c r="M67" s="52">
        <f t="shared" si="2"/>
        <v>0</v>
      </c>
      <c r="N67" s="52" t="str">
        <f t="shared" si="3"/>
        <v/>
      </c>
      <c r="O67" s="50">
        <f>SUMIFS('Initiative Log'!$Y:$Y,'Initiative Log'!$D:$D,B67,'Initiative Log'!$K:$K,"Completed")</f>
        <v>0</v>
      </c>
      <c r="P67" s="50">
        <f>SUMIFS('Initiative Log'!$Z:$Z,'Initiative Log'!$D:$D,B67,'Initiative Log'!$K:$K,"Completed")</f>
        <v>0</v>
      </c>
    </row>
    <row r="68" spans="2:16" ht="15" customHeight="1" thickBot="1" x14ac:dyDescent="0.4">
      <c r="B68" s="49" t="s">
        <v>465</v>
      </c>
      <c r="C68" s="45" t="str">
        <f>IFERROR(VLOOKUP(B68,'Portfolio List'!$B$4:$I$76,5,FALSE()),"")</f>
        <v>Fund 6</v>
      </c>
      <c r="D68" s="45" t="str">
        <f>IFERROR(VLOOKUP(B68,'Portfolio List'!$B$4:$I$76,6,FALSE()),"")</f>
        <v>Region 2</v>
      </c>
      <c r="E68" s="45" t="str">
        <f>IFERROR(VLOOKUP(B68,'Portfolio List'!$B$4:$I$76,7,FALSE()),"")</f>
        <v>State 1</v>
      </c>
      <c r="F68" s="46">
        <f>IFERROR(VLOOKUP(B68,'Portfolio List'!$B$4:$I$76,4,FALSE()),"")</f>
        <v>232</v>
      </c>
      <c r="G68" s="50">
        <f>COUNTIF('Initiative Log'!$D:$D,B68)</f>
        <v>0</v>
      </c>
      <c r="H68" s="50">
        <f>COUNTIFS('Initiative Log'!$D:$D,B68,'Initiative Log'!$K:$K,"Completed")</f>
        <v>0</v>
      </c>
      <c r="I68" s="50">
        <f>SUMIFS('Initiative Log'!$P:$P,'Initiative Log'!$D:$D,B68,'Initiative Log'!$K:$K,"Completed")</f>
        <v>0</v>
      </c>
      <c r="J68" s="50">
        <f>SUMIFS('Initiative Log'!$Q:$Q,'Initiative Log'!$D:$D,B68,'Initiative Log'!$K:$K,"Completed")</f>
        <v>0</v>
      </c>
      <c r="K68" s="51">
        <f>SUMIFS('Initiative Log'!$V:$V,'Initiative Log'!$D:$D,B68,'Initiative Log'!$K:$K,"Completed")</f>
        <v>0</v>
      </c>
      <c r="L68" s="51">
        <f>SUMIFS('Initiative Log'!$O:$O,'Initiative Log'!$D:$D,B68)</f>
        <v>0</v>
      </c>
      <c r="M68" s="52">
        <f t="shared" si="2"/>
        <v>0</v>
      </c>
      <c r="N68" s="52" t="str">
        <f t="shared" si="3"/>
        <v/>
      </c>
      <c r="O68" s="50">
        <f>SUMIFS('Initiative Log'!$Y:$Y,'Initiative Log'!$D:$D,B68,'Initiative Log'!$K:$K,"Completed")</f>
        <v>0</v>
      </c>
      <c r="P68" s="50">
        <f>SUMIFS('Initiative Log'!$Z:$Z,'Initiative Log'!$D:$D,B68,'Initiative Log'!$K:$K,"Completed")</f>
        <v>0</v>
      </c>
    </row>
    <row r="69" spans="2:16" ht="15" customHeight="1" thickBot="1" x14ac:dyDescent="0.4">
      <c r="B69" s="49" t="s">
        <v>466</v>
      </c>
      <c r="C69" s="45" t="str">
        <f>IFERROR(VLOOKUP(B69,'Portfolio List'!$B$4:$I$76,5,FALSE()),"")</f>
        <v>Fund 6</v>
      </c>
      <c r="D69" s="45" t="str">
        <f>IFERROR(VLOOKUP(B69,'Portfolio List'!$B$4:$I$76,6,FALSE()),"")</f>
        <v>Region 3</v>
      </c>
      <c r="E69" s="45" t="str">
        <f>IFERROR(VLOOKUP(B69,'Portfolio List'!$B$4:$I$76,7,FALSE()),"")</f>
        <v>State 5</v>
      </c>
      <c r="F69" s="46">
        <f>IFERROR(VLOOKUP(B69,'Portfolio List'!$B$4:$I$76,4,FALSE()),"")</f>
        <v>101</v>
      </c>
      <c r="G69" s="50">
        <f>COUNTIF('Initiative Log'!$D:$D,B69)</f>
        <v>0</v>
      </c>
      <c r="H69" s="50">
        <f>COUNTIFS('Initiative Log'!$D:$D,B69,'Initiative Log'!$K:$K,"Completed")</f>
        <v>0</v>
      </c>
      <c r="I69" s="50">
        <f>SUMIFS('Initiative Log'!$P:$P,'Initiative Log'!$D:$D,B69,'Initiative Log'!$K:$K,"Completed")</f>
        <v>0</v>
      </c>
      <c r="J69" s="50">
        <f>SUMIFS('Initiative Log'!$Q:$Q,'Initiative Log'!$D:$D,B69,'Initiative Log'!$K:$K,"Completed")</f>
        <v>0</v>
      </c>
      <c r="K69" s="51">
        <f>SUMIFS('Initiative Log'!$V:$V,'Initiative Log'!$D:$D,B69,'Initiative Log'!$K:$K,"Completed")</f>
        <v>0</v>
      </c>
      <c r="L69" s="51">
        <f>SUMIFS('Initiative Log'!$O:$O,'Initiative Log'!$D:$D,B69)</f>
        <v>0</v>
      </c>
      <c r="M69" s="52">
        <f t="shared" ref="M69:M77" si="4">IFERROR(I69/F69,0)</f>
        <v>0</v>
      </c>
      <c r="N69" s="52" t="str">
        <f t="shared" ref="N69:N77" si="5">IFERROR(IF(OR(L69&lt;=0,K69&lt;=0),"",L69/K69),"-")</f>
        <v/>
      </c>
      <c r="O69" s="50">
        <f>SUMIFS('Initiative Log'!$Y:$Y,'Initiative Log'!$D:$D,B69,'Initiative Log'!$K:$K,"Completed")</f>
        <v>0</v>
      </c>
      <c r="P69" s="50">
        <f>SUMIFS('Initiative Log'!$Z:$Z,'Initiative Log'!$D:$D,B69,'Initiative Log'!$K:$K,"Completed")</f>
        <v>0</v>
      </c>
    </row>
    <row r="70" spans="2:16" ht="15" customHeight="1" thickBot="1" x14ac:dyDescent="0.4">
      <c r="B70" s="49" t="s">
        <v>467</v>
      </c>
      <c r="C70" s="45" t="str">
        <f>IFERROR(VLOOKUP(B70,'Portfolio List'!$B$4:$I$76,5,FALSE()),"")</f>
        <v>Fund 6</v>
      </c>
      <c r="D70" s="45" t="str">
        <f>IFERROR(VLOOKUP(B70,'Portfolio List'!$B$4:$I$76,6,FALSE()),"")</f>
        <v>Region 3</v>
      </c>
      <c r="E70" s="45" t="str">
        <f>IFERROR(VLOOKUP(B70,'Portfolio List'!$B$4:$I$76,7,FALSE()),"")</f>
        <v>State 5</v>
      </c>
      <c r="F70" s="46">
        <f>IFERROR(VLOOKUP(B70,'Portfolio List'!$B$4:$I$76,4,FALSE()),"")</f>
        <v>90</v>
      </c>
      <c r="G70" s="50">
        <f>COUNTIF('Initiative Log'!$D:$D,B70)</f>
        <v>0</v>
      </c>
      <c r="H70" s="50">
        <f>COUNTIFS('Initiative Log'!$D:$D,B70,'Initiative Log'!$K:$K,"Completed")</f>
        <v>0</v>
      </c>
      <c r="I70" s="50">
        <f>SUMIFS('Initiative Log'!$P:$P,'Initiative Log'!$D:$D,B70,'Initiative Log'!$K:$K,"Completed")</f>
        <v>0</v>
      </c>
      <c r="J70" s="50">
        <f>SUMIFS('Initiative Log'!$Q:$Q,'Initiative Log'!$D:$D,B70,'Initiative Log'!$K:$K,"Completed")</f>
        <v>0</v>
      </c>
      <c r="K70" s="51">
        <f>SUMIFS('Initiative Log'!$V:$V,'Initiative Log'!$D:$D,B70,'Initiative Log'!$K:$K,"Completed")</f>
        <v>0</v>
      </c>
      <c r="L70" s="51">
        <f>SUMIFS('Initiative Log'!$O:$O,'Initiative Log'!$D:$D,B70)</f>
        <v>0</v>
      </c>
      <c r="M70" s="52">
        <f t="shared" si="4"/>
        <v>0</v>
      </c>
      <c r="N70" s="52" t="str">
        <f t="shared" si="5"/>
        <v/>
      </c>
      <c r="O70" s="50">
        <f>SUMIFS('Initiative Log'!$Y:$Y,'Initiative Log'!$D:$D,B70,'Initiative Log'!$K:$K,"Completed")</f>
        <v>0</v>
      </c>
      <c r="P70" s="50">
        <f>SUMIFS('Initiative Log'!$Z:$Z,'Initiative Log'!$D:$D,B70,'Initiative Log'!$K:$K,"Completed")</f>
        <v>0</v>
      </c>
    </row>
    <row r="71" spans="2:16" ht="15" customHeight="1" thickBot="1" x14ac:dyDescent="0.4">
      <c r="B71" s="49" t="s">
        <v>468</v>
      </c>
      <c r="C71" s="45" t="str">
        <f>IFERROR(VLOOKUP(B71,'Portfolio List'!$B$4:$I$76,5,FALSE()),"")</f>
        <v>Fund 6</v>
      </c>
      <c r="D71" s="45" t="str">
        <f>IFERROR(VLOOKUP(B71,'Portfolio List'!$B$4:$I$76,6,FALSE()),"")</f>
        <v>Region 4</v>
      </c>
      <c r="E71" s="45" t="str">
        <f>IFERROR(VLOOKUP(B71,'Portfolio List'!$B$4:$I$76,7,FALSE()),"")</f>
        <v>State 3</v>
      </c>
      <c r="F71" s="46">
        <f>IFERROR(VLOOKUP(B71,'Portfolio List'!$B$4:$I$76,4,FALSE()),"")</f>
        <v>136</v>
      </c>
      <c r="G71" s="50">
        <f>COUNTIF('Initiative Log'!$D:$D,B71)</f>
        <v>0</v>
      </c>
      <c r="H71" s="50">
        <f>COUNTIFS('Initiative Log'!$D:$D,B71,'Initiative Log'!$K:$K,"Completed")</f>
        <v>0</v>
      </c>
      <c r="I71" s="50">
        <f>SUMIFS('Initiative Log'!$P:$P,'Initiative Log'!$D:$D,B71,'Initiative Log'!$K:$K,"Completed")</f>
        <v>0</v>
      </c>
      <c r="J71" s="50">
        <f>SUMIFS('Initiative Log'!$Q:$Q,'Initiative Log'!$D:$D,B71,'Initiative Log'!$K:$K,"Completed")</f>
        <v>0</v>
      </c>
      <c r="K71" s="51">
        <f>SUMIFS('Initiative Log'!$V:$V,'Initiative Log'!$D:$D,B71,'Initiative Log'!$K:$K,"Completed")</f>
        <v>0</v>
      </c>
      <c r="L71" s="51">
        <f>SUMIFS('Initiative Log'!$O:$O,'Initiative Log'!$D:$D,B71)</f>
        <v>0</v>
      </c>
      <c r="M71" s="52">
        <f t="shared" si="4"/>
        <v>0</v>
      </c>
      <c r="N71" s="52" t="str">
        <f t="shared" si="5"/>
        <v/>
      </c>
      <c r="O71" s="50">
        <f>SUMIFS('Initiative Log'!$Y:$Y,'Initiative Log'!$D:$D,B71,'Initiative Log'!$K:$K,"Completed")</f>
        <v>0</v>
      </c>
      <c r="P71" s="50">
        <f>SUMIFS('Initiative Log'!$Z:$Z,'Initiative Log'!$D:$D,B71,'Initiative Log'!$K:$K,"Completed")</f>
        <v>0</v>
      </c>
    </row>
    <row r="72" spans="2:16" ht="15" customHeight="1" thickBot="1" x14ac:dyDescent="0.4">
      <c r="B72" s="49" t="s">
        <v>469</v>
      </c>
      <c r="C72" s="45" t="str">
        <f>IFERROR(VLOOKUP(B72,'Portfolio List'!$B$4:$I$76,5,FALSE()),"")</f>
        <v>Fund 6</v>
      </c>
      <c r="D72" s="45" t="str">
        <f>IFERROR(VLOOKUP(B72,'Portfolio List'!$B$4:$I$76,6,FALSE()),"")</f>
        <v>Region 4</v>
      </c>
      <c r="E72" s="45" t="str">
        <f>IFERROR(VLOOKUP(B72,'Portfolio List'!$B$4:$I$76,7,FALSE()),"")</f>
        <v>State 3</v>
      </c>
      <c r="F72" s="46">
        <f>IFERROR(VLOOKUP(B72,'Portfolio List'!$B$4:$I$76,4,FALSE()),"")</f>
        <v>372</v>
      </c>
      <c r="G72" s="50">
        <f>COUNTIF('Initiative Log'!$D:$D,B72)</f>
        <v>0</v>
      </c>
      <c r="H72" s="50">
        <f>COUNTIFS('Initiative Log'!$D:$D,B72,'Initiative Log'!$K:$K,"Completed")</f>
        <v>0</v>
      </c>
      <c r="I72" s="50">
        <f>SUMIFS('Initiative Log'!$P:$P,'Initiative Log'!$D:$D,B72,'Initiative Log'!$K:$K,"Completed")</f>
        <v>0</v>
      </c>
      <c r="J72" s="50">
        <f>SUMIFS('Initiative Log'!$Q:$Q,'Initiative Log'!$D:$D,B72,'Initiative Log'!$K:$K,"Completed")</f>
        <v>0</v>
      </c>
      <c r="K72" s="51">
        <f>SUMIFS('Initiative Log'!$V:$V,'Initiative Log'!$D:$D,B72,'Initiative Log'!$K:$K,"Completed")</f>
        <v>0</v>
      </c>
      <c r="L72" s="51">
        <f>SUMIFS('Initiative Log'!$O:$O,'Initiative Log'!$D:$D,B72)</f>
        <v>0</v>
      </c>
      <c r="M72" s="52">
        <f t="shared" si="4"/>
        <v>0</v>
      </c>
      <c r="N72" s="52" t="str">
        <f t="shared" si="5"/>
        <v/>
      </c>
      <c r="O72" s="50">
        <f>SUMIFS('Initiative Log'!$Y:$Y,'Initiative Log'!$D:$D,B72,'Initiative Log'!$K:$K,"Completed")</f>
        <v>0</v>
      </c>
      <c r="P72" s="50">
        <f>SUMIFS('Initiative Log'!$Z:$Z,'Initiative Log'!$D:$D,B72,'Initiative Log'!$K:$K,"Completed")</f>
        <v>0</v>
      </c>
    </row>
    <row r="73" spans="2:16" ht="15" customHeight="1" thickBot="1" x14ac:dyDescent="0.4">
      <c r="B73" s="49" t="s">
        <v>470</v>
      </c>
      <c r="C73" s="45" t="str">
        <f>IFERROR(VLOOKUP(B73,'Portfolio List'!$B$4:$I$76,5,FALSE()),"")</f>
        <v>Fund 6</v>
      </c>
      <c r="D73" s="45" t="str">
        <f>IFERROR(VLOOKUP(B73,'Portfolio List'!$B$4:$I$76,6,FALSE()),"")</f>
        <v>Region 1</v>
      </c>
      <c r="E73" s="45" t="str">
        <f>IFERROR(VLOOKUP(B73,'Portfolio List'!$B$4:$I$76,7,FALSE()),"")</f>
        <v>State 1</v>
      </c>
      <c r="F73" s="46">
        <f>IFERROR(VLOOKUP(B73,'Portfolio List'!$B$4:$I$76,4,FALSE()),"")</f>
        <v>97</v>
      </c>
      <c r="G73" s="50">
        <f>COUNTIF('Initiative Log'!$D:$D,B73)</f>
        <v>0</v>
      </c>
      <c r="H73" s="50">
        <f>COUNTIFS('Initiative Log'!$D:$D,B73,'Initiative Log'!$K:$K,"Completed")</f>
        <v>0</v>
      </c>
      <c r="I73" s="50">
        <f>SUMIFS('Initiative Log'!$P:$P,'Initiative Log'!$D:$D,B73,'Initiative Log'!$K:$K,"Completed")</f>
        <v>0</v>
      </c>
      <c r="J73" s="50">
        <f>SUMIFS('Initiative Log'!$Q:$Q,'Initiative Log'!$D:$D,B73,'Initiative Log'!$K:$K,"Completed")</f>
        <v>0</v>
      </c>
      <c r="K73" s="51">
        <f>SUMIFS('Initiative Log'!$V:$V,'Initiative Log'!$D:$D,B73,'Initiative Log'!$K:$K,"Completed")</f>
        <v>0</v>
      </c>
      <c r="L73" s="51">
        <f>SUMIFS('Initiative Log'!$O:$O,'Initiative Log'!$D:$D,B73)</f>
        <v>0</v>
      </c>
      <c r="M73" s="52">
        <f t="shared" si="4"/>
        <v>0</v>
      </c>
      <c r="N73" s="52" t="str">
        <f t="shared" si="5"/>
        <v/>
      </c>
      <c r="O73" s="50">
        <f>SUMIFS('Initiative Log'!$Y:$Y,'Initiative Log'!$D:$D,B73,'Initiative Log'!$K:$K,"Completed")</f>
        <v>0</v>
      </c>
      <c r="P73" s="50">
        <f>SUMIFS('Initiative Log'!$Z:$Z,'Initiative Log'!$D:$D,B73,'Initiative Log'!$K:$K,"Completed")</f>
        <v>0</v>
      </c>
    </row>
    <row r="74" spans="2:16" ht="15" customHeight="1" thickBot="1" x14ac:dyDescent="0.4">
      <c r="B74" s="49" t="s">
        <v>471</v>
      </c>
      <c r="C74" s="45" t="str">
        <f>IFERROR(VLOOKUP(B74,'Portfolio List'!$B$4:$I$76,5,FALSE()),"")</f>
        <v>Fund 6</v>
      </c>
      <c r="D74" s="45" t="str">
        <f>IFERROR(VLOOKUP(B74,'Portfolio List'!$B$4:$I$76,6,FALSE()),"")</f>
        <v>Region 1</v>
      </c>
      <c r="E74" s="45" t="str">
        <f>IFERROR(VLOOKUP(B74,'Portfolio List'!$B$4:$I$76,7,FALSE()),"")</f>
        <v>State 1</v>
      </c>
      <c r="F74" s="46">
        <f>IFERROR(VLOOKUP(B74,'Portfolio List'!$B$4:$I$76,4,FALSE()),"")</f>
        <v>84</v>
      </c>
      <c r="G74" s="50">
        <f>COUNTIF('Initiative Log'!$D:$D,B74)</f>
        <v>0</v>
      </c>
      <c r="H74" s="50">
        <f>COUNTIFS('Initiative Log'!$D:$D,B74,'Initiative Log'!$K:$K,"Completed")</f>
        <v>0</v>
      </c>
      <c r="I74" s="50">
        <f>SUMIFS('Initiative Log'!$P:$P,'Initiative Log'!$D:$D,B74,'Initiative Log'!$K:$K,"Completed")</f>
        <v>0</v>
      </c>
      <c r="J74" s="50">
        <f>SUMIFS('Initiative Log'!$Q:$Q,'Initiative Log'!$D:$D,B74,'Initiative Log'!$K:$K,"Completed")</f>
        <v>0</v>
      </c>
      <c r="K74" s="51">
        <f>SUMIFS('Initiative Log'!$V:$V,'Initiative Log'!$D:$D,B74,'Initiative Log'!$K:$K,"Completed")</f>
        <v>0</v>
      </c>
      <c r="L74" s="51">
        <f>SUMIFS('Initiative Log'!$O:$O,'Initiative Log'!$D:$D,B74)</f>
        <v>0</v>
      </c>
      <c r="M74" s="52">
        <f t="shared" si="4"/>
        <v>0</v>
      </c>
      <c r="N74" s="52" t="str">
        <f t="shared" si="5"/>
        <v/>
      </c>
      <c r="O74" s="50">
        <f>SUMIFS('Initiative Log'!$Y:$Y,'Initiative Log'!$D:$D,B74,'Initiative Log'!$K:$K,"Completed")</f>
        <v>0</v>
      </c>
      <c r="P74" s="50">
        <f>SUMIFS('Initiative Log'!$Z:$Z,'Initiative Log'!$D:$D,B74,'Initiative Log'!$K:$K,"Completed")</f>
        <v>0</v>
      </c>
    </row>
    <row r="75" spans="2:16" ht="15" customHeight="1" thickBot="1" x14ac:dyDescent="0.4">
      <c r="B75" s="49" t="s">
        <v>472</v>
      </c>
      <c r="C75" s="45" t="str">
        <f>IFERROR(VLOOKUP(B75,'Portfolio List'!$B$4:$I$76,5,FALSE()),"")</f>
        <v>Fund 6</v>
      </c>
      <c r="D75" s="45" t="str">
        <f>IFERROR(VLOOKUP(B75,'Portfolio List'!$B$4:$I$76,6,FALSE()),"")</f>
        <v>Region 1</v>
      </c>
      <c r="E75" s="45" t="str">
        <f>IFERROR(VLOOKUP(B75,'Portfolio List'!$B$4:$I$76,7,FALSE()),"")</f>
        <v>State 1</v>
      </c>
      <c r="F75" s="46">
        <f>IFERROR(VLOOKUP(B75,'Portfolio List'!$B$4:$I$76,4,FALSE()),"")</f>
        <v>65</v>
      </c>
      <c r="G75" s="50">
        <f>COUNTIF('Initiative Log'!$D:$D,B75)</f>
        <v>0</v>
      </c>
      <c r="H75" s="50">
        <f>COUNTIFS('Initiative Log'!$D:$D,B75,'Initiative Log'!$K:$K,"Completed")</f>
        <v>0</v>
      </c>
      <c r="I75" s="50">
        <f>SUMIFS('Initiative Log'!$P:$P,'Initiative Log'!$D:$D,B75,'Initiative Log'!$K:$K,"Completed")</f>
        <v>0</v>
      </c>
      <c r="J75" s="50">
        <f>SUMIFS('Initiative Log'!$Q:$Q,'Initiative Log'!$D:$D,B75,'Initiative Log'!$K:$K,"Completed")</f>
        <v>0</v>
      </c>
      <c r="K75" s="51">
        <f>SUMIFS('Initiative Log'!$V:$V,'Initiative Log'!$D:$D,B75,'Initiative Log'!$K:$K,"Completed")</f>
        <v>0</v>
      </c>
      <c r="L75" s="51">
        <f>SUMIFS('Initiative Log'!$O:$O,'Initiative Log'!$D:$D,B75)</f>
        <v>0</v>
      </c>
      <c r="M75" s="52">
        <f t="shared" si="4"/>
        <v>0</v>
      </c>
      <c r="N75" s="52" t="str">
        <f t="shared" si="5"/>
        <v/>
      </c>
      <c r="O75" s="50">
        <f>SUMIFS('Initiative Log'!$Y:$Y,'Initiative Log'!$D:$D,B75,'Initiative Log'!$K:$K,"Completed")</f>
        <v>0</v>
      </c>
      <c r="P75" s="50">
        <f>SUMIFS('Initiative Log'!$Z:$Z,'Initiative Log'!$D:$D,B75,'Initiative Log'!$K:$K,"Completed")</f>
        <v>0</v>
      </c>
    </row>
    <row r="76" spans="2:16" ht="15" customHeight="1" thickBot="1" x14ac:dyDescent="0.4">
      <c r="B76" s="49" t="s">
        <v>473</v>
      </c>
      <c r="C76" s="45" t="str">
        <f>IFERROR(VLOOKUP(B76,'Portfolio List'!$B$4:$I$76,5,FALSE()),"")</f>
        <v>Fund 6</v>
      </c>
      <c r="D76" s="45" t="str">
        <f>IFERROR(VLOOKUP(B76,'Portfolio List'!$B$4:$I$76,6,FALSE()),"")</f>
        <v>Region 1</v>
      </c>
      <c r="E76" s="45" t="str">
        <f>IFERROR(VLOOKUP(B76,'Portfolio List'!$B$4:$I$76,7,FALSE()),"")</f>
        <v>State 1</v>
      </c>
      <c r="F76" s="46">
        <f>IFERROR(VLOOKUP(B76,'Portfolio List'!$B$4:$I$76,4,FALSE()),"")</f>
        <v>24</v>
      </c>
      <c r="G76" s="50">
        <f>COUNTIF('Initiative Log'!$D:$D,B76)</f>
        <v>0</v>
      </c>
      <c r="H76" s="50">
        <f>COUNTIFS('Initiative Log'!$D:$D,B76,'Initiative Log'!$K:$K,"Completed")</f>
        <v>0</v>
      </c>
      <c r="I76" s="50">
        <f>SUMIFS('Initiative Log'!$P:$P,'Initiative Log'!$D:$D,B76,'Initiative Log'!$K:$K,"Completed")</f>
        <v>0</v>
      </c>
      <c r="J76" s="50">
        <f>SUMIFS('Initiative Log'!$Q:$Q,'Initiative Log'!$D:$D,B76,'Initiative Log'!$K:$K,"Completed")</f>
        <v>0</v>
      </c>
      <c r="K76" s="51">
        <f>SUMIFS('Initiative Log'!$V:$V,'Initiative Log'!$D:$D,B76,'Initiative Log'!$K:$K,"Completed")</f>
        <v>0</v>
      </c>
      <c r="L76" s="51">
        <f>SUMIFS('Initiative Log'!$O:$O,'Initiative Log'!$D:$D,B76)</f>
        <v>0</v>
      </c>
      <c r="M76" s="52">
        <f t="shared" si="4"/>
        <v>0</v>
      </c>
      <c r="N76" s="52" t="str">
        <f t="shared" si="5"/>
        <v/>
      </c>
      <c r="O76" s="50">
        <f>SUMIFS('Initiative Log'!$Y:$Y,'Initiative Log'!$D:$D,B76,'Initiative Log'!$K:$K,"Completed")</f>
        <v>0</v>
      </c>
      <c r="P76" s="50">
        <f>SUMIFS('Initiative Log'!$Z:$Z,'Initiative Log'!$D:$D,B76,'Initiative Log'!$K:$K,"Completed")</f>
        <v>0</v>
      </c>
    </row>
    <row r="77" spans="2:16" ht="15" customHeight="1" x14ac:dyDescent="0.35">
      <c r="B77" s="53" t="s">
        <v>474</v>
      </c>
      <c r="C77" s="45" t="str">
        <f>IFERROR(VLOOKUP(B77,'Portfolio List'!$B$4:$I$76,5,FALSE()),"")</f>
        <v>Fund 7</v>
      </c>
      <c r="D77" s="45" t="str">
        <f>IFERROR(VLOOKUP(B77,'Portfolio List'!$B$4:$I$76,6,FALSE()),"")</f>
        <v>Region 8</v>
      </c>
      <c r="E77" s="45" t="str">
        <f>IFERROR(VLOOKUP(B77,'Portfolio List'!$B$4:$I$76,7,FALSE()),"")</f>
        <v>State 1</v>
      </c>
      <c r="F77" s="46">
        <f>IFERROR(VLOOKUP(B77,'Portfolio List'!$B$4:$I$76,4,FALSE()),"")</f>
        <v>750</v>
      </c>
      <c r="G77" s="54">
        <f>COUNTIF('Initiative Log'!$D:$D,B77)</f>
        <v>10</v>
      </c>
      <c r="H77" s="54">
        <f>COUNTIFS('Initiative Log'!$D:$D,B77,'Initiative Log'!$K:$K,"Completed")</f>
        <v>10</v>
      </c>
      <c r="I77" s="54">
        <f>SUMIFS('Initiative Log'!$P:$P,'Initiative Log'!$D:$D,B77,'Initiative Log'!$K:$K,"Completed")</f>
        <v>1180312.5</v>
      </c>
      <c r="J77" s="54">
        <f>SUMIFS('Initiative Log'!$Q:$Q,'Initiative Log'!$D:$D,B77,'Initiative Log'!$K:$K,"Completed")</f>
        <v>5418750</v>
      </c>
      <c r="K77" s="55">
        <f>SUMIFS('Initiative Log'!$V:$V,'Initiative Log'!$D:$D,B77,'Initiative Log'!$K:$K,"Completed")</f>
        <v>303018.75</v>
      </c>
      <c r="L77" s="55">
        <f>SUMIFS('Initiative Log'!$O:$O,'Initiative Log'!$D:$D,B77)</f>
        <v>0</v>
      </c>
      <c r="M77" s="56">
        <f t="shared" si="4"/>
        <v>1573.75</v>
      </c>
      <c r="N77" s="56" t="str">
        <f t="shared" si="5"/>
        <v/>
      </c>
      <c r="O77" s="54">
        <f>SUMIFS('Initiative Log'!$Y:$Y,'Initiative Log'!$D:$D,B77,'Initiative Log'!$K:$K,"Completed")</f>
        <v>20418750</v>
      </c>
      <c r="P77" s="54">
        <f>SUMIFS('Initiative Log'!$Z:$Z,'Initiative Log'!$D:$D,B77,'Initiative Log'!$K:$K,"Completed")</f>
        <v>15000000</v>
      </c>
    </row>
    <row r="78" spans="2:16" ht="13.5" customHeight="1" x14ac:dyDescent="0.35">
      <c r="B78" s="57" t="s">
        <v>38</v>
      </c>
      <c r="C78" s="58"/>
      <c r="D78" s="58"/>
      <c r="E78" s="58"/>
      <c r="F78" s="59">
        <f t="shared" ref="F78:L78" si="6">SUM(F5:F77)</f>
        <v>13899</v>
      </c>
      <c r="G78" s="59">
        <f t="shared" si="6"/>
        <v>10</v>
      </c>
      <c r="H78" s="59">
        <f t="shared" si="6"/>
        <v>10</v>
      </c>
      <c r="I78" s="59">
        <f t="shared" si="6"/>
        <v>1180312.5</v>
      </c>
      <c r="J78" s="59">
        <f t="shared" si="6"/>
        <v>5418750</v>
      </c>
      <c r="K78" s="60">
        <f t="shared" si="6"/>
        <v>303018.75</v>
      </c>
      <c r="L78" s="60">
        <f t="shared" si="6"/>
        <v>0</v>
      </c>
      <c r="M78" s="61"/>
      <c r="N78" s="61"/>
      <c r="O78" s="62">
        <f>SUM(O5:O77)</f>
        <v>20418750</v>
      </c>
      <c r="P78" s="62">
        <f>SUM(P5:P77)</f>
        <v>15000000</v>
      </c>
    </row>
  </sheetData>
  <mergeCells count="1">
    <mergeCell ref="B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D9F1"/>
  </sheetPr>
  <dimension ref="B1:AF205"/>
  <sheetViews>
    <sheetView zoomScale="95" zoomScaleNormal="95" workbookViewId="0">
      <selection activeCell="X6" sqref="X6:X15"/>
    </sheetView>
  </sheetViews>
  <sheetFormatPr defaultColWidth="8.6328125" defaultRowHeight="14.5" outlineLevelCol="1" x14ac:dyDescent="0.35"/>
  <cols>
    <col min="1" max="1" width="4.81640625" customWidth="1"/>
    <col min="2" max="2" width="5" customWidth="1"/>
    <col min="3" max="3" width="13" customWidth="1"/>
    <col min="4" max="4" width="26" customWidth="1"/>
    <col min="5" max="5" width="10" customWidth="1"/>
    <col min="6" max="6" width="15" customWidth="1"/>
    <col min="7" max="7" width="7" customWidth="1"/>
    <col min="8" max="8" width="11" customWidth="1"/>
    <col min="9" max="9" width="28" customWidth="1"/>
    <col min="10" max="10" width="12" customWidth="1"/>
    <col min="11" max="11" width="14" customWidth="1"/>
    <col min="12" max="12" width="15" customWidth="1"/>
    <col min="13" max="13" width="7" customWidth="1"/>
    <col min="14" max="14" width="7.453125" style="181" customWidth="1"/>
    <col min="15" max="15" width="15" customWidth="1"/>
    <col min="16" max="17" width="14" customWidth="1"/>
    <col min="18" max="19" width="12" customWidth="1"/>
    <col min="20" max="22" width="16" customWidth="1"/>
    <col min="23" max="23" width="10" customWidth="1"/>
    <col min="24" max="24" width="122.36328125" hidden="1" customWidth="1" outlineLevel="1"/>
    <col min="25" max="25" width="14" customWidth="1" collapsed="1"/>
    <col min="26" max="26" width="14" customWidth="1"/>
    <col min="27" max="28" width="8" customWidth="1"/>
    <col min="29" max="29" width="14" customWidth="1"/>
    <col min="30" max="31" width="11" customWidth="1"/>
    <col min="32" max="32" width="12" customWidth="1"/>
  </cols>
  <sheetData>
    <row r="1" spans="2:32" ht="15" customHeight="1" x14ac:dyDescent="0.35">
      <c r="N1" s="63"/>
    </row>
    <row r="2" spans="2:32" ht="30" customHeight="1" x14ac:dyDescent="0.35">
      <c r="B2" s="205" t="s">
        <v>399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</row>
    <row r="3" spans="2:32" ht="15" customHeight="1" thickBot="1" x14ac:dyDescent="0.4">
      <c r="B3" s="204" t="s">
        <v>75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</row>
    <row r="4" spans="2:32" s="11" customFormat="1" ht="15.75" customHeight="1" thickBot="1" x14ac:dyDescent="0.35">
      <c r="B4" s="64" t="s">
        <v>76</v>
      </c>
      <c r="C4" s="64" t="s">
        <v>77</v>
      </c>
      <c r="D4" s="207" t="s">
        <v>78</v>
      </c>
      <c r="E4" s="207"/>
      <c r="F4" s="207"/>
      <c r="G4" s="207"/>
      <c r="H4" s="207"/>
      <c r="I4" s="207" t="s">
        <v>79</v>
      </c>
      <c r="J4" s="207"/>
      <c r="K4" s="207" t="s">
        <v>80</v>
      </c>
      <c r="L4" s="207"/>
      <c r="M4" s="207" t="s">
        <v>81</v>
      </c>
      <c r="N4" s="207"/>
      <c r="O4" s="64" t="s">
        <v>82</v>
      </c>
      <c r="P4" s="207" t="s">
        <v>83</v>
      </c>
      <c r="Q4" s="207"/>
      <c r="R4" s="207"/>
      <c r="S4" s="207"/>
      <c r="T4" s="207" t="s">
        <v>84</v>
      </c>
      <c r="U4" s="207"/>
      <c r="V4" s="207"/>
      <c r="W4" s="64" t="s">
        <v>85</v>
      </c>
      <c r="X4" s="64" t="s">
        <v>86</v>
      </c>
      <c r="Y4" s="207" t="s">
        <v>87</v>
      </c>
      <c r="Z4" s="207"/>
      <c r="AA4" s="65" t="s">
        <v>88</v>
      </c>
      <c r="AB4" s="66"/>
      <c r="AC4" s="207" t="s">
        <v>89</v>
      </c>
      <c r="AD4" s="207"/>
      <c r="AE4" s="207"/>
      <c r="AF4" s="207"/>
    </row>
    <row r="5" spans="2:32" s="11" customFormat="1" ht="30" customHeight="1" thickBot="1" x14ac:dyDescent="0.35">
      <c r="B5" s="67" t="s">
        <v>90</v>
      </c>
      <c r="C5" s="67" t="s">
        <v>91</v>
      </c>
      <c r="D5" s="67" t="s">
        <v>65</v>
      </c>
      <c r="E5" s="67" t="s">
        <v>9</v>
      </c>
      <c r="F5" s="67" t="s">
        <v>66</v>
      </c>
      <c r="G5" s="67" t="s">
        <v>67</v>
      </c>
      <c r="H5" s="67" t="s">
        <v>68</v>
      </c>
      <c r="I5" s="67" t="s">
        <v>16</v>
      </c>
      <c r="J5" s="67" t="s">
        <v>92</v>
      </c>
      <c r="K5" s="67" t="s">
        <v>93</v>
      </c>
      <c r="L5" s="67" t="s">
        <v>94</v>
      </c>
      <c r="M5" s="67" t="s">
        <v>95</v>
      </c>
      <c r="N5" s="67" t="s">
        <v>96</v>
      </c>
      <c r="O5" s="67" t="s">
        <v>97</v>
      </c>
      <c r="P5" s="67" t="s">
        <v>43</v>
      </c>
      <c r="Q5" s="67" t="s">
        <v>44</v>
      </c>
      <c r="R5" s="67" t="s">
        <v>98</v>
      </c>
      <c r="S5" s="67" t="s">
        <v>99</v>
      </c>
      <c r="T5" s="67" t="s">
        <v>45</v>
      </c>
      <c r="U5" s="67" t="s">
        <v>36</v>
      </c>
      <c r="V5" s="67" t="s">
        <v>46</v>
      </c>
      <c r="W5" s="67" t="s">
        <v>100</v>
      </c>
      <c r="X5" s="67" t="s">
        <v>101</v>
      </c>
      <c r="Y5" s="67" t="s">
        <v>73</v>
      </c>
      <c r="Z5" s="67" t="s">
        <v>74</v>
      </c>
      <c r="AA5" s="67" t="s">
        <v>102</v>
      </c>
      <c r="AB5" s="67" t="s">
        <v>103</v>
      </c>
      <c r="AC5" s="67" t="s">
        <v>51</v>
      </c>
      <c r="AD5" s="67" t="s">
        <v>53</v>
      </c>
      <c r="AE5" s="67" t="s">
        <v>54</v>
      </c>
      <c r="AF5" s="67" t="s">
        <v>104</v>
      </c>
    </row>
    <row r="6" spans="2:32" ht="14.25" customHeight="1" thickBot="1" x14ac:dyDescent="0.4">
      <c r="B6" s="68">
        <v>1</v>
      </c>
      <c r="C6" s="69">
        <v>45974</v>
      </c>
      <c r="D6" s="70" t="s">
        <v>474</v>
      </c>
      <c r="E6" s="68" t="str">
        <f>IF(D6="","",IFERROR(VLOOKUP(D6,'Portfolio List'!$B$4:$I$76,5,FALSE()),""))</f>
        <v>Fund 7</v>
      </c>
      <c r="F6" s="68" t="str">
        <f>IF(D6="","",IFERROR(VLOOKUP(D6,'Portfolio List'!$B$4:$I$76,6,FALSE()),""))</f>
        <v>Region 8</v>
      </c>
      <c r="G6" s="68" t="str">
        <f>IF(D6="","",IFERROR(VLOOKUP(D6,'Portfolio List'!$B$4:$I$76,7,FALSE()),""))</f>
        <v>State 1</v>
      </c>
      <c r="H6" s="71">
        <f>IF(D6="","",IFERROR(VLOOKUP(D6,'Portfolio List'!$B$4:$I$76,4,FALSE()),""))</f>
        <v>750</v>
      </c>
      <c r="I6" s="72" t="s">
        <v>21</v>
      </c>
      <c r="J6" s="68" t="str">
        <f>IF(I6="","",IF(OR(I6="LED Lighting",I6="Energy Star Refrigerator",I6="Energy Star Range",I6="Energy Star AC Unit"),"Energy",IF(OR(I6="Low-Flow Toilet",I6="Low-Flow Faucet (Bathroom)",I6="Low-Flow Faucet (Kitchen)",I6="Low-Flow Shower Head"),"Water",IF(OR(I6="Energy Star Dishwasher",I6="Energy Star Washer/Dryer"),"Both","Other"))))</f>
        <v>Energy</v>
      </c>
      <c r="K6" s="73" t="s">
        <v>105</v>
      </c>
      <c r="L6" s="69">
        <v>45974</v>
      </c>
      <c r="M6" s="74">
        <v>750</v>
      </c>
      <c r="N6" s="182">
        <v>3</v>
      </c>
      <c r="O6" s="76"/>
      <c r="P6" s="71">
        <f>IF(D6="",0,IF(I6="LED Lighting",M6*IF(AC6="Studio",Assumptions!$C$15,IF(AC6="1 Bedroom",Assumptions!$C$16,IF(AC6="2 Bedroom",Assumptions!$C$17,IF(AC6="3 Bedroom",Assumptions!$C$18,Assumptions!$C$16))))*N6*365/1000,IFERROR(VLOOKUP(I6,Assumptions!$B$40:$H$50,2,FALSE()),0)*M6))</f>
        <v>205312.5</v>
      </c>
      <c r="Q6" s="71">
        <f>IF(D6="",0,IFERROR(VLOOKUP(I6,Assumptions!$B$40:$H$50,3,FALSE()),0)*M6)</f>
        <v>0</v>
      </c>
      <c r="R6" s="77">
        <f>IF(G6="",0.2161,IFERROR(VLOOKUP(G6,Assumptions!$B$53:$C$61,2,FALSE())/100,0.2161))</f>
        <v>0.22</v>
      </c>
      <c r="S6" s="77">
        <f>IF(G6="",0,IFERROR(VLOOKUP(G6,Assumptions!$B$64:$C$72,2,FALSE())/1000,0.008))</f>
        <v>8.0000000000000002E-3</v>
      </c>
      <c r="T6" s="78">
        <f t="shared" ref="T6:T37" si="0">IF(D6="","",P6*R6)</f>
        <v>45168.75</v>
      </c>
      <c r="U6" s="78">
        <f t="shared" ref="U6:U37" si="1">IF(D6="","",Q6*S6)</f>
        <v>0</v>
      </c>
      <c r="V6" s="78">
        <f t="shared" ref="V6:V37" si="2">IF(D6="","",T6+U6)</f>
        <v>45168.75</v>
      </c>
      <c r="W6" s="79" t="str">
        <f t="shared" ref="W6:W37" si="3">IF(OR(D6="",O6="",O6&lt;=0,V6="",V6&lt;=0),"",IFERROR(O6/V6,""))</f>
        <v/>
      </c>
      <c r="X6" s="80"/>
      <c r="Y6" s="71">
        <f>IF(D6="","",IFERROR(VLOOKUP(I6,Assumptions!$B$40:$H$50,6,FALSE()),0)*M6)</f>
        <v>0</v>
      </c>
      <c r="Z6" s="71">
        <f>IF(D6="","",IFERROR(VLOOKUP(I6,Assumptions!$B$40:$H$50,7,FALSE()),0)*M6)</f>
        <v>0</v>
      </c>
      <c r="AA6" s="81">
        <f t="shared" ref="AA6:AA37" si="4">IF(L6="","",YEAR(L6))</f>
        <v>2025</v>
      </c>
      <c r="AB6" s="68" t="str">
        <f t="shared" ref="AB6:AB37" si="5">IF(L6="","","Q"&amp;INT((MONTH(L6)+2)/3))</f>
        <v>Q4</v>
      </c>
      <c r="AC6" s="75" t="s">
        <v>59</v>
      </c>
      <c r="AD6" s="82">
        <v>750</v>
      </c>
      <c r="AE6" s="82">
        <v>750</v>
      </c>
      <c r="AF6" s="83">
        <f t="shared" ref="AF6:AF37" si="6">IFERROR(AE6/AD6,"-")</f>
        <v>1</v>
      </c>
    </row>
    <row r="7" spans="2:32" ht="14.25" customHeight="1" thickBot="1" x14ac:dyDescent="0.4">
      <c r="B7" s="84">
        <f>IF($D7="","",B6+1)</f>
        <v>2</v>
      </c>
      <c r="C7" s="85">
        <v>45974</v>
      </c>
      <c r="D7" s="86" t="s">
        <v>474</v>
      </c>
      <c r="E7" s="68" t="str">
        <f>IF(D7="","",IFERROR(VLOOKUP(D7,'Portfolio List'!$B$4:$I$76,5,FALSE()),""))</f>
        <v>Fund 7</v>
      </c>
      <c r="F7" s="68" t="str">
        <f>IF(D7="","",IFERROR(VLOOKUP(D7,'Portfolio List'!$B$4:$I$76,6,FALSE()),""))</f>
        <v>Region 8</v>
      </c>
      <c r="G7" s="68" t="str">
        <f>IF(D7="","",IFERROR(VLOOKUP(D7,'Portfolio List'!$B$4:$I$76,7,FALSE()),""))</f>
        <v>State 1</v>
      </c>
      <c r="H7" s="71">
        <f>IF(D7="","",IFERROR(VLOOKUP(D7,'Portfolio List'!$B$4:$I$76,4,FALSE()),""))</f>
        <v>750</v>
      </c>
      <c r="I7" s="88" t="s">
        <v>22</v>
      </c>
      <c r="J7" s="84" t="str">
        <f t="shared" ref="J7:J70" si="7">IF(I7="","",IF(OR(I7="LED Lighting",I7="Energy Star Refrigerator",I7="Energy Star Range",I7="Energy Star AC Unit"),"Energy",IF(OR(I7="Low-Flow Toilet",I7="Low-Flow Faucet (Bathroom)",I7="Low-Flow Faucet (Kitchen)",I7="Low-Flow Shower Head"),"Water",IF(OR(I7="Energy Star Dishwasher",I7="Energy Star Washer/Dryer"),"Both","Other"))))</f>
        <v>Water</v>
      </c>
      <c r="K7" s="89" t="s">
        <v>105</v>
      </c>
      <c r="L7" s="85">
        <v>45974</v>
      </c>
      <c r="M7" s="90">
        <v>750</v>
      </c>
      <c r="N7" s="180"/>
      <c r="O7" s="92"/>
      <c r="P7" s="87">
        <f>IF(D7="",0,IF(I7="LED Lighting",M7*IF(AC7="Studio",Assumptions!$C$15,IF(AC7="1 Bedroom",Assumptions!$C$16,IF(AC7="2 Bedroom",Assumptions!$C$17,IF(AC7="3 Bedroom",Assumptions!$C$18,Assumptions!$C$16))))*N7*365/1000,IFERROR(VLOOKUP(I7,Assumptions!$B$40:$H$50,2,FALSE()),0)*M7))</f>
        <v>0</v>
      </c>
      <c r="Q7" s="87">
        <f>IF(D7="",0,IFERROR(VLOOKUP(I7,Assumptions!$B$40:$H$50,3,FALSE()),0)*M7)</f>
        <v>1500000</v>
      </c>
      <c r="R7" s="77">
        <f>IF(G7="",0.2161,IFERROR(VLOOKUP(G7,Assumptions!$B$53:$C$61,2,FALSE())/100,0.2161))</f>
        <v>0.22</v>
      </c>
      <c r="S7" s="77">
        <f>IF(G7="",0,IFERROR(VLOOKUP(G7,Assumptions!$B$64:$C$72,2,FALSE())/1000,0.008))</f>
        <v>8.0000000000000002E-3</v>
      </c>
      <c r="T7" s="93">
        <f t="shared" si="0"/>
        <v>0</v>
      </c>
      <c r="U7" s="93">
        <f t="shared" si="1"/>
        <v>12000</v>
      </c>
      <c r="V7" s="93">
        <f t="shared" si="2"/>
        <v>12000</v>
      </c>
      <c r="W7" s="94" t="str">
        <f t="shared" si="3"/>
        <v/>
      </c>
      <c r="X7" s="95"/>
      <c r="Y7" s="87">
        <f>IF(D7="","",IFERROR(VLOOKUP(I7,Assumptions!$B$40:$H$50,6,FALSE()),0)*M7)</f>
        <v>2700000</v>
      </c>
      <c r="Z7" s="87">
        <f>IF(D7="","",IFERROR(VLOOKUP(I7,Assumptions!$B$40:$H$50,7,FALSE()),0)*M7)</f>
        <v>1200000</v>
      </c>
      <c r="AA7" s="96">
        <f t="shared" si="4"/>
        <v>2025</v>
      </c>
      <c r="AB7" s="84" t="str">
        <f t="shared" si="5"/>
        <v>Q4</v>
      </c>
      <c r="AC7" s="91" t="s">
        <v>59</v>
      </c>
      <c r="AD7" s="97">
        <v>750</v>
      </c>
      <c r="AE7" s="97">
        <v>750</v>
      </c>
      <c r="AF7" s="98">
        <f t="shared" si="6"/>
        <v>1</v>
      </c>
    </row>
    <row r="8" spans="2:32" ht="14.25" customHeight="1" thickBot="1" x14ac:dyDescent="0.4">
      <c r="B8" s="84">
        <f t="shared" ref="B8:B71" si="8">IF($D8="","",B7+1)</f>
        <v>3</v>
      </c>
      <c r="C8" s="85">
        <v>45974</v>
      </c>
      <c r="D8" s="86" t="s">
        <v>474</v>
      </c>
      <c r="E8" s="68" t="str">
        <f>IF(D8="","",IFERROR(VLOOKUP(D8,'Portfolio List'!$B$4:$I$76,5,FALSE()),""))</f>
        <v>Fund 7</v>
      </c>
      <c r="F8" s="68" t="str">
        <f>IF(D8="","",IFERROR(VLOOKUP(D8,'Portfolio List'!$B$4:$I$76,6,FALSE()),""))</f>
        <v>Region 8</v>
      </c>
      <c r="G8" s="68" t="str">
        <f>IF(D8="","",IFERROR(VLOOKUP(D8,'Portfolio List'!$B$4:$I$76,7,FALSE()),""))</f>
        <v>State 1</v>
      </c>
      <c r="H8" s="71">
        <f>IF(D8="","",IFERROR(VLOOKUP(D8,'Portfolio List'!$B$4:$I$76,4,FALSE()),""))</f>
        <v>750</v>
      </c>
      <c r="I8" s="88" t="s">
        <v>23</v>
      </c>
      <c r="J8" s="84" t="str">
        <f t="shared" si="7"/>
        <v>Water</v>
      </c>
      <c r="K8" s="89" t="s">
        <v>105</v>
      </c>
      <c r="L8" s="85">
        <v>45974</v>
      </c>
      <c r="M8" s="90">
        <v>750</v>
      </c>
      <c r="N8" s="180"/>
      <c r="O8" s="92"/>
      <c r="P8" s="87">
        <f>IF(D8="",0,IF(I8="LED Lighting",M8*IF(AC8="Studio",Assumptions!$C$15,IF(AC8="1 Bedroom",Assumptions!$C$16,IF(AC8="2 Bedroom",Assumptions!$C$17,IF(AC8="3 Bedroom",Assumptions!$C$18,Assumptions!$C$16))))*N8*365/1000,IFERROR(VLOOKUP(I8,Assumptions!$B$40:$H$50,2,FALSE()),0)*M8))</f>
        <v>0</v>
      </c>
      <c r="Q8" s="87">
        <f>IF(D8="",0,IFERROR(VLOOKUP(I8,Assumptions!$B$40:$H$50,3,FALSE()),0)*M8)</f>
        <v>618750</v>
      </c>
      <c r="R8" s="77">
        <f>IF(G8="",0.2161,IFERROR(VLOOKUP(G8,Assumptions!$B$53:$C$61,2,FALSE())/100,0.2161))</f>
        <v>0.22</v>
      </c>
      <c r="S8" s="77">
        <f>IF(G8="",0,IFERROR(VLOOKUP(G8,Assumptions!$B$64:$C$72,2,FALSE())/1000,0.008))</f>
        <v>8.0000000000000002E-3</v>
      </c>
      <c r="T8" s="93">
        <f t="shared" si="0"/>
        <v>0</v>
      </c>
      <c r="U8" s="93">
        <f t="shared" si="1"/>
        <v>4950</v>
      </c>
      <c r="V8" s="93">
        <f t="shared" si="2"/>
        <v>4950</v>
      </c>
      <c r="W8" s="94" t="str">
        <f t="shared" si="3"/>
        <v/>
      </c>
      <c r="X8" s="95"/>
      <c r="Y8" s="87">
        <f>IF(D8="","",IFERROR(VLOOKUP(I8,Assumptions!$B$40:$H$50,6,FALSE()),0)*M8)</f>
        <v>1968750</v>
      </c>
      <c r="Z8" s="87">
        <f>IF(D8="","",IFERROR(VLOOKUP(I8,Assumptions!$B$40:$H$50,7,FALSE()),0)*M8)</f>
        <v>1350000</v>
      </c>
      <c r="AA8" s="96">
        <f t="shared" si="4"/>
        <v>2025</v>
      </c>
      <c r="AB8" s="84" t="str">
        <f t="shared" si="5"/>
        <v>Q4</v>
      </c>
      <c r="AC8" s="91" t="s">
        <v>59</v>
      </c>
      <c r="AD8" s="97">
        <v>750</v>
      </c>
      <c r="AE8" s="97">
        <v>750</v>
      </c>
      <c r="AF8" s="98">
        <f t="shared" si="6"/>
        <v>1</v>
      </c>
    </row>
    <row r="9" spans="2:32" ht="14.25" customHeight="1" thickBot="1" x14ac:dyDescent="0.4">
      <c r="B9" s="84">
        <f t="shared" si="8"/>
        <v>4</v>
      </c>
      <c r="C9" s="85">
        <v>45974</v>
      </c>
      <c r="D9" s="86" t="s">
        <v>474</v>
      </c>
      <c r="E9" s="68" t="str">
        <f>IF(D9="","",IFERROR(VLOOKUP(D9,'Portfolio List'!$B$4:$I$76,5,FALSE()),""))</f>
        <v>Fund 7</v>
      </c>
      <c r="F9" s="68" t="str">
        <f>IF(D9="","",IFERROR(VLOOKUP(D9,'Portfolio List'!$B$4:$I$76,6,FALSE()),""))</f>
        <v>Region 8</v>
      </c>
      <c r="G9" s="68" t="str">
        <f>IF(D9="","",IFERROR(VLOOKUP(D9,'Portfolio List'!$B$4:$I$76,7,FALSE()),""))</f>
        <v>State 1</v>
      </c>
      <c r="H9" s="71">
        <f>IF(D9="","",IFERROR(VLOOKUP(D9,'Portfolio List'!$B$4:$I$76,4,FALSE()),""))</f>
        <v>750</v>
      </c>
      <c r="I9" s="88" t="s">
        <v>24</v>
      </c>
      <c r="J9" s="84" t="str">
        <f t="shared" si="7"/>
        <v>Water</v>
      </c>
      <c r="K9" s="89" t="s">
        <v>105</v>
      </c>
      <c r="L9" s="85">
        <v>45974</v>
      </c>
      <c r="M9" s="90">
        <v>750</v>
      </c>
      <c r="N9" s="180"/>
      <c r="O9" s="92"/>
      <c r="P9" s="87">
        <f>IF(D9="",0,IF(I9="LED Lighting",M9*IF(AC9="Studio",Assumptions!$C$15,IF(AC9="1 Bedroom",Assumptions!$C$16,IF(AC9="2 Bedroom",Assumptions!$C$17,IF(AC9="3 Bedroom",Assumptions!$C$18,Assumptions!$C$16))))*N9*365/1000,IFERROR(VLOOKUP(I9,Assumptions!$B$40:$H$50,2,FALSE()),0)*M9))</f>
        <v>0</v>
      </c>
      <c r="Q9" s="87">
        <f>IF(D9="",0,IFERROR(VLOOKUP(I9,Assumptions!$B$40:$H$50,3,FALSE()),0)*M9)</f>
        <v>825000</v>
      </c>
      <c r="R9" s="77">
        <f>IF(G9="",0.2161,IFERROR(VLOOKUP(G9,Assumptions!$B$53:$C$61,2,FALSE())/100,0.2161))</f>
        <v>0.22</v>
      </c>
      <c r="S9" s="77">
        <f>IF(G9="",0,IFERROR(VLOOKUP(G9,Assumptions!$B$64:$C$72,2,FALSE())/1000,0.008))</f>
        <v>8.0000000000000002E-3</v>
      </c>
      <c r="T9" s="93">
        <f t="shared" si="0"/>
        <v>0</v>
      </c>
      <c r="U9" s="93">
        <f t="shared" si="1"/>
        <v>6600</v>
      </c>
      <c r="V9" s="93">
        <f t="shared" si="2"/>
        <v>6600</v>
      </c>
      <c r="W9" s="94" t="str">
        <f t="shared" si="3"/>
        <v/>
      </c>
      <c r="X9" s="95"/>
      <c r="Y9" s="87">
        <f>IF(D9="","",IFERROR(VLOOKUP(I9,Assumptions!$B$40:$H$50,6,FALSE()),0)*M9)</f>
        <v>2625000</v>
      </c>
      <c r="Z9" s="87">
        <f>IF(D9="","",IFERROR(VLOOKUP(I9,Assumptions!$B$40:$H$50,7,FALSE()),0)*M9)</f>
        <v>1800000</v>
      </c>
      <c r="AA9" s="96">
        <f t="shared" si="4"/>
        <v>2025</v>
      </c>
      <c r="AB9" s="84" t="str">
        <f t="shared" si="5"/>
        <v>Q4</v>
      </c>
      <c r="AC9" s="91" t="s">
        <v>59</v>
      </c>
      <c r="AD9" s="97">
        <v>750</v>
      </c>
      <c r="AE9" s="97">
        <v>750</v>
      </c>
      <c r="AF9" s="98">
        <f t="shared" si="6"/>
        <v>1</v>
      </c>
    </row>
    <row r="10" spans="2:32" ht="14.25" customHeight="1" thickBot="1" x14ac:dyDescent="0.4">
      <c r="B10" s="84">
        <f t="shared" si="8"/>
        <v>5</v>
      </c>
      <c r="C10" s="85">
        <v>45974</v>
      </c>
      <c r="D10" s="86" t="s">
        <v>474</v>
      </c>
      <c r="E10" s="68" t="str">
        <f>IF(D10="","",IFERROR(VLOOKUP(D10,'Portfolio List'!$B$4:$I$76,5,FALSE()),""))</f>
        <v>Fund 7</v>
      </c>
      <c r="F10" s="68" t="str">
        <f>IF(D10="","",IFERROR(VLOOKUP(D10,'Portfolio List'!$B$4:$I$76,6,FALSE()),""))</f>
        <v>Region 8</v>
      </c>
      <c r="G10" s="68" t="str">
        <f>IF(D10="","",IFERROR(VLOOKUP(D10,'Portfolio List'!$B$4:$I$76,7,FALSE()),""))</f>
        <v>State 1</v>
      </c>
      <c r="H10" s="71">
        <f>IF(D10="","",IFERROR(VLOOKUP(D10,'Portfolio List'!$B$4:$I$76,4,FALSE()),""))</f>
        <v>750</v>
      </c>
      <c r="I10" s="88" t="s">
        <v>25</v>
      </c>
      <c r="J10" s="84" t="str">
        <f t="shared" si="7"/>
        <v>Energy</v>
      </c>
      <c r="K10" s="89" t="s">
        <v>105</v>
      </c>
      <c r="L10" s="85">
        <v>45974</v>
      </c>
      <c r="M10" s="90">
        <v>750</v>
      </c>
      <c r="N10" s="180"/>
      <c r="O10" s="92"/>
      <c r="P10" s="87">
        <f>IF(D10="",0,IF(I10="LED Lighting",M10*IF(AC10="Studio",Assumptions!$C$15,IF(AC10="1 Bedroom",Assumptions!$C$16,IF(AC10="2 Bedroom",Assumptions!$C$17,IF(AC10="3 Bedroom",Assumptions!$C$18,Assumptions!$C$16))))*N10*365/1000,IFERROR(VLOOKUP(I10,Assumptions!$B$40:$H$50,2,FALSE()),0)*M10))</f>
        <v>150000</v>
      </c>
      <c r="Q10" s="87">
        <f>IF(D10="",0,IFERROR(VLOOKUP(I10,Assumptions!$B$40:$H$50,3,FALSE()),0)*M10)</f>
        <v>0</v>
      </c>
      <c r="R10" s="77">
        <f>IF(G10="",0.2161,IFERROR(VLOOKUP(G10,Assumptions!$B$53:$C$61,2,FALSE())/100,0.2161))</f>
        <v>0.22</v>
      </c>
      <c r="S10" s="77">
        <f>IF(G10="",0,IFERROR(VLOOKUP(G10,Assumptions!$B$64:$C$72,2,FALSE())/1000,0.008))</f>
        <v>8.0000000000000002E-3</v>
      </c>
      <c r="T10" s="93">
        <f t="shared" si="0"/>
        <v>33000</v>
      </c>
      <c r="U10" s="93">
        <f t="shared" si="1"/>
        <v>0</v>
      </c>
      <c r="V10" s="93">
        <f t="shared" si="2"/>
        <v>33000</v>
      </c>
      <c r="W10" s="94" t="str">
        <f t="shared" si="3"/>
        <v/>
      </c>
      <c r="X10" s="95"/>
      <c r="Y10" s="87">
        <f>IF(D10="","",IFERROR(VLOOKUP(I10,Assumptions!$B$40:$H$50,6,FALSE()),0)*M10)</f>
        <v>0</v>
      </c>
      <c r="Z10" s="87">
        <f>IF(D10="","",IFERROR(VLOOKUP(I10,Assumptions!$B$40:$H$50,7,FALSE()),0)*M10)</f>
        <v>0</v>
      </c>
      <c r="AA10" s="96">
        <f t="shared" si="4"/>
        <v>2025</v>
      </c>
      <c r="AB10" s="84" t="str">
        <f t="shared" si="5"/>
        <v>Q4</v>
      </c>
      <c r="AC10" s="91" t="s">
        <v>59</v>
      </c>
      <c r="AD10" s="97">
        <v>750</v>
      </c>
      <c r="AE10" s="97">
        <v>750</v>
      </c>
      <c r="AF10" s="98">
        <f t="shared" si="6"/>
        <v>1</v>
      </c>
    </row>
    <row r="11" spans="2:32" ht="14.25" customHeight="1" thickBot="1" x14ac:dyDescent="0.4">
      <c r="B11" s="84">
        <f t="shared" si="8"/>
        <v>6</v>
      </c>
      <c r="C11" s="85">
        <v>45974</v>
      </c>
      <c r="D11" s="86" t="s">
        <v>474</v>
      </c>
      <c r="E11" s="68" t="str">
        <f>IF(D11="","",IFERROR(VLOOKUP(D11,'Portfolio List'!$B$4:$I$76,5,FALSE()),""))</f>
        <v>Fund 7</v>
      </c>
      <c r="F11" s="68" t="str">
        <f>IF(D11="","",IFERROR(VLOOKUP(D11,'Portfolio List'!$B$4:$I$76,6,FALSE()),""))</f>
        <v>Region 8</v>
      </c>
      <c r="G11" s="68" t="str">
        <f>IF(D11="","",IFERROR(VLOOKUP(D11,'Portfolio List'!$B$4:$I$76,7,FALSE()),""))</f>
        <v>State 1</v>
      </c>
      <c r="H11" s="71">
        <f>IF(D11="","",IFERROR(VLOOKUP(D11,'Portfolio List'!$B$4:$I$76,4,FALSE()),""))</f>
        <v>750</v>
      </c>
      <c r="I11" s="88" t="s">
        <v>26</v>
      </c>
      <c r="J11" s="84" t="str">
        <f t="shared" si="7"/>
        <v>Energy</v>
      </c>
      <c r="K11" s="89" t="s">
        <v>105</v>
      </c>
      <c r="L11" s="85">
        <v>45974</v>
      </c>
      <c r="M11" s="90">
        <v>750</v>
      </c>
      <c r="N11" s="180"/>
      <c r="O11" s="92"/>
      <c r="P11" s="87">
        <f>IF(D11="",0,IF(I11="LED Lighting",M11*IF(AC11="Studio",Assumptions!$C$15,IF(AC11="1 Bedroom",Assumptions!$C$16,IF(AC11="2 Bedroom",Assumptions!$C$17,IF(AC11="3 Bedroom",Assumptions!$C$18,Assumptions!$C$16))))*N11*365/1000,IFERROR(VLOOKUP(I11,Assumptions!$B$40:$H$50,2,FALSE()),0)*M11))</f>
        <v>112500</v>
      </c>
      <c r="Q11" s="87">
        <f>IF(D11="",0,IFERROR(VLOOKUP(I11,Assumptions!$B$40:$H$50,3,FALSE()),0)*M11)</f>
        <v>0</v>
      </c>
      <c r="R11" s="77">
        <f>IF(G11="",0.2161,IFERROR(VLOOKUP(G11,Assumptions!$B$53:$C$61,2,FALSE())/100,0.2161))</f>
        <v>0.22</v>
      </c>
      <c r="S11" s="77">
        <f>IF(G11="",0,IFERROR(VLOOKUP(G11,Assumptions!$B$64:$C$72,2,FALSE())/1000,0.008))</f>
        <v>8.0000000000000002E-3</v>
      </c>
      <c r="T11" s="93">
        <f t="shared" si="0"/>
        <v>24750</v>
      </c>
      <c r="U11" s="93">
        <f t="shared" si="1"/>
        <v>0</v>
      </c>
      <c r="V11" s="93">
        <f t="shared" si="2"/>
        <v>24750</v>
      </c>
      <c r="W11" s="94" t="str">
        <f t="shared" si="3"/>
        <v/>
      </c>
      <c r="X11" s="95"/>
      <c r="Y11" s="87">
        <f>IF(D11="","",IFERROR(VLOOKUP(I11,Assumptions!$B$40:$H$50,6,FALSE()),0)*M11)</f>
        <v>0</v>
      </c>
      <c r="Z11" s="87">
        <f>IF(D11="","",IFERROR(VLOOKUP(I11,Assumptions!$B$40:$H$50,7,FALSE()),0)*M11)</f>
        <v>0</v>
      </c>
      <c r="AA11" s="96">
        <f t="shared" si="4"/>
        <v>2025</v>
      </c>
      <c r="AB11" s="84" t="str">
        <f t="shared" si="5"/>
        <v>Q4</v>
      </c>
      <c r="AC11" s="91" t="s">
        <v>59</v>
      </c>
      <c r="AD11" s="97">
        <v>750</v>
      </c>
      <c r="AE11" s="97">
        <v>750</v>
      </c>
      <c r="AF11" s="98">
        <f t="shared" si="6"/>
        <v>1</v>
      </c>
    </row>
    <row r="12" spans="2:32" ht="14.25" customHeight="1" thickBot="1" x14ac:dyDescent="0.4">
      <c r="B12" s="84">
        <f t="shared" si="8"/>
        <v>7</v>
      </c>
      <c r="C12" s="85">
        <v>45974</v>
      </c>
      <c r="D12" s="86" t="s">
        <v>474</v>
      </c>
      <c r="E12" s="68" t="str">
        <f>IF(D12="","",IFERROR(VLOOKUP(D12,'Portfolio List'!$B$4:$I$76,5,FALSE()),""))</f>
        <v>Fund 7</v>
      </c>
      <c r="F12" s="68" t="str">
        <f>IF(D12="","",IFERROR(VLOOKUP(D12,'Portfolio List'!$B$4:$I$76,6,FALSE()),""))</f>
        <v>Region 8</v>
      </c>
      <c r="G12" s="68" t="str">
        <f>IF(D12="","",IFERROR(VLOOKUP(D12,'Portfolio List'!$B$4:$I$76,7,FALSE()),""))</f>
        <v>State 1</v>
      </c>
      <c r="H12" s="71">
        <f>IF(D12="","",IFERROR(VLOOKUP(D12,'Portfolio List'!$B$4:$I$76,4,FALSE()),""))</f>
        <v>750</v>
      </c>
      <c r="I12" s="88" t="s">
        <v>27</v>
      </c>
      <c r="J12" s="84" t="str">
        <f t="shared" si="7"/>
        <v>Both</v>
      </c>
      <c r="K12" s="89" t="s">
        <v>105</v>
      </c>
      <c r="L12" s="85">
        <v>45974</v>
      </c>
      <c r="M12" s="90">
        <v>750</v>
      </c>
      <c r="N12" s="180"/>
      <c r="O12" s="92"/>
      <c r="P12" s="87">
        <f>IF(D12="",0,IF(I12="LED Lighting",M12*IF(AC12="Studio",Assumptions!$C$15,IF(AC12="1 Bedroom",Assumptions!$C$16,IF(AC12="2 Bedroom",Assumptions!$C$17,IF(AC12="3 Bedroom",Assumptions!$C$18,Assumptions!$C$16))))*N12*365/1000,IFERROR(VLOOKUP(I12,Assumptions!$B$40:$H$50,2,FALSE()),0)*M12))</f>
        <v>22500</v>
      </c>
      <c r="Q12" s="87">
        <f>IF(D12="",0,IFERROR(VLOOKUP(I12,Assumptions!$B$40:$H$50,3,FALSE()),0)*M12)</f>
        <v>337500</v>
      </c>
      <c r="R12" s="77">
        <f>IF(G12="",0.2161,IFERROR(VLOOKUP(G12,Assumptions!$B$53:$C$61,2,FALSE())/100,0.2161))</f>
        <v>0.22</v>
      </c>
      <c r="S12" s="77">
        <f>IF(G12="",0,IFERROR(VLOOKUP(G12,Assumptions!$B$64:$C$72,2,FALSE())/1000,0.008))</f>
        <v>8.0000000000000002E-3</v>
      </c>
      <c r="T12" s="93">
        <f t="shared" si="0"/>
        <v>4950</v>
      </c>
      <c r="U12" s="93">
        <f t="shared" si="1"/>
        <v>2700</v>
      </c>
      <c r="V12" s="93">
        <f t="shared" si="2"/>
        <v>7650</v>
      </c>
      <c r="W12" s="94" t="str">
        <f t="shared" si="3"/>
        <v/>
      </c>
      <c r="X12" s="95"/>
      <c r="Y12" s="87">
        <f>IF(D12="","",IFERROR(VLOOKUP(I12,Assumptions!$B$40:$H$50,6,FALSE()),0)*M12)</f>
        <v>3750000</v>
      </c>
      <c r="Z12" s="87">
        <f>IF(D12="","",IFERROR(VLOOKUP(I12,Assumptions!$B$40:$H$50,7,FALSE()),0)*M12)</f>
        <v>3412500</v>
      </c>
      <c r="AA12" s="96">
        <f t="shared" si="4"/>
        <v>2025</v>
      </c>
      <c r="AB12" s="84" t="str">
        <f t="shared" si="5"/>
        <v>Q4</v>
      </c>
      <c r="AC12" s="91" t="s">
        <v>59</v>
      </c>
      <c r="AD12" s="97">
        <v>750</v>
      </c>
      <c r="AE12" s="97">
        <v>750</v>
      </c>
      <c r="AF12" s="98">
        <f t="shared" si="6"/>
        <v>1</v>
      </c>
    </row>
    <row r="13" spans="2:32" ht="14.25" customHeight="1" thickBot="1" x14ac:dyDescent="0.4">
      <c r="B13" s="84">
        <f t="shared" si="8"/>
        <v>8</v>
      </c>
      <c r="C13" s="85">
        <v>45974</v>
      </c>
      <c r="D13" s="86" t="s">
        <v>474</v>
      </c>
      <c r="E13" s="68" t="str">
        <f>IF(D13="","",IFERROR(VLOOKUP(D13,'Portfolio List'!$B$4:$I$76,5,FALSE()),""))</f>
        <v>Fund 7</v>
      </c>
      <c r="F13" s="68" t="str">
        <f>IF(D13="","",IFERROR(VLOOKUP(D13,'Portfolio List'!$B$4:$I$76,6,FALSE()),""))</f>
        <v>Region 8</v>
      </c>
      <c r="G13" s="68" t="str">
        <f>IF(D13="","",IFERROR(VLOOKUP(D13,'Portfolio List'!$B$4:$I$76,7,FALSE()),""))</f>
        <v>State 1</v>
      </c>
      <c r="H13" s="71">
        <f>IF(D13="","",IFERROR(VLOOKUP(D13,'Portfolio List'!$B$4:$I$76,4,FALSE()),""))</f>
        <v>750</v>
      </c>
      <c r="I13" s="88" t="s">
        <v>28</v>
      </c>
      <c r="J13" s="84" t="str">
        <f t="shared" si="7"/>
        <v>Both</v>
      </c>
      <c r="K13" s="89" t="s">
        <v>105</v>
      </c>
      <c r="L13" s="85">
        <v>45974</v>
      </c>
      <c r="M13" s="90">
        <v>750</v>
      </c>
      <c r="N13" s="180"/>
      <c r="O13" s="92"/>
      <c r="P13" s="87">
        <f>IF(D13="",0,IF(I13="LED Lighting",M13*IF(AC13="Studio",Assumptions!$C$15,IF(AC13="1 Bedroom",Assumptions!$C$16,IF(AC13="2 Bedroom",Assumptions!$C$17,IF(AC13="3 Bedroom",Assumptions!$C$18,Assumptions!$C$16))))*N13*365/1000,IFERROR(VLOOKUP(I13,Assumptions!$B$40:$H$50,2,FALSE()),0)*M13))</f>
        <v>502500</v>
      </c>
      <c r="Q13" s="87">
        <f>IF(D13="",0,IFERROR(VLOOKUP(I13,Assumptions!$B$40:$H$50,3,FALSE()),0)*M13)</f>
        <v>112500</v>
      </c>
      <c r="R13" s="77">
        <f>IF(G13="",0.2161,IFERROR(VLOOKUP(G13,Assumptions!$B$53:$C$61,2,FALSE())/100,0.2161))</f>
        <v>0.22</v>
      </c>
      <c r="S13" s="77">
        <f>IF(G13="",0,IFERROR(VLOOKUP(G13,Assumptions!$B$64:$C$72,2,FALSE())/1000,0.008))</f>
        <v>8.0000000000000002E-3</v>
      </c>
      <c r="T13" s="93">
        <f t="shared" si="0"/>
        <v>110550</v>
      </c>
      <c r="U13" s="93">
        <f t="shared" si="1"/>
        <v>900</v>
      </c>
      <c r="V13" s="93">
        <f t="shared" si="2"/>
        <v>111450</v>
      </c>
      <c r="W13" s="94" t="str">
        <f t="shared" si="3"/>
        <v/>
      </c>
      <c r="X13" s="95"/>
      <c r="Y13" s="87">
        <f>IF(D13="","",IFERROR(VLOOKUP(I13,Assumptions!$B$40:$H$50,6,FALSE()),0)*M13)</f>
        <v>2625000</v>
      </c>
      <c r="Z13" s="87">
        <f>IF(D13="","",IFERROR(VLOOKUP(I13,Assumptions!$B$40:$H$50,7,FALSE()),0)*M13)</f>
        <v>2512500</v>
      </c>
      <c r="AA13" s="96">
        <f t="shared" si="4"/>
        <v>2025</v>
      </c>
      <c r="AB13" s="84" t="str">
        <f t="shared" si="5"/>
        <v>Q4</v>
      </c>
      <c r="AC13" s="91" t="s">
        <v>59</v>
      </c>
      <c r="AD13" s="97">
        <v>750</v>
      </c>
      <c r="AE13" s="97">
        <v>750</v>
      </c>
      <c r="AF13" s="98">
        <f t="shared" si="6"/>
        <v>1</v>
      </c>
    </row>
    <row r="14" spans="2:32" ht="14.25" customHeight="1" thickBot="1" x14ac:dyDescent="0.4">
      <c r="B14" s="84">
        <f t="shared" si="8"/>
        <v>9</v>
      </c>
      <c r="C14" s="85">
        <v>45974</v>
      </c>
      <c r="D14" s="86" t="s">
        <v>474</v>
      </c>
      <c r="E14" s="68" t="str">
        <f>IF(D14="","",IFERROR(VLOOKUP(D14,'Portfolio List'!$B$4:$I$76,5,FALSE()),""))</f>
        <v>Fund 7</v>
      </c>
      <c r="F14" s="68" t="str">
        <f>IF(D14="","",IFERROR(VLOOKUP(D14,'Portfolio List'!$B$4:$I$76,6,FALSE()),""))</f>
        <v>Region 8</v>
      </c>
      <c r="G14" s="68" t="str">
        <f>IF(D14="","",IFERROR(VLOOKUP(D14,'Portfolio List'!$B$4:$I$76,7,FALSE()),""))</f>
        <v>State 1</v>
      </c>
      <c r="H14" s="71">
        <f>IF(D14="","",IFERROR(VLOOKUP(D14,'Portfolio List'!$B$4:$I$76,4,FALSE()),""))</f>
        <v>750</v>
      </c>
      <c r="I14" s="88" t="s">
        <v>29</v>
      </c>
      <c r="J14" s="84" t="str">
        <f t="shared" si="7"/>
        <v>Energy</v>
      </c>
      <c r="K14" s="89" t="s">
        <v>105</v>
      </c>
      <c r="L14" s="85">
        <v>45974</v>
      </c>
      <c r="M14" s="90">
        <v>750</v>
      </c>
      <c r="N14" s="180"/>
      <c r="O14" s="92"/>
      <c r="P14" s="87">
        <f>IF(D14="",0,IF(I14="LED Lighting",M14*IF(AC14="Studio",Assumptions!$C$15,IF(AC14="1 Bedroom",Assumptions!$C$16,IF(AC14="2 Bedroom",Assumptions!$C$17,IF(AC14="3 Bedroom",Assumptions!$C$18,Assumptions!$C$16))))*N14*365/1000,IFERROR(VLOOKUP(I14,Assumptions!$B$40:$H$50,2,FALSE()),0)*M14))</f>
        <v>187500</v>
      </c>
      <c r="Q14" s="87">
        <f>IF(D14="",0,IFERROR(VLOOKUP(I14,Assumptions!$B$40:$H$50,3,FALSE()),0)*M14)</f>
        <v>0</v>
      </c>
      <c r="R14" s="77">
        <f>IF(G14="",0.2161,IFERROR(VLOOKUP(G14,Assumptions!$B$53:$C$61,2,FALSE())/100,0.2161))</f>
        <v>0.22</v>
      </c>
      <c r="S14" s="77">
        <f>IF(G14="",0,IFERROR(VLOOKUP(G14,Assumptions!$B$64:$C$72,2,FALSE())/1000,0.008))</f>
        <v>8.0000000000000002E-3</v>
      </c>
      <c r="T14" s="93">
        <f t="shared" si="0"/>
        <v>41250</v>
      </c>
      <c r="U14" s="93">
        <f t="shared" si="1"/>
        <v>0</v>
      </c>
      <c r="V14" s="93">
        <f t="shared" si="2"/>
        <v>41250</v>
      </c>
      <c r="W14" s="94" t="str">
        <f t="shared" si="3"/>
        <v/>
      </c>
      <c r="X14" s="95"/>
      <c r="Y14" s="87">
        <f>IF(D14="","",IFERROR(VLOOKUP(I14,Assumptions!$B$40:$H$50,6,FALSE()),0)*M14)</f>
        <v>0</v>
      </c>
      <c r="Z14" s="87">
        <f>IF(D14="","",IFERROR(VLOOKUP(I14,Assumptions!$B$40:$H$50,7,FALSE()),0)*M14)</f>
        <v>0</v>
      </c>
      <c r="AA14" s="96">
        <f t="shared" si="4"/>
        <v>2025</v>
      </c>
      <c r="AB14" s="84" t="str">
        <f t="shared" si="5"/>
        <v>Q4</v>
      </c>
      <c r="AC14" s="91" t="s">
        <v>59</v>
      </c>
      <c r="AD14" s="97">
        <v>750</v>
      </c>
      <c r="AE14" s="97">
        <v>750</v>
      </c>
      <c r="AF14" s="98">
        <f t="shared" si="6"/>
        <v>1</v>
      </c>
    </row>
    <row r="15" spans="2:32" ht="14.25" customHeight="1" thickBot="1" x14ac:dyDescent="0.4">
      <c r="B15" s="84">
        <f t="shared" si="8"/>
        <v>10</v>
      </c>
      <c r="C15" s="85">
        <v>45974</v>
      </c>
      <c r="D15" s="86" t="s">
        <v>474</v>
      </c>
      <c r="E15" s="68" t="str">
        <f>IF(D15="","",IFERROR(VLOOKUP(D15,'Portfolio List'!$B$4:$I$76,5,FALSE()),""))</f>
        <v>Fund 7</v>
      </c>
      <c r="F15" s="68" t="str">
        <f>IF(D15="","",IFERROR(VLOOKUP(D15,'Portfolio List'!$B$4:$I$76,6,FALSE()),""))</f>
        <v>Region 8</v>
      </c>
      <c r="G15" s="68" t="str">
        <f>IF(D15="","",IFERROR(VLOOKUP(D15,'Portfolio List'!$B$4:$I$76,7,FALSE()),""))</f>
        <v>State 1</v>
      </c>
      <c r="H15" s="71">
        <f>IF(D15="","",IFERROR(VLOOKUP(D15,'Portfolio List'!$B$4:$I$76,4,FALSE()),""))</f>
        <v>750</v>
      </c>
      <c r="I15" s="88" t="s">
        <v>37</v>
      </c>
      <c r="J15" s="84" t="str">
        <f t="shared" si="7"/>
        <v>Water</v>
      </c>
      <c r="K15" s="89" t="s">
        <v>105</v>
      </c>
      <c r="L15" s="85">
        <v>45974</v>
      </c>
      <c r="M15" s="90">
        <v>750</v>
      </c>
      <c r="N15" s="180"/>
      <c r="O15" s="92"/>
      <c r="P15" s="87">
        <f>IF(D15="",0,IF(I15="LED Lighting",M15*IF(AC15="Studio",Assumptions!$C$15,IF(AC15="1 Bedroom",Assumptions!$C$16,IF(AC15="2 Bedroom",Assumptions!$C$17,IF(AC15="3 Bedroom",Assumptions!$C$18,Assumptions!$C$16))))*N15*365/1000,IFERROR(VLOOKUP(I15,Assumptions!$B$40:$H$50,2,FALSE()),0)*M15))</f>
        <v>0</v>
      </c>
      <c r="Q15" s="87">
        <f>IF(D15="",0,IFERROR(VLOOKUP(I15,Assumptions!$B$40:$H$50,3,FALSE()),0)*M15)</f>
        <v>2025000</v>
      </c>
      <c r="R15" s="77">
        <f>IF(G15="",0.2161,IFERROR(VLOOKUP(G15,Assumptions!$B$53:$C$61,2,FALSE())/100,0.2161))</f>
        <v>0.22</v>
      </c>
      <c r="S15" s="77">
        <f>IF(G15="",0,IFERROR(VLOOKUP(G15,Assumptions!$B$64:$C$72,2,FALSE())/1000,0.008))</f>
        <v>8.0000000000000002E-3</v>
      </c>
      <c r="T15" s="93">
        <f t="shared" si="0"/>
        <v>0</v>
      </c>
      <c r="U15" s="93">
        <f t="shared" si="1"/>
        <v>16200</v>
      </c>
      <c r="V15" s="93">
        <f t="shared" si="2"/>
        <v>16200</v>
      </c>
      <c r="W15" s="94" t="str">
        <f t="shared" si="3"/>
        <v/>
      </c>
      <c r="X15" s="95"/>
      <c r="Y15" s="87">
        <f>IF(D15="","",IFERROR(VLOOKUP(I15,Assumptions!$B$40:$H$50,6,FALSE()),0)*M15)</f>
        <v>6750000</v>
      </c>
      <c r="Z15" s="87">
        <f>IF(D15="","",IFERROR(VLOOKUP(I15,Assumptions!$B$40:$H$50,7,FALSE()),0)*M15)</f>
        <v>4725000</v>
      </c>
      <c r="AA15" s="96">
        <f t="shared" si="4"/>
        <v>2025</v>
      </c>
      <c r="AB15" s="84" t="str">
        <f t="shared" si="5"/>
        <v>Q4</v>
      </c>
      <c r="AC15" s="91" t="s">
        <v>59</v>
      </c>
      <c r="AD15" s="97">
        <v>750</v>
      </c>
      <c r="AE15" s="97">
        <v>750</v>
      </c>
      <c r="AF15" s="98">
        <f t="shared" si="6"/>
        <v>1</v>
      </c>
    </row>
    <row r="16" spans="2:32" ht="14.25" customHeight="1" thickBot="1" x14ac:dyDescent="0.4">
      <c r="B16" s="84" t="str">
        <f t="shared" si="8"/>
        <v/>
      </c>
      <c r="C16" s="85"/>
      <c r="D16" s="91"/>
      <c r="E16" s="68" t="str">
        <f>IF(D16="","",IFERROR(VLOOKUP(D16,'Portfolio List'!$B$4:$I$76,5,FALSE()),""))</f>
        <v/>
      </c>
      <c r="F16" s="68" t="str">
        <f>IF(D16="","",IFERROR(VLOOKUP(D16,'Portfolio List'!$B$4:$I$76,6,FALSE()),""))</f>
        <v/>
      </c>
      <c r="G16" s="68" t="str">
        <f>IF(D16="","",IFERROR(VLOOKUP(D16,'Portfolio List'!$B$4:$I$76,7,FALSE()),""))</f>
        <v/>
      </c>
      <c r="H16" s="71" t="str">
        <f>IF(D16="","",IFERROR(VLOOKUP(D16,'Portfolio List'!$B$4:$I$76,4,FALSE()),""))</f>
        <v/>
      </c>
      <c r="I16" s="91"/>
      <c r="J16" s="84" t="str">
        <f t="shared" si="7"/>
        <v/>
      </c>
      <c r="K16" s="91"/>
      <c r="L16" s="85"/>
      <c r="M16" s="97"/>
      <c r="N16" s="180"/>
      <c r="O16" s="92"/>
      <c r="P16" s="87">
        <f>IF(D16="",0,IF(I16="LED Lighting",M16*IF(AC16="Studio",Assumptions!$C$15,IF(AC16="1 Bedroom",Assumptions!$C$16,IF(AC16="2 Bedroom",Assumptions!$C$17,IF(AC16="3 Bedroom",Assumptions!$C$18,Assumptions!$C$16))))*N16*365/1000,IFERROR(VLOOKUP(I16,Assumptions!$B$40:$H$50,2,FALSE()),0)*M16))</f>
        <v>0</v>
      </c>
      <c r="Q16" s="87">
        <f>IF(D16="",0,IFERROR(VLOOKUP(I16,Assumptions!$B$40:$H$50,3,FALSE()),0)*M16)</f>
        <v>0</v>
      </c>
      <c r="R16" s="77">
        <f>IF(G16="",0.2161,IFERROR(VLOOKUP(G16,Assumptions!$B$53:$C$61,2,FALSE())/100,0.2161))</f>
        <v>0.21609999999999999</v>
      </c>
      <c r="S16" s="77">
        <f>IF(G16="",0,IFERROR(VLOOKUP(G16,Assumptions!$B$64:$C$72,2,FALSE())/1000,0.008))</f>
        <v>0</v>
      </c>
      <c r="T16" s="93" t="str">
        <f t="shared" si="0"/>
        <v/>
      </c>
      <c r="U16" s="93" t="str">
        <f t="shared" si="1"/>
        <v/>
      </c>
      <c r="V16" s="93" t="str">
        <f t="shared" si="2"/>
        <v/>
      </c>
      <c r="W16" s="94" t="str">
        <f t="shared" si="3"/>
        <v/>
      </c>
      <c r="X16" s="88"/>
      <c r="Y16" s="87" t="str">
        <f>IF(D16="","",IFERROR(VLOOKUP(I16,Assumptions!$B$40:$H$50,6,FALSE()),0)*M16)</f>
        <v/>
      </c>
      <c r="Z16" s="87" t="str">
        <f>IF(D16="","",IFERROR(VLOOKUP(I16,Assumptions!$B$40:$H$50,7,FALSE()),0)*M16)</f>
        <v/>
      </c>
      <c r="AA16" s="96" t="str">
        <f t="shared" si="4"/>
        <v/>
      </c>
      <c r="AB16" s="84" t="str">
        <f t="shared" si="5"/>
        <v/>
      </c>
      <c r="AC16" s="99"/>
      <c r="AD16" s="99"/>
      <c r="AE16" s="99"/>
      <c r="AF16" s="98" t="str">
        <f t="shared" si="6"/>
        <v>-</v>
      </c>
    </row>
    <row r="17" spans="2:32" ht="14.25" customHeight="1" thickBot="1" x14ac:dyDescent="0.4">
      <c r="B17" s="84" t="str">
        <f t="shared" si="8"/>
        <v/>
      </c>
      <c r="C17" s="85"/>
      <c r="D17" s="91"/>
      <c r="E17" s="68" t="str">
        <f>IF(D17="","",IFERROR(VLOOKUP(D17,'Portfolio List'!$B$4:$I$76,5,FALSE()),""))</f>
        <v/>
      </c>
      <c r="F17" s="68" t="str">
        <f>IF(D17="","",IFERROR(VLOOKUP(D17,'Portfolio List'!$B$4:$I$76,6,FALSE()),""))</f>
        <v/>
      </c>
      <c r="G17" s="68" t="str">
        <f>IF(D17="","",IFERROR(VLOOKUP(D17,'Portfolio List'!$B$4:$I$76,7,FALSE()),""))</f>
        <v/>
      </c>
      <c r="H17" s="71" t="str">
        <f>IF(D17="","",IFERROR(VLOOKUP(D17,'Portfolio List'!$B$4:$I$76,4,FALSE()),""))</f>
        <v/>
      </c>
      <c r="I17" s="91"/>
      <c r="J17" s="84" t="str">
        <f t="shared" si="7"/>
        <v/>
      </c>
      <c r="K17" s="91"/>
      <c r="L17" s="85"/>
      <c r="M17" s="97"/>
      <c r="N17" s="180"/>
      <c r="O17" s="92"/>
      <c r="P17" s="87">
        <f>IF(D17="",0,IF(I17="LED Lighting",M17*IF(AC17="Studio",Assumptions!$C$15,IF(AC17="1 Bedroom",Assumptions!$C$16,IF(AC17="2 Bedroom",Assumptions!$C$17,IF(AC17="3 Bedroom",Assumptions!$C$18,Assumptions!$C$16))))*N17*365/1000,IFERROR(VLOOKUP(I17,Assumptions!$B$40:$H$50,2,FALSE()),0)*M17))</f>
        <v>0</v>
      </c>
      <c r="Q17" s="87">
        <f>IF(D17="",0,IFERROR(VLOOKUP(I17,Assumptions!$B$40:$H$50,3,FALSE()),0)*M17)</f>
        <v>0</v>
      </c>
      <c r="R17" s="77">
        <f>IF(G17="",0.2161,IFERROR(VLOOKUP(G17,Assumptions!$B$53:$C$61,2,FALSE())/100,0.2161))</f>
        <v>0.21609999999999999</v>
      </c>
      <c r="S17" s="77">
        <f>IF(G17="",0,IFERROR(VLOOKUP(G17,Assumptions!$B$64:$C$72,2,FALSE())/1000,0.008))</f>
        <v>0</v>
      </c>
      <c r="T17" s="93" t="str">
        <f t="shared" si="0"/>
        <v/>
      </c>
      <c r="U17" s="93" t="str">
        <f t="shared" si="1"/>
        <v/>
      </c>
      <c r="V17" s="93" t="str">
        <f t="shared" si="2"/>
        <v/>
      </c>
      <c r="W17" s="94" t="str">
        <f t="shared" si="3"/>
        <v/>
      </c>
      <c r="X17" s="88"/>
      <c r="Y17" s="87" t="str">
        <f>IF(D17="","",IFERROR(VLOOKUP(I17,Assumptions!$B$40:$H$50,6,FALSE()),0)*M17)</f>
        <v/>
      </c>
      <c r="Z17" s="87" t="str">
        <f>IF(D17="","",IFERROR(VLOOKUP(I17,Assumptions!$B$40:$H$50,7,FALSE()),0)*M17)</f>
        <v/>
      </c>
      <c r="AA17" s="96" t="str">
        <f t="shared" si="4"/>
        <v/>
      </c>
      <c r="AB17" s="84" t="str">
        <f t="shared" si="5"/>
        <v/>
      </c>
      <c r="AC17" s="99"/>
      <c r="AD17" s="99"/>
      <c r="AE17" s="99"/>
      <c r="AF17" s="98" t="str">
        <f t="shared" si="6"/>
        <v>-</v>
      </c>
    </row>
    <row r="18" spans="2:32" ht="14.25" customHeight="1" thickBot="1" x14ac:dyDescent="0.4">
      <c r="B18" s="84" t="str">
        <f t="shared" si="8"/>
        <v/>
      </c>
      <c r="C18" s="85"/>
      <c r="D18" s="91"/>
      <c r="E18" s="68" t="str">
        <f>IF(D18="","",IFERROR(VLOOKUP(D18,'Portfolio List'!$B$4:$I$76,5,FALSE()),""))</f>
        <v/>
      </c>
      <c r="F18" s="68" t="str">
        <f>IF(D18="","",IFERROR(VLOOKUP(D18,'Portfolio List'!$B$4:$I$76,6,FALSE()),""))</f>
        <v/>
      </c>
      <c r="G18" s="68" t="str">
        <f>IF(D18="","",IFERROR(VLOOKUP(D18,'Portfolio List'!$B$4:$I$76,7,FALSE()),""))</f>
        <v/>
      </c>
      <c r="H18" s="71" t="str">
        <f>IF(D18="","",IFERROR(VLOOKUP(D18,'Portfolio List'!$B$4:$I$76,4,FALSE()),""))</f>
        <v/>
      </c>
      <c r="I18" s="91"/>
      <c r="J18" s="84" t="str">
        <f t="shared" si="7"/>
        <v/>
      </c>
      <c r="K18" s="91"/>
      <c r="L18" s="85"/>
      <c r="M18" s="97"/>
      <c r="N18" s="180"/>
      <c r="O18" s="92"/>
      <c r="P18" s="87">
        <f>IF(D18="",0,IF(I18="LED Lighting",M18*IF(AC18="Studio",Assumptions!$C$15,IF(AC18="1 Bedroom",Assumptions!$C$16,IF(AC18="2 Bedroom",Assumptions!$C$17,IF(AC18="3 Bedroom",Assumptions!$C$18,Assumptions!$C$16))))*N18*365/1000,IFERROR(VLOOKUP(I18,Assumptions!$B$40:$H$50,2,FALSE()),0)*M18))</f>
        <v>0</v>
      </c>
      <c r="Q18" s="87">
        <f>IF(D18="",0,IFERROR(VLOOKUP(I18,Assumptions!$B$40:$H$50,3,FALSE()),0)*M18)</f>
        <v>0</v>
      </c>
      <c r="R18" s="77">
        <f>IF(G18="",0.2161,IFERROR(VLOOKUP(G18,Assumptions!$B$53:$C$61,2,FALSE())/100,0.2161))</f>
        <v>0.21609999999999999</v>
      </c>
      <c r="S18" s="77">
        <f>IF(G18="",0,IFERROR(VLOOKUP(G18,Assumptions!$B$64:$C$72,2,FALSE())/1000,0.008))</f>
        <v>0</v>
      </c>
      <c r="T18" s="93" t="str">
        <f t="shared" si="0"/>
        <v/>
      </c>
      <c r="U18" s="93" t="str">
        <f t="shared" si="1"/>
        <v/>
      </c>
      <c r="V18" s="93" t="str">
        <f t="shared" si="2"/>
        <v/>
      </c>
      <c r="W18" s="94" t="str">
        <f t="shared" si="3"/>
        <v/>
      </c>
      <c r="X18" s="88"/>
      <c r="Y18" s="87" t="str">
        <f>IF(D18="","",IFERROR(VLOOKUP(I18,Assumptions!$B$40:$H$50,6,FALSE()),0)*M18)</f>
        <v/>
      </c>
      <c r="Z18" s="87" t="str">
        <f>IF(D18="","",IFERROR(VLOOKUP(I18,Assumptions!$B$40:$H$50,7,FALSE()),0)*M18)</f>
        <v/>
      </c>
      <c r="AA18" s="96" t="str">
        <f t="shared" si="4"/>
        <v/>
      </c>
      <c r="AB18" s="84" t="str">
        <f t="shared" si="5"/>
        <v/>
      </c>
      <c r="AC18" s="99"/>
      <c r="AD18" s="99"/>
      <c r="AE18" s="99"/>
      <c r="AF18" s="98" t="str">
        <f t="shared" si="6"/>
        <v>-</v>
      </c>
    </row>
    <row r="19" spans="2:32" ht="14.25" customHeight="1" thickBot="1" x14ac:dyDescent="0.4">
      <c r="B19" s="84" t="str">
        <f t="shared" si="8"/>
        <v/>
      </c>
      <c r="C19" s="85"/>
      <c r="D19" s="91"/>
      <c r="E19" s="68" t="str">
        <f>IF(D19="","",IFERROR(VLOOKUP(D19,'Portfolio List'!$B$4:$I$76,5,FALSE()),""))</f>
        <v/>
      </c>
      <c r="F19" s="68" t="str">
        <f>IF(D19="","",IFERROR(VLOOKUP(D19,'Portfolio List'!$B$4:$I$76,6,FALSE()),""))</f>
        <v/>
      </c>
      <c r="G19" s="68" t="str">
        <f>IF(D19="","",IFERROR(VLOOKUP(D19,'Portfolio List'!$B$4:$I$76,7,FALSE()),""))</f>
        <v/>
      </c>
      <c r="H19" s="71" t="str">
        <f>IF(D19="","",IFERROR(VLOOKUP(D19,'Portfolio List'!$B$4:$I$76,4,FALSE()),""))</f>
        <v/>
      </c>
      <c r="I19" s="91"/>
      <c r="J19" s="84" t="str">
        <f t="shared" si="7"/>
        <v/>
      </c>
      <c r="K19" s="91"/>
      <c r="L19" s="85"/>
      <c r="M19" s="97"/>
      <c r="N19" s="180"/>
      <c r="O19" s="92"/>
      <c r="P19" s="87">
        <f>IF(D19="",0,IF(I19="LED Lighting",M19*IF(AC19="Studio",Assumptions!$C$15,IF(AC19="1 Bedroom",Assumptions!$C$16,IF(AC19="2 Bedroom",Assumptions!$C$17,IF(AC19="3 Bedroom",Assumptions!$C$18,Assumptions!$C$16))))*N19*365/1000,IFERROR(VLOOKUP(I19,Assumptions!$B$40:$H$50,2,FALSE()),0)*M19))</f>
        <v>0</v>
      </c>
      <c r="Q19" s="87">
        <f>IF(D19="",0,IFERROR(VLOOKUP(I19,Assumptions!$B$40:$H$50,3,FALSE()),0)*M19)</f>
        <v>0</v>
      </c>
      <c r="R19" s="77">
        <f>IF(G19="",0.2161,IFERROR(VLOOKUP(G19,Assumptions!$B$53:$C$61,2,FALSE())/100,0.2161))</f>
        <v>0.21609999999999999</v>
      </c>
      <c r="S19" s="77">
        <f>IF(G19="",0,IFERROR(VLOOKUP(G19,Assumptions!$B$64:$C$72,2,FALSE())/1000,0.008))</f>
        <v>0</v>
      </c>
      <c r="T19" s="93" t="str">
        <f t="shared" si="0"/>
        <v/>
      </c>
      <c r="U19" s="93" t="str">
        <f t="shared" si="1"/>
        <v/>
      </c>
      <c r="V19" s="93" t="str">
        <f t="shared" si="2"/>
        <v/>
      </c>
      <c r="W19" s="94" t="str">
        <f t="shared" si="3"/>
        <v/>
      </c>
      <c r="X19" s="88"/>
      <c r="Y19" s="87" t="str">
        <f>IF(D19="","",IFERROR(VLOOKUP(I19,Assumptions!$B$40:$H$50,6,FALSE()),0)*M19)</f>
        <v/>
      </c>
      <c r="Z19" s="87" t="str">
        <f>IF(D19="","",IFERROR(VLOOKUP(I19,Assumptions!$B$40:$H$50,7,FALSE()),0)*M19)</f>
        <v/>
      </c>
      <c r="AA19" s="96" t="str">
        <f t="shared" si="4"/>
        <v/>
      </c>
      <c r="AB19" s="84" t="str">
        <f t="shared" si="5"/>
        <v/>
      </c>
      <c r="AC19" s="99"/>
      <c r="AD19" s="99"/>
      <c r="AE19" s="99"/>
      <c r="AF19" s="98" t="str">
        <f t="shared" si="6"/>
        <v>-</v>
      </c>
    </row>
    <row r="20" spans="2:32" ht="14.25" customHeight="1" thickBot="1" x14ac:dyDescent="0.4">
      <c r="B20" s="84" t="str">
        <f t="shared" si="8"/>
        <v/>
      </c>
      <c r="C20" s="85"/>
      <c r="D20" s="91"/>
      <c r="E20" s="68" t="str">
        <f>IF(D20="","",IFERROR(VLOOKUP(D20,'Portfolio List'!$B$4:$I$76,5,FALSE()),""))</f>
        <v/>
      </c>
      <c r="F20" s="68" t="str">
        <f>IF(D20="","",IFERROR(VLOOKUP(D20,'Portfolio List'!$B$4:$I$76,6,FALSE()),""))</f>
        <v/>
      </c>
      <c r="G20" s="68" t="str">
        <f>IF(D20="","",IFERROR(VLOOKUP(D20,'Portfolio List'!$B$4:$I$76,7,FALSE()),""))</f>
        <v/>
      </c>
      <c r="H20" s="71" t="str">
        <f>IF(D20="","",IFERROR(VLOOKUP(D20,'Portfolio List'!$B$4:$I$76,4,FALSE()),""))</f>
        <v/>
      </c>
      <c r="I20" s="91"/>
      <c r="J20" s="84" t="str">
        <f t="shared" si="7"/>
        <v/>
      </c>
      <c r="K20" s="91"/>
      <c r="L20" s="85"/>
      <c r="M20" s="97"/>
      <c r="N20" s="180"/>
      <c r="O20" s="92"/>
      <c r="P20" s="87">
        <f>IF(D20="",0,IF(I20="LED Lighting",M20*IF(AC20="Studio",Assumptions!$C$15,IF(AC20="1 Bedroom",Assumptions!$C$16,IF(AC20="2 Bedroom",Assumptions!$C$17,IF(AC20="3 Bedroom",Assumptions!$C$18,Assumptions!$C$16))))*N20*365/1000,IFERROR(VLOOKUP(I20,Assumptions!$B$40:$H$50,2,FALSE()),0)*M20))</f>
        <v>0</v>
      </c>
      <c r="Q20" s="87">
        <f>IF(D20="",0,IFERROR(VLOOKUP(I20,Assumptions!$B$40:$H$50,3,FALSE()),0)*M20)</f>
        <v>0</v>
      </c>
      <c r="R20" s="77">
        <f>IF(G20="",0.2161,IFERROR(VLOOKUP(G20,Assumptions!$B$53:$C$61,2,FALSE())/100,0.2161))</f>
        <v>0.21609999999999999</v>
      </c>
      <c r="S20" s="77">
        <f>IF(G20="",0,IFERROR(VLOOKUP(G20,Assumptions!$B$64:$C$72,2,FALSE())/1000,0.008))</f>
        <v>0</v>
      </c>
      <c r="T20" s="93" t="str">
        <f t="shared" si="0"/>
        <v/>
      </c>
      <c r="U20" s="93" t="str">
        <f t="shared" si="1"/>
        <v/>
      </c>
      <c r="V20" s="93" t="str">
        <f t="shared" si="2"/>
        <v/>
      </c>
      <c r="W20" s="94" t="str">
        <f t="shared" si="3"/>
        <v/>
      </c>
      <c r="X20" s="88"/>
      <c r="Y20" s="87" t="str">
        <f>IF(D20="","",IFERROR(VLOOKUP(I20,Assumptions!$B$40:$H$50,6,FALSE()),0)*M20)</f>
        <v/>
      </c>
      <c r="Z20" s="87" t="str">
        <f>IF(D20="","",IFERROR(VLOOKUP(I20,Assumptions!$B$40:$H$50,7,FALSE()),0)*M20)</f>
        <v/>
      </c>
      <c r="AA20" s="96" t="str">
        <f t="shared" si="4"/>
        <v/>
      </c>
      <c r="AB20" s="84" t="str">
        <f t="shared" si="5"/>
        <v/>
      </c>
      <c r="AC20" s="99"/>
      <c r="AD20" s="99"/>
      <c r="AE20" s="99"/>
      <c r="AF20" s="98" t="str">
        <f t="shared" si="6"/>
        <v>-</v>
      </c>
    </row>
    <row r="21" spans="2:32" ht="14.25" customHeight="1" thickBot="1" x14ac:dyDescent="0.4">
      <c r="B21" s="84" t="str">
        <f t="shared" si="8"/>
        <v/>
      </c>
      <c r="C21" s="85"/>
      <c r="D21" s="91"/>
      <c r="E21" s="68" t="str">
        <f>IF(D21="","",IFERROR(VLOOKUP(D21,'Portfolio List'!$B$4:$I$76,5,FALSE()),""))</f>
        <v/>
      </c>
      <c r="F21" s="68" t="str">
        <f>IF(D21="","",IFERROR(VLOOKUP(D21,'Portfolio List'!$B$4:$I$76,6,FALSE()),""))</f>
        <v/>
      </c>
      <c r="G21" s="68" t="str">
        <f>IF(D21="","",IFERROR(VLOOKUP(D21,'Portfolio List'!$B$4:$I$76,7,FALSE()),""))</f>
        <v/>
      </c>
      <c r="H21" s="71" t="str">
        <f>IF(D21="","",IFERROR(VLOOKUP(D21,'Portfolio List'!$B$4:$I$76,4,FALSE()),""))</f>
        <v/>
      </c>
      <c r="I21" s="91"/>
      <c r="J21" s="84" t="str">
        <f t="shared" si="7"/>
        <v/>
      </c>
      <c r="K21" s="91"/>
      <c r="L21" s="85"/>
      <c r="M21" s="97"/>
      <c r="N21" s="180"/>
      <c r="O21" s="92"/>
      <c r="P21" s="87">
        <f>IF(D21="",0,IF(I21="LED Lighting",M21*IF(AC21="Studio",Assumptions!$C$15,IF(AC21="1 Bedroom",Assumptions!$C$16,IF(AC21="2 Bedroom",Assumptions!$C$17,IF(AC21="3 Bedroom",Assumptions!$C$18,Assumptions!$C$16))))*N21*365/1000,IFERROR(VLOOKUP(I21,Assumptions!$B$40:$H$50,2,FALSE()),0)*M21))</f>
        <v>0</v>
      </c>
      <c r="Q21" s="87">
        <f>IF(D21="",0,IFERROR(VLOOKUP(I21,Assumptions!$B$40:$H$50,3,FALSE()),0)*M21)</f>
        <v>0</v>
      </c>
      <c r="R21" s="77">
        <f>IF(G21="",0.2161,IFERROR(VLOOKUP(G21,Assumptions!$B$53:$C$61,2,FALSE())/100,0.2161))</f>
        <v>0.21609999999999999</v>
      </c>
      <c r="S21" s="77">
        <f>IF(G21="",0,IFERROR(VLOOKUP(G21,Assumptions!$B$64:$C$72,2,FALSE())/1000,0.008))</f>
        <v>0</v>
      </c>
      <c r="T21" s="93" t="str">
        <f t="shared" si="0"/>
        <v/>
      </c>
      <c r="U21" s="93" t="str">
        <f t="shared" si="1"/>
        <v/>
      </c>
      <c r="V21" s="93" t="str">
        <f t="shared" si="2"/>
        <v/>
      </c>
      <c r="W21" s="94" t="str">
        <f t="shared" si="3"/>
        <v/>
      </c>
      <c r="X21" s="88"/>
      <c r="Y21" s="87" t="str">
        <f>IF(D21="","",IFERROR(VLOOKUP(I21,Assumptions!$B$40:$H$50,6,FALSE()),0)*M21)</f>
        <v/>
      </c>
      <c r="Z21" s="87" t="str">
        <f>IF(D21="","",IFERROR(VLOOKUP(I21,Assumptions!$B$40:$H$50,7,FALSE()),0)*M21)</f>
        <v/>
      </c>
      <c r="AA21" s="96" t="str">
        <f t="shared" si="4"/>
        <v/>
      </c>
      <c r="AB21" s="84" t="str">
        <f t="shared" si="5"/>
        <v/>
      </c>
      <c r="AC21" s="99"/>
      <c r="AD21" s="99"/>
      <c r="AE21" s="99"/>
      <c r="AF21" s="98" t="str">
        <f t="shared" si="6"/>
        <v>-</v>
      </c>
    </row>
    <row r="22" spans="2:32" ht="14.25" customHeight="1" thickBot="1" x14ac:dyDescent="0.4">
      <c r="B22" s="84" t="str">
        <f t="shared" si="8"/>
        <v/>
      </c>
      <c r="C22" s="85"/>
      <c r="D22" s="91"/>
      <c r="E22" s="68" t="str">
        <f>IF(D22="","",IFERROR(VLOOKUP(D22,'Portfolio List'!$B$4:$I$76,5,FALSE()),""))</f>
        <v/>
      </c>
      <c r="F22" s="68" t="str">
        <f>IF(D22="","",IFERROR(VLOOKUP(D22,'Portfolio List'!$B$4:$I$76,6,FALSE()),""))</f>
        <v/>
      </c>
      <c r="G22" s="68" t="str">
        <f>IF(D22="","",IFERROR(VLOOKUP(D22,'Portfolio List'!$B$4:$I$76,7,FALSE()),""))</f>
        <v/>
      </c>
      <c r="H22" s="71" t="str">
        <f>IF(D22="","",IFERROR(VLOOKUP(D22,'Portfolio List'!$B$4:$I$76,4,FALSE()),""))</f>
        <v/>
      </c>
      <c r="I22" s="91"/>
      <c r="J22" s="84" t="str">
        <f t="shared" si="7"/>
        <v/>
      </c>
      <c r="K22" s="91"/>
      <c r="L22" s="85"/>
      <c r="M22" s="97"/>
      <c r="N22" s="180"/>
      <c r="O22" s="92"/>
      <c r="P22" s="87">
        <f>IF(D22="",0,IF(I22="LED Lighting",M22*IF(AC22="Studio",Assumptions!$C$15,IF(AC22="1 Bedroom",Assumptions!$C$16,IF(AC22="2 Bedroom",Assumptions!$C$17,IF(AC22="3 Bedroom",Assumptions!$C$18,Assumptions!$C$16))))*N22*365/1000,IFERROR(VLOOKUP(I22,Assumptions!$B$40:$H$50,2,FALSE()),0)*M22))</f>
        <v>0</v>
      </c>
      <c r="Q22" s="87">
        <f>IF(D22="",0,IFERROR(VLOOKUP(I22,Assumptions!$B$40:$H$50,3,FALSE()),0)*M22)</f>
        <v>0</v>
      </c>
      <c r="R22" s="77">
        <f>IF(G22="",0.2161,IFERROR(VLOOKUP(G22,Assumptions!$B$53:$C$61,2,FALSE())/100,0.2161))</f>
        <v>0.21609999999999999</v>
      </c>
      <c r="S22" s="77">
        <f>IF(G22="",0,IFERROR(VLOOKUP(G22,Assumptions!$B$64:$C$72,2,FALSE())/1000,0.008))</f>
        <v>0</v>
      </c>
      <c r="T22" s="93" t="str">
        <f t="shared" si="0"/>
        <v/>
      </c>
      <c r="U22" s="93" t="str">
        <f t="shared" si="1"/>
        <v/>
      </c>
      <c r="V22" s="93" t="str">
        <f t="shared" si="2"/>
        <v/>
      </c>
      <c r="W22" s="94" t="str">
        <f t="shared" si="3"/>
        <v/>
      </c>
      <c r="X22" s="88"/>
      <c r="Y22" s="87" t="str">
        <f>IF(D22="","",IFERROR(VLOOKUP(I22,Assumptions!$B$40:$H$50,6,FALSE()),0)*M22)</f>
        <v/>
      </c>
      <c r="Z22" s="87" t="str">
        <f>IF(D22="","",IFERROR(VLOOKUP(I22,Assumptions!$B$40:$H$50,7,FALSE()),0)*M22)</f>
        <v/>
      </c>
      <c r="AA22" s="96" t="str">
        <f t="shared" si="4"/>
        <v/>
      </c>
      <c r="AB22" s="84" t="str">
        <f t="shared" si="5"/>
        <v/>
      </c>
      <c r="AC22" s="99"/>
      <c r="AD22" s="99"/>
      <c r="AE22" s="99"/>
      <c r="AF22" s="98" t="str">
        <f t="shared" si="6"/>
        <v>-</v>
      </c>
    </row>
    <row r="23" spans="2:32" ht="14.25" customHeight="1" thickBot="1" x14ac:dyDescent="0.4">
      <c r="B23" s="84" t="str">
        <f t="shared" si="8"/>
        <v/>
      </c>
      <c r="C23" s="85"/>
      <c r="D23" s="91"/>
      <c r="E23" s="68" t="str">
        <f>IF(D23="","",IFERROR(VLOOKUP(D23,'Portfolio List'!$B$4:$I$76,5,FALSE()),""))</f>
        <v/>
      </c>
      <c r="F23" s="68" t="str">
        <f>IF(D23="","",IFERROR(VLOOKUP(D23,'Portfolio List'!$B$4:$I$76,6,FALSE()),""))</f>
        <v/>
      </c>
      <c r="G23" s="68" t="str">
        <f>IF(D23="","",IFERROR(VLOOKUP(D23,'Portfolio List'!$B$4:$I$76,7,FALSE()),""))</f>
        <v/>
      </c>
      <c r="H23" s="71" t="str">
        <f>IF(D23="","",IFERROR(VLOOKUP(D23,'Portfolio List'!$B$4:$I$76,4,FALSE()),""))</f>
        <v/>
      </c>
      <c r="I23" s="91"/>
      <c r="J23" s="84" t="str">
        <f t="shared" si="7"/>
        <v/>
      </c>
      <c r="K23" s="91"/>
      <c r="L23" s="85"/>
      <c r="M23" s="97"/>
      <c r="N23" s="180"/>
      <c r="O23" s="92"/>
      <c r="P23" s="87">
        <f>IF(D23="",0,IF(I23="LED Lighting",M23*IF(AC23="Studio",Assumptions!$C$15,IF(AC23="1 Bedroom",Assumptions!$C$16,IF(AC23="2 Bedroom",Assumptions!$C$17,IF(AC23="3 Bedroom",Assumptions!$C$18,Assumptions!$C$16))))*N23*365/1000,IFERROR(VLOOKUP(I23,Assumptions!$B$40:$H$50,2,FALSE()),0)*M23))</f>
        <v>0</v>
      </c>
      <c r="Q23" s="87">
        <f>IF(D23="",0,IFERROR(VLOOKUP(I23,Assumptions!$B$40:$H$50,3,FALSE()),0)*M23)</f>
        <v>0</v>
      </c>
      <c r="R23" s="77">
        <f>IF(G23="",0.2161,IFERROR(VLOOKUP(G23,Assumptions!$B$53:$C$61,2,FALSE())/100,0.2161))</f>
        <v>0.21609999999999999</v>
      </c>
      <c r="S23" s="77">
        <f>IF(G23="",0,IFERROR(VLOOKUP(G23,Assumptions!$B$64:$C$72,2,FALSE())/1000,0.008))</f>
        <v>0</v>
      </c>
      <c r="T23" s="93" t="str">
        <f t="shared" si="0"/>
        <v/>
      </c>
      <c r="U23" s="93" t="str">
        <f t="shared" si="1"/>
        <v/>
      </c>
      <c r="V23" s="93" t="str">
        <f t="shared" si="2"/>
        <v/>
      </c>
      <c r="W23" s="94" t="str">
        <f t="shared" si="3"/>
        <v/>
      </c>
      <c r="X23" s="88"/>
      <c r="Y23" s="87" t="str">
        <f>IF(D23="","",IFERROR(VLOOKUP(I23,Assumptions!$B$40:$H$50,6,FALSE()),0)*M23)</f>
        <v/>
      </c>
      <c r="Z23" s="87" t="str">
        <f>IF(D23="","",IFERROR(VLOOKUP(I23,Assumptions!$B$40:$H$50,7,FALSE()),0)*M23)</f>
        <v/>
      </c>
      <c r="AA23" s="96" t="str">
        <f t="shared" si="4"/>
        <v/>
      </c>
      <c r="AB23" s="84" t="str">
        <f t="shared" si="5"/>
        <v/>
      </c>
      <c r="AC23" s="99"/>
      <c r="AD23" s="99"/>
      <c r="AE23" s="99"/>
      <c r="AF23" s="98" t="str">
        <f t="shared" si="6"/>
        <v>-</v>
      </c>
    </row>
    <row r="24" spans="2:32" ht="14.25" customHeight="1" thickBot="1" x14ac:dyDescent="0.4">
      <c r="B24" s="84" t="str">
        <f t="shared" si="8"/>
        <v/>
      </c>
      <c r="C24" s="85"/>
      <c r="D24" s="91"/>
      <c r="E24" s="68" t="str">
        <f>IF(D24="","",IFERROR(VLOOKUP(D24,'Portfolio List'!$B$4:$I$76,5,FALSE()),""))</f>
        <v/>
      </c>
      <c r="F24" s="68" t="str">
        <f>IF(D24="","",IFERROR(VLOOKUP(D24,'Portfolio List'!$B$4:$I$76,6,FALSE()),""))</f>
        <v/>
      </c>
      <c r="G24" s="68" t="str">
        <f>IF(D24="","",IFERROR(VLOOKUP(D24,'Portfolio List'!$B$4:$I$76,7,FALSE()),""))</f>
        <v/>
      </c>
      <c r="H24" s="71" t="str">
        <f>IF(D24="","",IFERROR(VLOOKUP(D24,'Portfolio List'!$B$4:$I$76,4,FALSE()),""))</f>
        <v/>
      </c>
      <c r="I24" s="91"/>
      <c r="J24" s="84" t="str">
        <f t="shared" si="7"/>
        <v/>
      </c>
      <c r="K24" s="91"/>
      <c r="L24" s="85"/>
      <c r="M24" s="97"/>
      <c r="N24" s="180"/>
      <c r="O24" s="92"/>
      <c r="P24" s="87">
        <f>IF(D24="",0,IF(I24="LED Lighting",M24*IF(AC24="Studio",Assumptions!$C$15,IF(AC24="1 Bedroom",Assumptions!$C$16,IF(AC24="2 Bedroom",Assumptions!$C$17,IF(AC24="3 Bedroom",Assumptions!$C$18,Assumptions!$C$16))))*N24*365/1000,IFERROR(VLOOKUP(I24,Assumptions!$B$40:$H$50,2,FALSE()),0)*M24))</f>
        <v>0</v>
      </c>
      <c r="Q24" s="87">
        <f>IF(D24="",0,IFERROR(VLOOKUP(I24,Assumptions!$B$40:$H$50,3,FALSE()),0)*M24)</f>
        <v>0</v>
      </c>
      <c r="R24" s="77">
        <f>IF(G24="",0.2161,IFERROR(VLOOKUP(G24,Assumptions!$B$53:$C$61,2,FALSE())/100,0.2161))</f>
        <v>0.21609999999999999</v>
      </c>
      <c r="S24" s="77">
        <f>IF(G24="",0,IFERROR(VLOOKUP(G24,Assumptions!$B$64:$C$72,2,FALSE())/1000,0.008))</f>
        <v>0</v>
      </c>
      <c r="T24" s="93" t="str">
        <f t="shared" si="0"/>
        <v/>
      </c>
      <c r="U24" s="93" t="str">
        <f t="shared" si="1"/>
        <v/>
      </c>
      <c r="V24" s="93" t="str">
        <f t="shared" si="2"/>
        <v/>
      </c>
      <c r="W24" s="94" t="str">
        <f t="shared" si="3"/>
        <v/>
      </c>
      <c r="X24" s="88"/>
      <c r="Y24" s="87" t="str">
        <f>IF(D24="","",IFERROR(VLOOKUP(I24,Assumptions!$B$40:$H$50,6,FALSE()),0)*M24)</f>
        <v/>
      </c>
      <c r="Z24" s="87" t="str">
        <f>IF(D24="","",IFERROR(VLOOKUP(I24,Assumptions!$B$40:$H$50,7,FALSE()),0)*M24)</f>
        <v/>
      </c>
      <c r="AA24" s="96" t="str">
        <f t="shared" si="4"/>
        <v/>
      </c>
      <c r="AB24" s="84" t="str">
        <f t="shared" si="5"/>
        <v/>
      </c>
      <c r="AC24" s="99"/>
      <c r="AD24" s="99"/>
      <c r="AE24" s="99"/>
      <c r="AF24" s="98" t="str">
        <f t="shared" si="6"/>
        <v>-</v>
      </c>
    </row>
    <row r="25" spans="2:32" ht="14.25" customHeight="1" thickBot="1" x14ac:dyDescent="0.4">
      <c r="B25" s="84" t="str">
        <f t="shared" si="8"/>
        <v/>
      </c>
      <c r="C25" s="85"/>
      <c r="D25" s="91"/>
      <c r="E25" s="68" t="str">
        <f>IF(D25="","",IFERROR(VLOOKUP(D25,'Portfolio List'!$B$4:$I$76,5,FALSE()),""))</f>
        <v/>
      </c>
      <c r="F25" s="68" t="str">
        <f>IF(D25="","",IFERROR(VLOOKUP(D25,'Portfolio List'!$B$4:$I$76,6,FALSE()),""))</f>
        <v/>
      </c>
      <c r="G25" s="68" t="str">
        <f>IF(D25="","",IFERROR(VLOOKUP(D25,'Portfolio List'!$B$4:$I$76,7,FALSE()),""))</f>
        <v/>
      </c>
      <c r="H25" s="71" t="str">
        <f>IF(D25="","",IFERROR(VLOOKUP(D25,'Portfolio List'!$B$4:$I$76,4,FALSE()),""))</f>
        <v/>
      </c>
      <c r="I25" s="91"/>
      <c r="J25" s="84" t="str">
        <f t="shared" si="7"/>
        <v/>
      </c>
      <c r="K25" s="91"/>
      <c r="L25" s="85"/>
      <c r="M25" s="97"/>
      <c r="N25" s="180"/>
      <c r="O25" s="92"/>
      <c r="P25" s="87">
        <f>IF(D25="",0,IF(I25="LED Lighting",M25*IF(AC25="Studio",Assumptions!$C$15,IF(AC25="1 Bedroom",Assumptions!$C$16,IF(AC25="2 Bedroom",Assumptions!$C$17,IF(AC25="3 Bedroom",Assumptions!$C$18,Assumptions!$C$16))))*N25*365/1000,IFERROR(VLOOKUP(I25,Assumptions!$B$40:$H$50,2,FALSE()),0)*M25))</f>
        <v>0</v>
      </c>
      <c r="Q25" s="87">
        <f>IF(D25="",0,IFERROR(VLOOKUP(I25,Assumptions!$B$40:$H$50,3,FALSE()),0)*M25)</f>
        <v>0</v>
      </c>
      <c r="R25" s="77">
        <f>IF(G25="",0.2161,IFERROR(VLOOKUP(G25,Assumptions!$B$53:$C$61,2,FALSE())/100,0.2161))</f>
        <v>0.21609999999999999</v>
      </c>
      <c r="S25" s="77">
        <f>IF(G25="",0,IFERROR(VLOOKUP(G25,Assumptions!$B$64:$C$72,2,FALSE())/1000,0.008))</f>
        <v>0</v>
      </c>
      <c r="T25" s="93" t="str">
        <f t="shared" si="0"/>
        <v/>
      </c>
      <c r="U25" s="93" t="str">
        <f t="shared" si="1"/>
        <v/>
      </c>
      <c r="V25" s="93" t="str">
        <f t="shared" si="2"/>
        <v/>
      </c>
      <c r="W25" s="94" t="str">
        <f t="shared" si="3"/>
        <v/>
      </c>
      <c r="X25" s="88"/>
      <c r="Y25" s="87" t="str">
        <f>IF(D25="","",IFERROR(VLOOKUP(I25,Assumptions!$B$40:$H$50,6,FALSE()),0)*M25)</f>
        <v/>
      </c>
      <c r="Z25" s="87" t="str">
        <f>IF(D25="","",IFERROR(VLOOKUP(I25,Assumptions!$B$40:$H$50,7,FALSE()),0)*M25)</f>
        <v/>
      </c>
      <c r="AA25" s="96" t="str">
        <f t="shared" si="4"/>
        <v/>
      </c>
      <c r="AB25" s="84" t="str">
        <f t="shared" si="5"/>
        <v/>
      </c>
      <c r="AC25" s="99"/>
      <c r="AD25" s="99"/>
      <c r="AE25" s="99"/>
      <c r="AF25" s="98" t="str">
        <f t="shared" si="6"/>
        <v>-</v>
      </c>
    </row>
    <row r="26" spans="2:32" ht="14.25" customHeight="1" thickBot="1" x14ac:dyDescent="0.4">
      <c r="B26" s="84" t="str">
        <f t="shared" si="8"/>
        <v/>
      </c>
      <c r="C26" s="85"/>
      <c r="D26" s="91"/>
      <c r="E26" s="68" t="str">
        <f>IF(D26="","",IFERROR(VLOOKUP(D26,'Portfolio List'!$B$4:$I$76,5,FALSE()),""))</f>
        <v/>
      </c>
      <c r="F26" s="68" t="str">
        <f>IF(D26="","",IFERROR(VLOOKUP(D26,'Portfolio List'!$B$4:$I$76,6,FALSE()),""))</f>
        <v/>
      </c>
      <c r="G26" s="68" t="str">
        <f>IF(D26="","",IFERROR(VLOOKUP(D26,'Portfolio List'!$B$4:$I$76,7,FALSE()),""))</f>
        <v/>
      </c>
      <c r="H26" s="71" t="str">
        <f>IF(D26="","",IFERROR(VLOOKUP(D26,'Portfolio List'!$B$4:$I$76,4,FALSE()),""))</f>
        <v/>
      </c>
      <c r="I26" s="91"/>
      <c r="J26" s="84" t="str">
        <f t="shared" si="7"/>
        <v/>
      </c>
      <c r="K26" s="91"/>
      <c r="L26" s="85"/>
      <c r="M26" s="97"/>
      <c r="N26" s="180"/>
      <c r="O26" s="92"/>
      <c r="P26" s="87">
        <f>IF(D26="",0,IF(I26="LED Lighting",M26*IF(AC26="Studio",Assumptions!$C$15,IF(AC26="1 Bedroom",Assumptions!$C$16,IF(AC26="2 Bedroom",Assumptions!$C$17,IF(AC26="3 Bedroom",Assumptions!$C$18,Assumptions!$C$16))))*N26*365/1000,IFERROR(VLOOKUP(I26,Assumptions!$B$40:$H$50,2,FALSE()),0)*M26))</f>
        <v>0</v>
      </c>
      <c r="Q26" s="87">
        <f>IF(D26="",0,IFERROR(VLOOKUP(I26,Assumptions!$B$40:$H$50,3,FALSE()),0)*M26)</f>
        <v>0</v>
      </c>
      <c r="R26" s="77">
        <f>IF(G26="",0.2161,IFERROR(VLOOKUP(G26,Assumptions!$B$53:$C$61,2,FALSE())/100,0.2161))</f>
        <v>0.21609999999999999</v>
      </c>
      <c r="S26" s="77">
        <f>IF(G26="",0,IFERROR(VLOOKUP(G26,Assumptions!$B$64:$C$72,2,FALSE())/1000,0.008))</f>
        <v>0</v>
      </c>
      <c r="T26" s="93" t="str">
        <f t="shared" si="0"/>
        <v/>
      </c>
      <c r="U26" s="93" t="str">
        <f t="shared" si="1"/>
        <v/>
      </c>
      <c r="V26" s="93" t="str">
        <f t="shared" si="2"/>
        <v/>
      </c>
      <c r="W26" s="94" t="str">
        <f t="shared" si="3"/>
        <v/>
      </c>
      <c r="X26" s="88"/>
      <c r="Y26" s="87" t="str">
        <f>IF(D26="","",IFERROR(VLOOKUP(I26,Assumptions!$B$40:$H$50,6,FALSE()),0)*M26)</f>
        <v/>
      </c>
      <c r="Z26" s="87" t="str">
        <f>IF(D26="","",IFERROR(VLOOKUP(I26,Assumptions!$B$40:$H$50,7,FALSE()),0)*M26)</f>
        <v/>
      </c>
      <c r="AA26" s="96" t="str">
        <f t="shared" si="4"/>
        <v/>
      </c>
      <c r="AB26" s="84" t="str">
        <f t="shared" si="5"/>
        <v/>
      </c>
      <c r="AC26" s="99"/>
      <c r="AD26" s="99"/>
      <c r="AE26" s="99"/>
      <c r="AF26" s="98" t="str">
        <f t="shared" si="6"/>
        <v>-</v>
      </c>
    </row>
    <row r="27" spans="2:32" ht="14.25" customHeight="1" thickBot="1" x14ac:dyDescent="0.4">
      <c r="B27" s="84" t="str">
        <f t="shared" si="8"/>
        <v/>
      </c>
      <c r="C27" s="85"/>
      <c r="D27" s="91"/>
      <c r="E27" s="68" t="str">
        <f>IF(D27="","",IFERROR(VLOOKUP(D27,'Portfolio List'!$B$4:$I$76,5,FALSE()),""))</f>
        <v/>
      </c>
      <c r="F27" s="68" t="str">
        <f>IF(D27="","",IFERROR(VLOOKUP(D27,'Portfolio List'!$B$4:$I$76,6,FALSE()),""))</f>
        <v/>
      </c>
      <c r="G27" s="68" t="str">
        <f>IF(D27="","",IFERROR(VLOOKUP(D27,'Portfolio List'!$B$4:$I$76,7,FALSE()),""))</f>
        <v/>
      </c>
      <c r="H27" s="71" t="str">
        <f>IF(D27="","",IFERROR(VLOOKUP(D27,'Portfolio List'!$B$4:$I$76,4,FALSE()),""))</f>
        <v/>
      </c>
      <c r="I27" s="91"/>
      <c r="J27" s="84" t="str">
        <f t="shared" si="7"/>
        <v/>
      </c>
      <c r="K27" s="91"/>
      <c r="L27" s="85"/>
      <c r="M27" s="97"/>
      <c r="N27" s="180"/>
      <c r="O27" s="92"/>
      <c r="P27" s="87">
        <f>IF(D27="",0,IF(I27="LED Lighting",M27*IF(AC27="Studio",Assumptions!$C$15,IF(AC27="1 Bedroom",Assumptions!$C$16,IF(AC27="2 Bedroom",Assumptions!$C$17,IF(AC27="3 Bedroom",Assumptions!$C$18,Assumptions!$C$16))))*N27*365/1000,IFERROR(VLOOKUP(I27,Assumptions!$B$40:$H$50,2,FALSE()),0)*M27))</f>
        <v>0</v>
      </c>
      <c r="Q27" s="87">
        <f>IF(D27="",0,IFERROR(VLOOKUP(I27,Assumptions!$B$40:$H$50,3,FALSE()),0)*M27)</f>
        <v>0</v>
      </c>
      <c r="R27" s="77">
        <f>IF(G27="",0.2161,IFERROR(VLOOKUP(G27,Assumptions!$B$53:$C$61,2,FALSE())/100,0.2161))</f>
        <v>0.21609999999999999</v>
      </c>
      <c r="S27" s="77">
        <f>IF(G27="",0,IFERROR(VLOOKUP(G27,Assumptions!$B$64:$C$72,2,FALSE())/1000,0.008))</f>
        <v>0</v>
      </c>
      <c r="T27" s="93" t="str">
        <f t="shared" si="0"/>
        <v/>
      </c>
      <c r="U27" s="93" t="str">
        <f t="shared" si="1"/>
        <v/>
      </c>
      <c r="V27" s="93" t="str">
        <f t="shared" si="2"/>
        <v/>
      </c>
      <c r="W27" s="94" t="str">
        <f t="shared" si="3"/>
        <v/>
      </c>
      <c r="X27" s="88"/>
      <c r="Y27" s="87" t="str">
        <f>IF(D27="","",IFERROR(VLOOKUP(I27,Assumptions!$B$40:$H$50,6,FALSE()),0)*M27)</f>
        <v/>
      </c>
      <c r="Z27" s="87" t="str">
        <f>IF(D27="","",IFERROR(VLOOKUP(I27,Assumptions!$B$40:$H$50,7,FALSE()),0)*M27)</f>
        <v/>
      </c>
      <c r="AA27" s="96" t="str">
        <f t="shared" si="4"/>
        <v/>
      </c>
      <c r="AB27" s="84" t="str">
        <f t="shared" si="5"/>
        <v/>
      </c>
      <c r="AC27" s="99"/>
      <c r="AD27" s="99"/>
      <c r="AE27" s="99"/>
      <c r="AF27" s="98" t="str">
        <f t="shared" si="6"/>
        <v>-</v>
      </c>
    </row>
    <row r="28" spans="2:32" ht="14.25" customHeight="1" thickBot="1" x14ac:dyDescent="0.4">
      <c r="B28" s="84" t="str">
        <f t="shared" si="8"/>
        <v/>
      </c>
      <c r="C28" s="85"/>
      <c r="D28" s="91"/>
      <c r="E28" s="68" t="str">
        <f>IF(D28="","",IFERROR(VLOOKUP(D28,'Portfolio List'!$B$4:$I$76,5,FALSE()),""))</f>
        <v/>
      </c>
      <c r="F28" s="68" t="str">
        <f>IF(D28="","",IFERROR(VLOOKUP(D28,'Portfolio List'!$B$4:$I$76,6,FALSE()),""))</f>
        <v/>
      </c>
      <c r="G28" s="68" t="str">
        <f>IF(D28="","",IFERROR(VLOOKUP(D28,'Portfolio List'!$B$4:$I$76,7,FALSE()),""))</f>
        <v/>
      </c>
      <c r="H28" s="71" t="str">
        <f>IF(D28="","",IFERROR(VLOOKUP(D28,'Portfolio List'!$B$4:$I$76,4,FALSE()),""))</f>
        <v/>
      </c>
      <c r="I28" s="91"/>
      <c r="J28" s="84" t="str">
        <f t="shared" si="7"/>
        <v/>
      </c>
      <c r="K28" s="91"/>
      <c r="L28" s="85"/>
      <c r="M28" s="97"/>
      <c r="N28" s="180"/>
      <c r="O28" s="92"/>
      <c r="P28" s="87">
        <f>IF(D28="",0,IF(I28="LED Lighting",M28*IF(AC28="Studio",Assumptions!$C$15,IF(AC28="1 Bedroom",Assumptions!$C$16,IF(AC28="2 Bedroom",Assumptions!$C$17,IF(AC28="3 Bedroom",Assumptions!$C$18,Assumptions!$C$16))))*N28*365/1000,IFERROR(VLOOKUP(I28,Assumptions!$B$40:$H$50,2,FALSE()),0)*M28))</f>
        <v>0</v>
      </c>
      <c r="Q28" s="87">
        <f>IF(D28="",0,IFERROR(VLOOKUP(I28,Assumptions!$B$40:$H$50,3,FALSE()),0)*M28)</f>
        <v>0</v>
      </c>
      <c r="R28" s="77">
        <f>IF(G28="",0.2161,IFERROR(VLOOKUP(G28,Assumptions!$B$53:$C$61,2,FALSE())/100,0.2161))</f>
        <v>0.21609999999999999</v>
      </c>
      <c r="S28" s="77">
        <f>IF(G28="",0,IFERROR(VLOOKUP(G28,Assumptions!$B$64:$C$72,2,FALSE())/1000,0.008))</f>
        <v>0</v>
      </c>
      <c r="T28" s="93" t="str">
        <f t="shared" si="0"/>
        <v/>
      </c>
      <c r="U28" s="93" t="str">
        <f t="shared" si="1"/>
        <v/>
      </c>
      <c r="V28" s="93" t="str">
        <f t="shared" si="2"/>
        <v/>
      </c>
      <c r="W28" s="94" t="str">
        <f t="shared" si="3"/>
        <v/>
      </c>
      <c r="X28" s="88"/>
      <c r="Y28" s="87" t="str">
        <f>IF(D28="","",IFERROR(VLOOKUP(I28,Assumptions!$B$40:$H$50,6,FALSE()),0)*M28)</f>
        <v/>
      </c>
      <c r="Z28" s="87" t="str">
        <f>IF(D28="","",IFERROR(VLOOKUP(I28,Assumptions!$B$40:$H$50,7,FALSE()),0)*M28)</f>
        <v/>
      </c>
      <c r="AA28" s="96" t="str">
        <f t="shared" si="4"/>
        <v/>
      </c>
      <c r="AB28" s="84" t="str">
        <f t="shared" si="5"/>
        <v/>
      </c>
      <c r="AC28" s="99"/>
      <c r="AD28" s="99"/>
      <c r="AE28" s="99"/>
      <c r="AF28" s="98" t="str">
        <f t="shared" si="6"/>
        <v>-</v>
      </c>
    </row>
    <row r="29" spans="2:32" ht="14.25" customHeight="1" thickBot="1" x14ac:dyDescent="0.4">
      <c r="B29" s="84" t="str">
        <f t="shared" si="8"/>
        <v/>
      </c>
      <c r="C29" s="85"/>
      <c r="D29" s="91"/>
      <c r="E29" s="68" t="str">
        <f>IF(D29="","",IFERROR(VLOOKUP(D29,'Portfolio List'!$B$4:$I$76,5,FALSE()),""))</f>
        <v/>
      </c>
      <c r="F29" s="68" t="str">
        <f>IF(D29="","",IFERROR(VLOOKUP(D29,'Portfolio List'!$B$4:$I$76,6,FALSE()),""))</f>
        <v/>
      </c>
      <c r="G29" s="68" t="str">
        <f>IF(D29="","",IFERROR(VLOOKUP(D29,'Portfolio List'!$B$4:$I$76,7,FALSE()),""))</f>
        <v/>
      </c>
      <c r="H29" s="71" t="str">
        <f>IF(D29="","",IFERROR(VLOOKUP(D29,'Portfolio List'!$B$4:$I$76,4,FALSE()),""))</f>
        <v/>
      </c>
      <c r="I29" s="91"/>
      <c r="J29" s="84" t="str">
        <f t="shared" si="7"/>
        <v/>
      </c>
      <c r="K29" s="91"/>
      <c r="L29" s="85"/>
      <c r="M29" s="97"/>
      <c r="N29" s="180"/>
      <c r="O29" s="92"/>
      <c r="P29" s="87">
        <f>IF(D29="",0,IF(I29="LED Lighting",M29*IF(AC29="Studio",Assumptions!$C$15,IF(AC29="1 Bedroom",Assumptions!$C$16,IF(AC29="2 Bedroom",Assumptions!$C$17,IF(AC29="3 Bedroom",Assumptions!$C$18,Assumptions!$C$16))))*N29*365/1000,IFERROR(VLOOKUP(I29,Assumptions!$B$40:$H$50,2,FALSE()),0)*M29))</f>
        <v>0</v>
      </c>
      <c r="Q29" s="87">
        <f>IF(D29="",0,IFERROR(VLOOKUP(I29,Assumptions!$B$40:$H$50,3,FALSE()),0)*M29)</f>
        <v>0</v>
      </c>
      <c r="R29" s="77">
        <f>IF(G29="",0.2161,IFERROR(VLOOKUP(G29,Assumptions!$B$53:$C$61,2,FALSE())/100,0.2161))</f>
        <v>0.21609999999999999</v>
      </c>
      <c r="S29" s="77">
        <f>IF(G29="",0,IFERROR(VLOOKUP(G29,Assumptions!$B$64:$C$72,2,FALSE())/1000,0.008))</f>
        <v>0</v>
      </c>
      <c r="T29" s="93" t="str">
        <f t="shared" si="0"/>
        <v/>
      </c>
      <c r="U29" s="93" t="str">
        <f t="shared" si="1"/>
        <v/>
      </c>
      <c r="V29" s="93" t="str">
        <f t="shared" si="2"/>
        <v/>
      </c>
      <c r="W29" s="94" t="str">
        <f t="shared" si="3"/>
        <v/>
      </c>
      <c r="X29" s="88"/>
      <c r="Y29" s="87" t="str">
        <f>IF(D29="","",IFERROR(VLOOKUP(I29,Assumptions!$B$40:$H$50,6,FALSE()),0)*M29)</f>
        <v/>
      </c>
      <c r="Z29" s="87" t="str">
        <f>IF(D29="","",IFERROR(VLOOKUP(I29,Assumptions!$B$40:$H$50,7,FALSE()),0)*M29)</f>
        <v/>
      </c>
      <c r="AA29" s="96" t="str">
        <f t="shared" si="4"/>
        <v/>
      </c>
      <c r="AB29" s="84" t="str">
        <f t="shared" si="5"/>
        <v/>
      </c>
      <c r="AC29" s="99"/>
      <c r="AD29" s="99"/>
      <c r="AE29" s="99"/>
      <c r="AF29" s="98" t="str">
        <f t="shared" si="6"/>
        <v>-</v>
      </c>
    </row>
    <row r="30" spans="2:32" ht="14.25" customHeight="1" thickBot="1" x14ac:dyDescent="0.4">
      <c r="B30" s="84" t="str">
        <f t="shared" si="8"/>
        <v/>
      </c>
      <c r="C30" s="85"/>
      <c r="D30" s="91"/>
      <c r="E30" s="68" t="str">
        <f>IF(D30="","",IFERROR(VLOOKUP(D30,'Portfolio List'!$B$4:$I$76,5,FALSE()),""))</f>
        <v/>
      </c>
      <c r="F30" s="68" t="str">
        <f>IF(D30="","",IFERROR(VLOOKUP(D30,'Portfolio List'!$B$4:$I$76,6,FALSE()),""))</f>
        <v/>
      </c>
      <c r="G30" s="68" t="str">
        <f>IF(D30="","",IFERROR(VLOOKUP(D30,'Portfolio List'!$B$4:$I$76,7,FALSE()),""))</f>
        <v/>
      </c>
      <c r="H30" s="71" t="str">
        <f>IF(D30="","",IFERROR(VLOOKUP(D30,'Portfolio List'!$B$4:$I$76,4,FALSE()),""))</f>
        <v/>
      </c>
      <c r="I30" s="91"/>
      <c r="J30" s="84" t="str">
        <f t="shared" si="7"/>
        <v/>
      </c>
      <c r="K30" s="91"/>
      <c r="L30" s="85"/>
      <c r="M30" s="97"/>
      <c r="N30" s="180"/>
      <c r="O30" s="92"/>
      <c r="P30" s="87">
        <f>IF(D30="",0,IF(I30="LED Lighting",M30*IF(AC30="Studio",Assumptions!$C$15,IF(AC30="1 Bedroom",Assumptions!$C$16,IF(AC30="2 Bedroom",Assumptions!$C$17,IF(AC30="3 Bedroom",Assumptions!$C$18,Assumptions!$C$16))))*N30*365/1000,IFERROR(VLOOKUP(I30,Assumptions!$B$40:$H$50,2,FALSE()),0)*M30))</f>
        <v>0</v>
      </c>
      <c r="Q30" s="87">
        <f>IF(D30="",0,IFERROR(VLOOKUP(I30,Assumptions!$B$40:$H$50,3,FALSE()),0)*M30)</f>
        <v>0</v>
      </c>
      <c r="R30" s="77">
        <f>IF(G30="",0.2161,IFERROR(VLOOKUP(G30,Assumptions!$B$53:$C$61,2,FALSE())/100,0.2161))</f>
        <v>0.21609999999999999</v>
      </c>
      <c r="S30" s="77">
        <f>IF(G30="",0,IFERROR(VLOOKUP(G30,Assumptions!$B$64:$C$72,2,FALSE())/1000,0.008))</f>
        <v>0</v>
      </c>
      <c r="T30" s="93" t="str">
        <f t="shared" si="0"/>
        <v/>
      </c>
      <c r="U30" s="93" t="str">
        <f t="shared" si="1"/>
        <v/>
      </c>
      <c r="V30" s="93" t="str">
        <f t="shared" si="2"/>
        <v/>
      </c>
      <c r="W30" s="94" t="str">
        <f t="shared" si="3"/>
        <v/>
      </c>
      <c r="X30" s="88"/>
      <c r="Y30" s="87" t="str">
        <f>IF(D30="","",IFERROR(VLOOKUP(I30,Assumptions!$B$40:$H$50,6,FALSE()),0)*M30)</f>
        <v/>
      </c>
      <c r="Z30" s="87" t="str">
        <f>IF(D30="","",IFERROR(VLOOKUP(I30,Assumptions!$B$40:$H$50,7,FALSE()),0)*M30)</f>
        <v/>
      </c>
      <c r="AA30" s="96" t="str">
        <f t="shared" si="4"/>
        <v/>
      </c>
      <c r="AB30" s="84" t="str">
        <f t="shared" si="5"/>
        <v/>
      </c>
      <c r="AC30" s="99"/>
      <c r="AD30" s="99"/>
      <c r="AE30" s="99"/>
      <c r="AF30" s="98" t="str">
        <f t="shared" si="6"/>
        <v>-</v>
      </c>
    </row>
    <row r="31" spans="2:32" ht="14.25" customHeight="1" thickBot="1" x14ac:dyDescent="0.4">
      <c r="B31" s="84" t="str">
        <f t="shared" si="8"/>
        <v/>
      </c>
      <c r="C31" s="85"/>
      <c r="D31" s="91"/>
      <c r="E31" s="68" t="str">
        <f>IF(D31="","",IFERROR(VLOOKUP(D31,'Portfolio List'!$B$4:$I$76,5,FALSE()),""))</f>
        <v/>
      </c>
      <c r="F31" s="68" t="str">
        <f>IF(D31="","",IFERROR(VLOOKUP(D31,'Portfolio List'!$B$4:$I$76,6,FALSE()),""))</f>
        <v/>
      </c>
      <c r="G31" s="68" t="str">
        <f>IF(D31="","",IFERROR(VLOOKUP(D31,'Portfolio List'!$B$4:$I$76,7,FALSE()),""))</f>
        <v/>
      </c>
      <c r="H31" s="71" t="str">
        <f>IF(D31="","",IFERROR(VLOOKUP(D31,'Portfolio List'!$B$4:$I$76,4,FALSE()),""))</f>
        <v/>
      </c>
      <c r="I31" s="91"/>
      <c r="J31" s="84" t="str">
        <f t="shared" si="7"/>
        <v/>
      </c>
      <c r="K31" s="91"/>
      <c r="L31" s="85"/>
      <c r="M31" s="97"/>
      <c r="N31" s="180"/>
      <c r="O31" s="92"/>
      <c r="P31" s="87">
        <f>IF(D31="",0,IF(I31="LED Lighting",M31*IF(AC31="Studio",Assumptions!$C$15,IF(AC31="1 Bedroom",Assumptions!$C$16,IF(AC31="2 Bedroom",Assumptions!$C$17,IF(AC31="3 Bedroom",Assumptions!$C$18,Assumptions!$C$16))))*N31*365/1000,IFERROR(VLOOKUP(I31,Assumptions!$B$40:$H$50,2,FALSE()),0)*M31))</f>
        <v>0</v>
      </c>
      <c r="Q31" s="87">
        <f>IF(D31="",0,IFERROR(VLOOKUP(I31,Assumptions!$B$40:$H$50,3,FALSE()),0)*M31)</f>
        <v>0</v>
      </c>
      <c r="R31" s="77">
        <f>IF(G31="",0.2161,IFERROR(VLOOKUP(G31,Assumptions!$B$53:$C$61,2,FALSE())/100,0.2161))</f>
        <v>0.21609999999999999</v>
      </c>
      <c r="S31" s="77">
        <f>IF(G31="",0,IFERROR(VLOOKUP(G31,Assumptions!$B$64:$C$72,2,FALSE())/1000,0.008))</f>
        <v>0</v>
      </c>
      <c r="T31" s="93" t="str">
        <f t="shared" si="0"/>
        <v/>
      </c>
      <c r="U31" s="93" t="str">
        <f t="shared" si="1"/>
        <v/>
      </c>
      <c r="V31" s="93" t="str">
        <f t="shared" si="2"/>
        <v/>
      </c>
      <c r="W31" s="94" t="str">
        <f t="shared" si="3"/>
        <v/>
      </c>
      <c r="X31" s="88"/>
      <c r="Y31" s="87" t="str">
        <f>IF(D31="","",IFERROR(VLOOKUP(I31,Assumptions!$B$40:$H$50,6,FALSE()),0)*M31)</f>
        <v/>
      </c>
      <c r="Z31" s="87" t="str">
        <f>IF(D31="","",IFERROR(VLOOKUP(I31,Assumptions!$B$40:$H$50,7,FALSE()),0)*M31)</f>
        <v/>
      </c>
      <c r="AA31" s="96" t="str">
        <f t="shared" si="4"/>
        <v/>
      </c>
      <c r="AB31" s="84" t="str">
        <f t="shared" si="5"/>
        <v/>
      </c>
      <c r="AC31" s="99"/>
      <c r="AD31" s="99"/>
      <c r="AE31" s="99"/>
      <c r="AF31" s="98" t="str">
        <f t="shared" si="6"/>
        <v>-</v>
      </c>
    </row>
    <row r="32" spans="2:32" ht="14.25" customHeight="1" thickBot="1" x14ac:dyDescent="0.4">
      <c r="B32" s="84" t="str">
        <f t="shared" si="8"/>
        <v/>
      </c>
      <c r="C32" s="85"/>
      <c r="D32" s="91"/>
      <c r="E32" s="68" t="str">
        <f>IF(D32="","",IFERROR(VLOOKUP(D32,'Portfolio List'!$B$4:$I$76,5,FALSE()),""))</f>
        <v/>
      </c>
      <c r="F32" s="68" t="str">
        <f>IF(D32="","",IFERROR(VLOOKUP(D32,'Portfolio List'!$B$4:$I$76,6,FALSE()),""))</f>
        <v/>
      </c>
      <c r="G32" s="68" t="str">
        <f>IF(D32="","",IFERROR(VLOOKUP(D32,'Portfolio List'!$B$4:$I$76,7,FALSE()),""))</f>
        <v/>
      </c>
      <c r="H32" s="71" t="str">
        <f>IF(D32="","",IFERROR(VLOOKUP(D32,'Portfolio List'!$B$4:$I$76,4,FALSE()),""))</f>
        <v/>
      </c>
      <c r="I32" s="91"/>
      <c r="J32" s="84" t="str">
        <f t="shared" si="7"/>
        <v/>
      </c>
      <c r="K32" s="91"/>
      <c r="L32" s="85"/>
      <c r="M32" s="97"/>
      <c r="N32" s="180"/>
      <c r="O32" s="92"/>
      <c r="P32" s="87">
        <f>IF(D32="",0,IF(I32="LED Lighting",M32*IF(AC32="Studio",Assumptions!$C$15,IF(AC32="1 Bedroom",Assumptions!$C$16,IF(AC32="2 Bedroom",Assumptions!$C$17,IF(AC32="3 Bedroom",Assumptions!$C$18,Assumptions!$C$16))))*N32*365/1000,IFERROR(VLOOKUP(I32,Assumptions!$B$40:$H$50,2,FALSE()),0)*M32))</f>
        <v>0</v>
      </c>
      <c r="Q32" s="87">
        <f>IF(D32="",0,IFERROR(VLOOKUP(I32,Assumptions!$B$40:$H$50,3,FALSE()),0)*M32)</f>
        <v>0</v>
      </c>
      <c r="R32" s="77">
        <f>IF(G32="",0.2161,IFERROR(VLOOKUP(G32,Assumptions!$B$53:$C$61,2,FALSE())/100,0.2161))</f>
        <v>0.21609999999999999</v>
      </c>
      <c r="S32" s="77">
        <f>IF(G32="",0,IFERROR(VLOOKUP(G32,Assumptions!$B$64:$C$72,2,FALSE())/1000,0.008))</f>
        <v>0</v>
      </c>
      <c r="T32" s="93" t="str">
        <f t="shared" si="0"/>
        <v/>
      </c>
      <c r="U32" s="93" t="str">
        <f t="shared" si="1"/>
        <v/>
      </c>
      <c r="V32" s="93" t="str">
        <f t="shared" si="2"/>
        <v/>
      </c>
      <c r="W32" s="94" t="str">
        <f t="shared" si="3"/>
        <v/>
      </c>
      <c r="X32" s="88"/>
      <c r="Y32" s="87" t="str">
        <f>IF(D32="","",IFERROR(VLOOKUP(I32,Assumptions!$B$40:$H$50,6,FALSE()),0)*M32)</f>
        <v/>
      </c>
      <c r="Z32" s="87" t="str">
        <f>IF(D32="","",IFERROR(VLOOKUP(I32,Assumptions!$B$40:$H$50,7,FALSE()),0)*M32)</f>
        <v/>
      </c>
      <c r="AA32" s="96" t="str">
        <f t="shared" si="4"/>
        <v/>
      </c>
      <c r="AB32" s="84" t="str">
        <f t="shared" si="5"/>
        <v/>
      </c>
      <c r="AC32" s="99"/>
      <c r="AD32" s="99"/>
      <c r="AE32" s="99"/>
      <c r="AF32" s="98" t="str">
        <f t="shared" si="6"/>
        <v>-</v>
      </c>
    </row>
    <row r="33" spans="2:32" ht="14.25" customHeight="1" thickBot="1" x14ac:dyDescent="0.4">
      <c r="B33" s="84" t="str">
        <f t="shared" si="8"/>
        <v/>
      </c>
      <c r="C33" s="85"/>
      <c r="D33" s="91"/>
      <c r="E33" s="68" t="str">
        <f>IF(D33="","",IFERROR(VLOOKUP(D33,'Portfolio List'!$B$4:$I$76,5,FALSE()),""))</f>
        <v/>
      </c>
      <c r="F33" s="68" t="str">
        <f>IF(D33="","",IFERROR(VLOOKUP(D33,'Portfolio List'!$B$4:$I$76,6,FALSE()),""))</f>
        <v/>
      </c>
      <c r="G33" s="68" t="str">
        <f>IF(D33="","",IFERROR(VLOOKUP(D33,'Portfolio List'!$B$4:$I$76,7,FALSE()),""))</f>
        <v/>
      </c>
      <c r="H33" s="71" t="str">
        <f>IF(D33="","",IFERROR(VLOOKUP(D33,'Portfolio List'!$B$4:$I$76,4,FALSE()),""))</f>
        <v/>
      </c>
      <c r="I33" s="91"/>
      <c r="J33" s="84" t="str">
        <f t="shared" si="7"/>
        <v/>
      </c>
      <c r="K33" s="91"/>
      <c r="L33" s="85"/>
      <c r="M33" s="97"/>
      <c r="N33" s="180"/>
      <c r="O33" s="92"/>
      <c r="P33" s="87">
        <f>IF(D33="",0,IF(I33="LED Lighting",M33*IF(AC33="Studio",Assumptions!$C$15,IF(AC33="1 Bedroom",Assumptions!$C$16,IF(AC33="2 Bedroom",Assumptions!$C$17,IF(AC33="3 Bedroom",Assumptions!$C$18,Assumptions!$C$16))))*N33*365/1000,IFERROR(VLOOKUP(I33,Assumptions!$B$40:$H$50,2,FALSE()),0)*M33))</f>
        <v>0</v>
      </c>
      <c r="Q33" s="87">
        <f>IF(D33="",0,IFERROR(VLOOKUP(I33,Assumptions!$B$40:$H$50,3,FALSE()),0)*M33)</f>
        <v>0</v>
      </c>
      <c r="R33" s="77">
        <f>IF(G33="",0.2161,IFERROR(VLOOKUP(G33,Assumptions!$B$53:$C$61,2,FALSE())/100,0.2161))</f>
        <v>0.21609999999999999</v>
      </c>
      <c r="S33" s="77">
        <f>IF(G33="",0,IFERROR(VLOOKUP(G33,Assumptions!$B$64:$C$72,2,FALSE())/1000,0.008))</f>
        <v>0</v>
      </c>
      <c r="T33" s="93" t="str">
        <f t="shared" si="0"/>
        <v/>
      </c>
      <c r="U33" s="93" t="str">
        <f t="shared" si="1"/>
        <v/>
      </c>
      <c r="V33" s="93" t="str">
        <f t="shared" si="2"/>
        <v/>
      </c>
      <c r="W33" s="94" t="str">
        <f t="shared" si="3"/>
        <v/>
      </c>
      <c r="X33" s="88"/>
      <c r="Y33" s="87" t="str">
        <f>IF(D33="","",IFERROR(VLOOKUP(I33,Assumptions!$B$40:$H$50,6,FALSE()),0)*M33)</f>
        <v/>
      </c>
      <c r="Z33" s="87" t="str">
        <f>IF(D33="","",IFERROR(VLOOKUP(I33,Assumptions!$B$40:$H$50,7,FALSE()),0)*M33)</f>
        <v/>
      </c>
      <c r="AA33" s="96" t="str">
        <f t="shared" si="4"/>
        <v/>
      </c>
      <c r="AB33" s="84" t="str">
        <f t="shared" si="5"/>
        <v/>
      </c>
      <c r="AC33" s="99"/>
      <c r="AD33" s="99"/>
      <c r="AE33" s="99"/>
      <c r="AF33" s="98" t="str">
        <f t="shared" si="6"/>
        <v>-</v>
      </c>
    </row>
    <row r="34" spans="2:32" ht="14.25" customHeight="1" thickBot="1" x14ac:dyDescent="0.4">
      <c r="B34" s="84" t="str">
        <f t="shared" si="8"/>
        <v/>
      </c>
      <c r="C34" s="85"/>
      <c r="D34" s="91"/>
      <c r="E34" s="68" t="str">
        <f>IF(D34="","",IFERROR(VLOOKUP(D34,'Portfolio List'!$B$4:$I$76,5,FALSE()),""))</f>
        <v/>
      </c>
      <c r="F34" s="68" t="str">
        <f>IF(D34="","",IFERROR(VLOOKUP(D34,'Portfolio List'!$B$4:$I$76,6,FALSE()),""))</f>
        <v/>
      </c>
      <c r="G34" s="68" t="str">
        <f>IF(D34="","",IFERROR(VLOOKUP(D34,'Portfolio List'!$B$4:$I$76,7,FALSE()),""))</f>
        <v/>
      </c>
      <c r="H34" s="71" t="str">
        <f>IF(D34="","",IFERROR(VLOOKUP(D34,'Portfolio List'!$B$4:$I$76,4,FALSE()),""))</f>
        <v/>
      </c>
      <c r="I34" s="91"/>
      <c r="J34" s="84" t="str">
        <f t="shared" si="7"/>
        <v/>
      </c>
      <c r="K34" s="91"/>
      <c r="L34" s="85"/>
      <c r="M34" s="97"/>
      <c r="N34" s="180"/>
      <c r="O34" s="92"/>
      <c r="P34" s="87">
        <f>IF(D34="",0,IF(I34="LED Lighting",M34*IF(AC34="Studio",Assumptions!$C$15,IF(AC34="1 Bedroom",Assumptions!$C$16,IF(AC34="2 Bedroom",Assumptions!$C$17,IF(AC34="3 Bedroom",Assumptions!$C$18,Assumptions!$C$16))))*N34*365/1000,IFERROR(VLOOKUP(I34,Assumptions!$B$40:$H$50,2,FALSE()),0)*M34))</f>
        <v>0</v>
      </c>
      <c r="Q34" s="87">
        <f>IF(D34="",0,IFERROR(VLOOKUP(I34,Assumptions!$B$40:$H$50,3,FALSE()),0)*M34)</f>
        <v>0</v>
      </c>
      <c r="R34" s="77">
        <f>IF(G34="",0.2161,IFERROR(VLOOKUP(G34,Assumptions!$B$53:$C$61,2,FALSE())/100,0.2161))</f>
        <v>0.21609999999999999</v>
      </c>
      <c r="S34" s="77">
        <f>IF(G34="",0,IFERROR(VLOOKUP(G34,Assumptions!$B$64:$C$72,2,FALSE())/1000,0.008))</f>
        <v>0</v>
      </c>
      <c r="T34" s="93" t="str">
        <f t="shared" si="0"/>
        <v/>
      </c>
      <c r="U34" s="93" t="str">
        <f t="shared" si="1"/>
        <v/>
      </c>
      <c r="V34" s="93" t="str">
        <f t="shared" si="2"/>
        <v/>
      </c>
      <c r="W34" s="94" t="str">
        <f t="shared" si="3"/>
        <v/>
      </c>
      <c r="X34" s="88"/>
      <c r="Y34" s="87" t="str">
        <f>IF(D34="","",IFERROR(VLOOKUP(I34,Assumptions!$B$40:$H$50,6,FALSE()),0)*M34)</f>
        <v/>
      </c>
      <c r="Z34" s="87" t="str">
        <f>IF(D34="","",IFERROR(VLOOKUP(I34,Assumptions!$B$40:$H$50,7,FALSE()),0)*M34)</f>
        <v/>
      </c>
      <c r="AA34" s="96" t="str">
        <f t="shared" si="4"/>
        <v/>
      </c>
      <c r="AB34" s="84" t="str">
        <f t="shared" si="5"/>
        <v/>
      </c>
      <c r="AC34" s="99"/>
      <c r="AD34" s="99"/>
      <c r="AE34" s="99"/>
      <c r="AF34" s="98" t="str">
        <f t="shared" si="6"/>
        <v>-</v>
      </c>
    </row>
    <row r="35" spans="2:32" ht="14.25" customHeight="1" thickBot="1" x14ac:dyDescent="0.4">
      <c r="B35" s="84" t="str">
        <f t="shared" si="8"/>
        <v/>
      </c>
      <c r="C35" s="85"/>
      <c r="D35" s="91"/>
      <c r="E35" s="68" t="str">
        <f>IF(D35="","",IFERROR(VLOOKUP(D35,'Portfolio List'!$B$4:$I$76,5,FALSE()),""))</f>
        <v/>
      </c>
      <c r="F35" s="68" t="str">
        <f>IF(D35="","",IFERROR(VLOOKUP(D35,'Portfolio List'!$B$4:$I$76,6,FALSE()),""))</f>
        <v/>
      </c>
      <c r="G35" s="68" t="str">
        <f>IF(D35="","",IFERROR(VLOOKUP(D35,'Portfolio List'!$B$4:$I$76,7,FALSE()),""))</f>
        <v/>
      </c>
      <c r="H35" s="71" t="str">
        <f>IF(D35="","",IFERROR(VLOOKUP(D35,'Portfolio List'!$B$4:$I$76,4,FALSE()),""))</f>
        <v/>
      </c>
      <c r="I35" s="91"/>
      <c r="J35" s="84" t="str">
        <f t="shared" si="7"/>
        <v/>
      </c>
      <c r="K35" s="91"/>
      <c r="L35" s="85"/>
      <c r="M35" s="97"/>
      <c r="N35" s="180"/>
      <c r="O35" s="92"/>
      <c r="P35" s="87">
        <f>IF(D35="",0,IF(I35="LED Lighting",M35*IF(AC35="Studio",Assumptions!$C$15,IF(AC35="1 Bedroom",Assumptions!$C$16,IF(AC35="2 Bedroom",Assumptions!$C$17,IF(AC35="3 Bedroom",Assumptions!$C$18,Assumptions!$C$16))))*N35*365/1000,IFERROR(VLOOKUP(I35,Assumptions!$B$40:$H$50,2,FALSE()),0)*M35))</f>
        <v>0</v>
      </c>
      <c r="Q35" s="87">
        <f>IF(D35="",0,IFERROR(VLOOKUP(I35,Assumptions!$B$40:$H$50,3,FALSE()),0)*M35)</f>
        <v>0</v>
      </c>
      <c r="R35" s="77">
        <f>IF(G35="",0.2161,IFERROR(VLOOKUP(G35,Assumptions!$B$53:$C$61,2,FALSE())/100,0.2161))</f>
        <v>0.21609999999999999</v>
      </c>
      <c r="S35" s="77">
        <f>IF(G35="",0,IFERROR(VLOOKUP(G35,Assumptions!$B$64:$C$72,2,FALSE())/1000,0.008))</f>
        <v>0</v>
      </c>
      <c r="T35" s="93" t="str">
        <f t="shared" si="0"/>
        <v/>
      </c>
      <c r="U35" s="93" t="str">
        <f t="shared" si="1"/>
        <v/>
      </c>
      <c r="V35" s="93" t="str">
        <f t="shared" si="2"/>
        <v/>
      </c>
      <c r="W35" s="94" t="str">
        <f t="shared" si="3"/>
        <v/>
      </c>
      <c r="X35" s="88"/>
      <c r="Y35" s="87" t="str">
        <f>IF(D35="","",IFERROR(VLOOKUP(I35,Assumptions!$B$40:$H$50,6,FALSE()),0)*M35)</f>
        <v/>
      </c>
      <c r="Z35" s="87" t="str">
        <f>IF(D35="","",IFERROR(VLOOKUP(I35,Assumptions!$B$40:$H$50,7,FALSE()),0)*M35)</f>
        <v/>
      </c>
      <c r="AA35" s="96" t="str">
        <f t="shared" si="4"/>
        <v/>
      </c>
      <c r="AB35" s="84" t="str">
        <f t="shared" si="5"/>
        <v/>
      </c>
      <c r="AC35" s="99"/>
      <c r="AD35" s="99"/>
      <c r="AE35" s="99"/>
      <c r="AF35" s="98" t="str">
        <f t="shared" si="6"/>
        <v>-</v>
      </c>
    </row>
    <row r="36" spans="2:32" ht="14.25" customHeight="1" thickBot="1" x14ac:dyDescent="0.4">
      <c r="B36" s="84" t="str">
        <f t="shared" si="8"/>
        <v/>
      </c>
      <c r="C36" s="85"/>
      <c r="D36" s="91"/>
      <c r="E36" s="68" t="str">
        <f>IF(D36="","",IFERROR(VLOOKUP(D36,'Portfolio List'!$B$4:$I$76,5,FALSE()),""))</f>
        <v/>
      </c>
      <c r="F36" s="68" t="str">
        <f>IF(D36="","",IFERROR(VLOOKUP(D36,'Portfolio List'!$B$4:$I$76,6,FALSE()),""))</f>
        <v/>
      </c>
      <c r="G36" s="68" t="str">
        <f>IF(D36="","",IFERROR(VLOOKUP(D36,'Portfolio List'!$B$4:$I$76,7,FALSE()),""))</f>
        <v/>
      </c>
      <c r="H36" s="71" t="str">
        <f>IF(D36="","",IFERROR(VLOOKUP(D36,'Portfolio List'!$B$4:$I$76,4,FALSE()),""))</f>
        <v/>
      </c>
      <c r="I36" s="91"/>
      <c r="J36" s="84" t="str">
        <f t="shared" si="7"/>
        <v/>
      </c>
      <c r="K36" s="91"/>
      <c r="L36" s="85"/>
      <c r="M36" s="97"/>
      <c r="N36" s="180"/>
      <c r="O36" s="92"/>
      <c r="P36" s="87">
        <f>IF(D36="",0,IF(I36="LED Lighting",M36*IF(AC36="Studio",Assumptions!$C$15,IF(AC36="1 Bedroom",Assumptions!$C$16,IF(AC36="2 Bedroom",Assumptions!$C$17,IF(AC36="3 Bedroom",Assumptions!$C$18,Assumptions!$C$16))))*N36*365/1000,IFERROR(VLOOKUP(I36,Assumptions!$B$40:$H$50,2,FALSE()),0)*M36))</f>
        <v>0</v>
      </c>
      <c r="Q36" s="87">
        <f>IF(D36="",0,IFERROR(VLOOKUP(I36,Assumptions!$B$40:$H$50,3,FALSE()),0)*M36)</f>
        <v>0</v>
      </c>
      <c r="R36" s="77">
        <f>IF(G36="",0.2161,IFERROR(VLOOKUP(G36,Assumptions!$B$53:$C$61,2,FALSE())/100,0.2161))</f>
        <v>0.21609999999999999</v>
      </c>
      <c r="S36" s="77">
        <f>IF(G36="",0,IFERROR(VLOOKUP(G36,Assumptions!$B$64:$C$72,2,FALSE())/1000,0.008))</f>
        <v>0</v>
      </c>
      <c r="T36" s="93" t="str">
        <f t="shared" si="0"/>
        <v/>
      </c>
      <c r="U36" s="93" t="str">
        <f t="shared" si="1"/>
        <v/>
      </c>
      <c r="V36" s="93" t="str">
        <f t="shared" si="2"/>
        <v/>
      </c>
      <c r="W36" s="94" t="str">
        <f t="shared" si="3"/>
        <v/>
      </c>
      <c r="X36" s="88"/>
      <c r="Y36" s="87" t="str">
        <f>IF(D36="","",IFERROR(VLOOKUP(I36,Assumptions!$B$40:$H$50,6,FALSE()),0)*M36)</f>
        <v/>
      </c>
      <c r="Z36" s="87" t="str">
        <f>IF(D36="","",IFERROR(VLOOKUP(I36,Assumptions!$B$40:$H$50,7,FALSE()),0)*M36)</f>
        <v/>
      </c>
      <c r="AA36" s="96" t="str">
        <f t="shared" si="4"/>
        <v/>
      </c>
      <c r="AB36" s="84" t="str">
        <f t="shared" si="5"/>
        <v/>
      </c>
      <c r="AC36" s="99"/>
      <c r="AD36" s="99"/>
      <c r="AE36" s="99"/>
      <c r="AF36" s="98" t="str">
        <f t="shared" si="6"/>
        <v>-</v>
      </c>
    </row>
    <row r="37" spans="2:32" ht="14.25" customHeight="1" thickBot="1" x14ac:dyDescent="0.4">
      <c r="B37" s="84" t="str">
        <f t="shared" si="8"/>
        <v/>
      </c>
      <c r="C37" s="85"/>
      <c r="D37" s="91"/>
      <c r="E37" s="68" t="str">
        <f>IF(D37="","",IFERROR(VLOOKUP(D37,'Portfolio List'!$B$4:$I$76,5,FALSE()),""))</f>
        <v/>
      </c>
      <c r="F37" s="68" t="str">
        <f>IF(D37="","",IFERROR(VLOOKUP(D37,'Portfolio List'!$B$4:$I$76,6,FALSE()),""))</f>
        <v/>
      </c>
      <c r="G37" s="68" t="str">
        <f>IF(D37="","",IFERROR(VLOOKUP(D37,'Portfolio List'!$B$4:$I$76,7,FALSE()),""))</f>
        <v/>
      </c>
      <c r="H37" s="71" t="str">
        <f>IF(D37="","",IFERROR(VLOOKUP(D37,'Portfolio List'!$B$4:$I$76,4,FALSE()),""))</f>
        <v/>
      </c>
      <c r="I37" s="91"/>
      <c r="J37" s="84" t="str">
        <f t="shared" si="7"/>
        <v/>
      </c>
      <c r="K37" s="91"/>
      <c r="L37" s="85"/>
      <c r="M37" s="97"/>
      <c r="N37" s="180"/>
      <c r="O37" s="92"/>
      <c r="P37" s="87">
        <f>IF(D37="",0,IF(I37="LED Lighting",M37*IF(AC37="Studio",Assumptions!$C$15,IF(AC37="1 Bedroom",Assumptions!$C$16,IF(AC37="2 Bedroom",Assumptions!$C$17,IF(AC37="3 Bedroom",Assumptions!$C$18,Assumptions!$C$16))))*N37*365/1000,IFERROR(VLOOKUP(I37,Assumptions!$B$40:$H$50,2,FALSE()),0)*M37))</f>
        <v>0</v>
      </c>
      <c r="Q37" s="87">
        <f>IF(D37="",0,IFERROR(VLOOKUP(I37,Assumptions!$B$40:$H$50,3,FALSE()),0)*M37)</f>
        <v>0</v>
      </c>
      <c r="R37" s="77">
        <f>IF(G37="",0.2161,IFERROR(VLOOKUP(G37,Assumptions!$B$53:$C$61,2,FALSE())/100,0.2161))</f>
        <v>0.21609999999999999</v>
      </c>
      <c r="S37" s="77">
        <f>IF(G37="",0,IFERROR(VLOOKUP(G37,Assumptions!$B$64:$C$72,2,FALSE())/1000,0.008))</f>
        <v>0</v>
      </c>
      <c r="T37" s="93" t="str">
        <f t="shared" si="0"/>
        <v/>
      </c>
      <c r="U37" s="93" t="str">
        <f t="shared" si="1"/>
        <v/>
      </c>
      <c r="V37" s="93" t="str">
        <f t="shared" si="2"/>
        <v/>
      </c>
      <c r="W37" s="94" t="str">
        <f t="shared" si="3"/>
        <v/>
      </c>
      <c r="X37" s="88"/>
      <c r="Y37" s="87" t="str">
        <f>IF(D37="","",IFERROR(VLOOKUP(I37,Assumptions!$B$40:$H$50,6,FALSE()),0)*M37)</f>
        <v/>
      </c>
      <c r="Z37" s="87" t="str">
        <f>IF(D37="","",IFERROR(VLOOKUP(I37,Assumptions!$B$40:$H$50,7,FALSE()),0)*M37)</f>
        <v/>
      </c>
      <c r="AA37" s="96" t="str">
        <f t="shared" si="4"/>
        <v/>
      </c>
      <c r="AB37" s="84" t="str">
        <f t="shared" si="5"/>
        <v/>
      </c>
      <c r="AC37" s="99"/>
      <c r="AD37" s="99"/>
      <c r="AE37" s="99"/>
      <c r="AF37" s="98" t="str">
        <f t="shared" si="6"/>
        <v>-</v>
      </c>
    </row>
    <row r="38" spans="2:32" ht="14.25" customHeight="1" thickBot="1" x14ac:dyDescent="0.4">
      <c r="B38" s="84" t="str">
        <f t="shared" si="8"/>
        <v/>
      </c>
      <c r="C38" s="85"/>
      <c r="D38" s="91"/>
      <c r="E38" s="68" t="str">
        <f>IF(D38="","",IFERROR(VLOOKUP(D38,'Portfolio List'!$B$4:$I$76,5,FALSE()),""))</f>
        <v/>
      </c>
      <c r="F38" s="68" t="str">
        <f>IF(D38="","",IFERROR(VLOOKUP(D38,'Portfolio List'!$B$4:$I$76,6,FALSE()),""))</f>
        <v/>
      </c>
      <c r="G38" s="68" t="str">
        <f>IF(D38="","",IFERROR(VLOOKUP(D38,'Portfolio List'!$B$4:$I$76,7,FALSE()),""))</f>
        <v/>
      </c>
      <c r="H38" s="71" t="str">
        <f>IF(D38="","",IFERROR(VLOOKUP(D38,'Portfolio List'!$B$4:$I$76,4,FALSE()),""))</f>
        <v/>
      </c>
      <c r="I38" s="91"/>
      <c r="J38" s="84" t="str">
        <f t="shared" si="7"/>
        <v/>
      </c>
      <c r="K38" s="91"/>
      <c r="L38" s="85"/>
      <c r="M38" s="97"/>
      <c r="N38" s="180"/>
      <c r="O38" s="92"/>
      <c r="P38" s="87">
        <f>IF(D38="",0,IF(I38="LED Lighting",M38*IF(AC38="Studio",Assumptions!$C$15,IF(AC38="1 Bedroom",Assumptions!$C$16,IF(AC38="2 Bedroom",Assumptions!$C$17,IF(AC38="3 Bedroom",Assumptions!$C$18,Assumptions!$C$16))))*N38*365/1000,IFERROR(VLOOKUP(I38,Assumptions!$B$40:$H$50,2,FALSE()),0)*M38))</f>
        <v>0</v>
      </c>
      <c r="Q38" s="87">
        <f>IF(D38="",0,IFERROR(VLOOKUP(I38,Assumptions!$B$40:$H$50,3,FALSE()),0)*M38)</f>
        <v>0</v>
      </c>
      <c r="R38" s="77">
        <f>IF(G38="",0.2161,IFERROR(VLOOKUP(G38,Assumptions!$B$53:$C$61,2,FALSE())/100,0.2161))</f>
        <v>0.21609999999999999</v>
      </c>
      <c r="S38" s="77">
        <f>IF(G38="",0,IFERROR(VLOOKUP(G38,Assumptions!$B$64:$C$72,2,FALSE())/1000,0.008))</f>
        <v>0</v>
      </c>
      <c r="T38" s="93" t="str">
        <f t="shared" ref="T38:T69" si="9">IF(D38="","",P38*R38)</f>
        <v/>
      </c>
      <c r="U38" s="93" t="str">
        <f t="shared" ref="U38:U69" si="10">IF(D38="","",Q38*S38)</f>
        <v/>
      </c>
      <c r="V38" s="93" t="str">
        <f t="shared" ref="V38:V69" si="11">IF(D38="","",T38+U38)</f>
        <v/>
      </c>
      <c r="W38" s="94" t="str">
        <f t="shared" ref="W38:W69" si="12">IF(OR(D38="",O38="",O38&lt;=0,V38="",V38&lt;=0),"",IFERROR(O38/V38,""))</f>
        <v/>
      </c>
      <c r="X38" s="88"/>
      <c r="Y38" s="87" t="str">
        <f>IF(D38="","",IFERROR(VLOOKUP(I38,Assumptions!$B$40:$H$50,6,FALSE()),0)*M38)</f>
        <v/>
      </c>
      <c r="Z38" s="87" t="str">
        <f>IF(D38="","",IFERROR(VLOOKUP(I38,Assumptions!$B$40:$H$50,7,FALSE()),0)*M38)</f>
        <v/>
      </c>
      <c r="AA38" s="96" t="str">
        <f t="shared" ref="AA38:AA69" si="13">IF(L38="","",YEAR(L38))</f>
        <v/>
      </c>
      <c r="AB38" s="84" t="str">
        <f t="shared" ref="AB38:AB69" si="14">IF(L38="","","Q"&amp;INT((MONTH(L38)+2)/3))</f>
        <v/>
      </c>
      <c r="AC38" s="99"/>
      <c r="AD38" s="99"/>
      <c r="AE38" s="99"/>
      <c r="AF38" s="98" t="str">
        <f t="shared" ref="AF38:AF69" si="15">IFERROR(AE38/AD38,"-")</f>
        <v>-</v>
      </c>
    </row>
    <row r="39" spans="2:32" ht="14.25" customHeight="1" thickBot="1" x14ac:dyDescent="0.4">
      <c r="B39" s="84" t="str">
        <f t="shared" si="8"/>
        <v/>
      </c>
      <c r="C39" s="85"/>
      <c r="D39" s="91"/>
      <c r="E39" s="68" t="str">
        <f>IF(D39="","",IFERROR(VLOOKUP(D39,'Portfolio List'!$B$4:$I$76,5,FALSE()),""))</f>
        <v/>
      </c>
      <c r="F39" s="68" t="str">
        <f>IF(D39="","",IFERROR(VLOOKUP(D39,'Portfolio List'!$B$4:$I$76,6,FALSE()),""))</f>
        <v/>
      </c>
      <c r="G39" s="68" t="str">
        <f>IF(D39="","",IFERROR(VLOOKUP(D39,'Portfolio List'!$B$4:$I$76,7,FALSE()),""))</f>
        <v/>
      </c>
      <c r="H39" s="71" t="str">
        <f>IF(D39="","",IFERROR(VLOOKUP(D39,'Portfolio List'!$B$4:$I$76,4,FALSE()),""))</f>
        <v/>
      </c>
      <c r="I39" s="91"/>
      <c r="J39" s="84" t="str">
        <f t="shared" si="7"/>
        <v/>
      </c>
      <c r="K39" s="91"/>
      <c r="L39" s="85"/>
      <c r="M39" s="97"/>
      <c r="N39" s="180"/>
      <c r="O39" s="92"/>
      <c r="P39" s="87">
        <f>IF(D39="",0,IF(I39="LED Lighting",M39*IF(AC39="Studio",Assumptions!$C$15,IF(AC39="1 Bedroom",Assumptions!$C$16,IF(AC39="2 Bedroom",Assumptions!$C$17,IF(AC39="3 Bedroom",Assumptions!$C$18,Assumptions!$C$16))))*N39*365/1000,IFERROR(VLOOKUP(I39,Assumptions!$B$40:$H$50,2,FALSE()),0)*M39))</f>
        <v>0</v>
      </c>
      <c r="Q39" s="87">
        <f>IF(D39="",0,IFERROR(VLOOKUP(I39,Assumptions!$B$40:$H$50,3,FALSE()),0)*M39)</f>
        <v>0</v>
      </c>
      <c r="R39" s="77">
        <f>IF(G39="",0.2161,IFERROR(VLOOKUP(G39,Assumptions!$B$53:$C$61,2,FALSE())/100,0.2161))</f>
        <v>0.21609999999999999</v>
      </c>
      <c r="S39" s="77">
        <f>IF(G39="",0,IFERROR(VLOOKUP(G39,Assumptions!$B$64:$C$72,2,FALSE())/1000,0.008))</f>
        <v>0</v>
      </c>
      <c r="T39" s="93" t="str">
        <f t="shared" si="9"/>
        <v/>
      </c>
      <c r="U39" s="93" t="str">
        <f t="shared" si="10"/>
        <v/>
      </c>
      <c r="V39" s="93" t="str">
        <f t="shared" si="11"/>
        <v/>
      </c>
      <c r="W39" s="94" t="str">
        <f t="shared" si="12"/>
        <v/>
      </c>
      <c r="X39" s="88"/>
      <c r="Y39" s="87" t="str">
        <f>IF(D39="","",IFERROR(VLOOKUP(I39,Assumptions!$B$40:$H$50,6,FALSE()),0)*M39)</f>
        <v/>
      </c>
      <c r="Z39" s="87" t="str">
        <f>IF(D39="","",IFERROR(VLOOKUP(I39,Assumptions!$B$40:$H$50,7,FALSE()),0)*M39)</f>
        <v/>
      </c>
      <c r="AA39" s="96" t="str">
        <f t="shared" si="13"/>
        <v/>
      </c>
      <c r="AB39" s="84" t="str">
        <f t="shared" si="14"/>
        <v/>
      </c>
      <c r="AC39" s="99"/>
      <c r="AD39" s="99"/>
      <c r="AE39" s="99"/>
      <c r="AF39" s="98" t="str">
        <f t="shared" si="15"/>
        <v>-</v>
      </c>
    </row>
    <row r="40" spans="2:32" ht="14.25" customHeight="1" thickBot="1" x14ac:dyDescent="0.4">
      <c r="B40" s="84" t="str">
        <f t="shared" si="8"/>
        <v/>
      </c>
      <c r="C40" s="85"/>
      <c r="D40" s="91"/>
      <c r="E40" s="68" t="str">
        <f>IF(D40="","",IFERROR(VLOOKUP(D40,'Portfolio List'!$B$4:$I$76,5,FALSE()),""))</f>
        <v/>
      </c>
      <c r="F40" s="68" t="str">
        <f>IF(D40="","",IFERROR(VLOOKUP(D40,'Portfolio List'!$B$4:$I$76,6,FALSE()),""))</f>
        <v/>
      </c>
      <c r="G40" s="68" t="str">
        <f>IF(D40="","",IFERROR(VLOOKUP(D40,'Portfolio List'!$B$4:$I$76,7,FALSE()),""))</f>
        <v/>
      </c>
      <c r="H40" s="71" t="str">
        <f>IF(D40="","",IFERROR(VLOOKUP(D40,'Portfolio List'!$B$4:$I$76,4,FALSE()),""))</f>
        <v/>
      </c>
      <c r="I40" s="91"/>
      <c r="J40" s="84" t="str">
        <f t="shared" si="7"/>
        <v/>
      </c>
      <c r="K40" s="91"/>
      <c r="L40" s="85"/>
      <c r="M40" s="97"/>
      <c r="N40" s="180"/>
      <c r="O40" s="92"/>
      <c r="P40" s="87">
        <f>IF(D40="",0,IF(I40="LED Lighting",M40*IF(AC40="Studio",Assumptions!$C$15,IF(AC40="1 Bedroom",Assumptions!$C$16,IF(AC40="2 Bedroom",Assumptions!$C$17,IF(AC40="3 Bedroom",Assumptions!$C$18,Assumptions!$C$16))))*N40*365/1000,IFERROR(VLOOKUP(I40,Assumptions!$B$40:$H$50,2,FALSE()),0)*M40))</f>
        <v>0</v>
      </c>
      <c r="Q40" s="87">
        <f>IF(D40="",0,IFERROR(VLOOKUP(I40,Assumptions!$B$40:$H$50,3,FALSE()),0)*M40)</f>
        <v>0</v>
      </c>
      <c r="R40" s="77">
        <f>IF(G40="",0.2161,IFERROR(VLOOKUP(G40,Assumptions!$B$53:$C$61,2,FALSE())/100,0.2161))</f>
        <v>0.21609999999999999</v>
      </c>
      <c r="S40" s="77">
        <f>IF(G40="",0,IFERROR(VLOOKUP(G40,Assumptions!$B$64:$C$72,2,FALSE())/1000,0.008))</f>
        <v>0</v>
      </c>
      <c r="T40" s="93" t="str">
        <f t="shared" si="9"/>
        <v/>
      </c>
      <c r="U40" s="93" t="str">
        <f t="shared" si="10"/>
        <v/>
      </c>
      <c r="V40" s="93" t="str">
        <f t="shared" si="11"/>
        <v/>
      </c>
      <c r="W40" s="94" t="str">
        <f t="shared" si="12"/>
        <v/>
      </c>
      <c r="X40" s="88"/>
      <c r="Y40" s="87" t="str">
        <f>IF(D40="","",IFERROR(VLOOKUP(I40,Assumptions!$B$40:$H$50,6,FALSE()),0)*M40)</f>
        <v/>
      </c>
      <c r="Z40" s="87" t="str">
        <f>IF(D40="","",IFERROR(VLOOKUP(I40,Assumptions!$B$40:$H$50,7,FALSE()),0)*M40)</f>
        <v/>
      </c>
      <c r="AA40" s="96" t="str">
        <f t="shared" si="13"/>
        <v/>
      </c>
      <c r="AB40" s="84" t="str">
        <f t="shared" si="14"/>
        <v/>
      </c>
      <c r="AC40" s="99"/>
      <c r="AD40" s="99"/>
      <c r="AE40" s="99"/>
      <c r="AF40" s="98" t="str">
        <f t="shared" si="15"/>
        <v>-</v>
      </c>
    </row>
    <row r="41" spans="2:32" ht="14.25" customHeight="1" thickBot="1" x14ac:dyDescent="0.4">
      <c r="B41" s="84" t="str">
        <f t="shared" si="8"/>
        <v/>
      </c>
      <c r="C41" s="85"/>
      <c r="D41" s="91"/>
      <c r="E41" s="68" t="str">
        <f>IF(D41="","",IFERROR(VLOOKUP(D41,'Portfolio List'!$B$4:$I$76,5,FALSE()),""))</f>
        <v/>
      </c>
      <c r="F41" s="68" t="str">
        <f>IF(D41="","",IFERROR(VLOOKUP(D41,'Portfolio List'!$B$4:$I$76,6,FALSE()),""))</f>
        <v/>
      </c>
      <c r="G41" s="68" t="str">
        <f>IF(D41="","",IFERROR(VLOOKUP(D41,'Portfolio List'!$B$4:$I$76,7,FALSE()),""))</f>
        <v/>
      </c>
      <c r="H41" s="71" t="str">
        <f>IF(D41="","",IFERROR(VLOOKUP(D41,'Portfolio List'!$B$4:$I$76,4,FALSE()),""))</f>
        <v/>
      </c>
      <c r="I41" s="91"/>
      <c r="J41" s="84" t="str">
        <f t="shared" si="7"/>
        <v/>
      </c>
      <c r="K41" s="91"/>
      <c r="L41" s="85"/>
      <c r="M41" s="97"/>
      <c r="N41" s="180"/>
      <c r="O41" s="92"/>
      <c r="P41" s="87">
        <f>IF(D41="",0,IF(I41="LED Lighting",M41*IF(AC41="Studio",Assumptions!$C$15,IF(AC41="1 Bedroom",Assumptions!$C$16,IF(AC41="2 Bedroom",Assumptions!$C$17,IF(AC41="3 Bedroom",Assumptions!$C$18,Assumptions!$C$16))))*N41*365/1000,IFERROR(VLOOKUP(I41,Assumptions!$B$40:$H$50,2,FALSE()),0)*M41))</f>
        <v>0</v>
      </c>
      <c r="Q41" s="87">
        <f>IF(D41="",0,IFERROR(VLOOKUP(I41,Assumptions!$B$40:$H$50,3,FALSE()),0)*M41)</f>
        <v>0</v>
      </c>
      <c r="R41" s="77">
        <f>IF(G41="",0.2161,IFERROR(VLOOKUP(G41,Assumptions!$B$53:$C$61,2,FALSE())/100,0.2161))</f>
        <v>0.21609999999999999</v>
      </c>
      <c r="S41" s="77">
        <f>IF(G41="",0,IFERROR(VLOOKUP(G41,Assumptions!$B$64:$C$72,2,FALSE())/1000,0.008))</f>
        <v>0</v>
      </c>
      <c r="T41" s="93" t="str">
        <f t="shared" si="9"/>
        <v/>
      </c>
      <c r="U41" s="93" t="str">
        <f t="shared" si="10"/>
        <v/>
      </c>
      <c r="V41" s="93" t="str">
        <f t="shared" si="11"/>
        <v/>
      </c>
      <c r="W41" s="94" t="str">
        <f t="shared" si="12"/>
        <v/>
      </c>
      <c r="X41" s="88"/>
      <c r="Y41" s="87" t="str">
        <f>IF(D41="","",IFERROR(VLOOKUP(I41,Assumptions!$B$40:$H$50,6,FALSE()),0)*M41)</f>
        <v/>
      </c>
      <c r="Z41" s="87" t="str">
        <f>IF(D41="","",IFERROR(VLOOKUP(I41,Assumptions!$B$40:$H$50,7,FALSE()),0)*M41)</f>
        <v/>
      </c>
      <c r="AA41" s="96" t="str">
        <f t="shared" si="13"/>
        <v/>
      </c>
      <c r="AB41" s="84" t="str">
        <f t="shared" si="14"/>
        <v/>
      </c>
      <c r="AC41" s="99"/>
      <c r="AD41" s="99"/>
      <c r="AE41" s="99"/>
      <c r="AF41" s="98" t="str">
        <f t="shared" si="15"/>
        <v>-</v>
      </c>
    </row>
    <row r="42" spans="2:32" ht="14.25" customHeight="1" thickBot="1" x14ac:dyDescent="0.4">
      <c r="B42" s="84" t="str">
        <f t="shared" si="8"/>
        <v/>
      </c>
      <c r="C42" s="85"/>
      <c r="D42" s="91"/>
      <c r="E42" s="68" t="str">
        <f>IF(D42="","",IFERROR(VLOOKUP(D42,'Portfolio List'!$B$4:$I$76,5,FALSE()),""))</f>
        <v/>
      </c>
      <c r="F42" s="68" t="str">
        <f>IF(D42="","",IFERROR(VLOOKUP(D42,'Portfolio List'!$B$4:$I$76,6,FALSE()),""))</f>
        <v/>
      </c>
      <c r="G42" s="68" t="str">
        <f>IF(D42="","",IFERROR(VLOOKUP(D42,'Portfolio List'!$B$4:$I$76,7,FALSE()),""))</f>
        <v/>
      </c>
      <c r="H42" s="71" t="str">
        <f>IF(D42="","",IFERROR(VLOOKUP(D42,'Portfolio List'!$B$4:$I$76,4,FALSE()),""))</f>
        <v/>
      </c>
      <c r="I42" s="91"/>
      <c r="J42" s="84" t="str">
        <f t="shared" si="7"/>
        <v/>
      </c>
      <c r="K42" s="91"/>
      <c r="L42" s="85"/>
      <c r="M42" s="97"/>
      <c r="N42" s="180"/>
      <c r="O42" s="92"/>
      <c r="P42" s="87">
        <f>IF(D42="",0,IF(I42="LED Lighting",M42*IF(AC42="Studio",Assumptions!$C$15,IF(AC42="1 Bedroom",Assumptions!$C$16,IF(AC42="2 Bedroom",Assumptions!$C$17,IF(AC42="3 Bedroom",Assumptions!$C$18,Assumptions!$C$16))))*N42*365/1000,IFERROR(VLOOKUP(I42,Assumptions!$B$40:$H$50,2,FALSE()),0)*M42))</f>
        <v>0</v>
      </c>
      <c r="Q42" s="87">
        <f>IF(D42="",0,IFERROR(VLOOKUP(I42,Assumptions!$B$40:$H$50,3,FALSE()),0)*M42)</f>
        <v>0</v>
      </c>
      <c r="R42" s="77">
        <f>IF(G42="",0.2161,IFERROR(VLOOKUP(G42,Assumptions!$B$53:$C$61,2,FALSE())/100,0.2161))</f>
        <v>0.21609999999999999</v>
      </c>
      <c r="S42" s="77">
        <f>IF(G42="",0,IFERROR(VLOOKUP(G42,Assumptions!$B$64:$C$72,2,FALSE())/1000,0.008))</f>
        <v>0</v>
      </c>
      <c r="T42" s="93" t="str">
        <f t="shared" si="9"/>
        <v/>
      </c>
      <c r="U42" s="93" t="str">
        <f t="shared" si="10"/>
        <v/>
      </c>
      <c r="V42" s="93" t="str">
        <f t="shared" si="11"/>
        <v/>
      </c>
      <c r="W42" s="94" t="str">
        <f t="shared" si="12"/>
        <v/>
      </c>
      <c r="X42" s="88"/>
      <c r="Y42" s="87" t="str">
        <f>IF(D42="","",IFERROR(VLOOKUP(I42,Assumptions!$B$40:$H$50,6,FALSE()),0)*M42)</f>
        <v/>
      </c>
      <c r="Z42" s="87" t="str">
        <f>IF(D42="","",IFERROR(VLOOKUP(I42,Assumptions!$B$40:$H$50,7,FALSE()),0)*M42)</f>
        <v/>
      </c>
      <c r="AA42" s="96" t="str">
        <f t="shared" si="13"/>
        <v/>
      </c>
      <c r="AB42" s="84" t="str">
        <f t="shared" si="14"/>
        <v/>
      </c>
      <c r="AC42" s="99"/>
      <c r="AD42" s="99"/>
      <c r="AE42" s="99"/>
      <c r="AF42" s="98" t="str">
        <f t="shared" si="15"/>
        <v>-</v>
      </c>
    </row>
    <row r="43" spans="2:32" ht="14.25" customHeight="1" thickBot="1" x14ac:dyDescent="0.4">
      <c r="B43" s="84" t="str">
        <f t="shared" si="8"/>
        <v/>
      </c>
      <c r="C43" s="85"/>
      <c r="D43" s="91"/>
      <c r="E43" s="68" t="str">
        <f>IF(D43="","",IFERROR(VLOOKUP(D43,'Portfolio List'!$B$4:$I$76,5,FALSE()),""))</f>
        <v/>
      </c>
      <c r="F43" s="68" t="str">
        <f>IF(D43="","",IFERROR(VLOOKUP(D43,'Portfolio List'!$B$4:$I$76,6,FALSE()),""))</f>
        <v/>
      </c>
      <c r="G43" s="68" t="str">
        <f>IF(D43="","",IFERROR(VLOOKUP(D43,'Portfolio List'!$B$4:$I$76,7,FALSE()),""))</f>
        <v/>
      </c>
      <c r="H43" s="71" t="str">
        <f>IF(D43="","",IFERROR(VLOOKUP(D43,'Portfolio List'!$B$4:$I$76,4,FALSE()),""))</f>
        <v/>
      </c>
      <c r="I43" s="91"/>
      <c r="J43" s="84" t="str">
        <f t="shared" si="7"/>
        <v/>
      </c>
      <c r="K43" s="91"/>
      <c r="L43" s="85"/>
      <c r="M43" s="97"/>
      <c r="N43" s="180"/>
      <c r="O43" s="92"/>
      <c r="P43" s="87">
        <f>IF(D43="",0,IF(I43="LED Lighting",M43*IF(AC43="Studio",Assumptions!$C$15,IF(AC43="1 Bedroom",Assumptions!$C$16,IF(AC43="2 Bedroom",Assumptions!$C$17,IF(AC43="3 Bedroom",Assumptions!$C$18,Assumptions!$C$16))))*N43*365/1000,IFERROR(VLOOKUP(I43,Assumptions!$B$40:$H$50,2,FALSE()),0)*M43))</f>
        <v>0</v>
      </c>
      <c r="Q43" s="87">
        <f>IF(D43="",0,IFERROR(VLOOKUP(I43,Assumptions!$B$40:$H$50,3,FALSE()),0)*M43)</f>
        <v>0</v>
      </c>
      <c r="R43" s="77">
        <f>IF(G43="",0.2161,IFERROR(VLOOKUP(G43,Assumptions!$B$53:$C$61,2,FALSE())/100,0.2161))</f>
        <v>0.21609999999999999</v>
      </c>
      <c r="S43" s="77">
        <f>IF(G43="",0,IFERROR(VLOOKUP(G43,Assumptions!$B$64:$C$72,2,FALSE())/1000,0.008))</f>
        <v>0</v>
      </c>
      <c r="T43" s="93" t="str">
        <f t="shared" si="9"/>
        <v/>
      </c>
      <c r="U43" s="93" t="str">
        <f t="shared" si="10"/>
        <v/>
      </c>
      <c r="V43" s="93" t="str">
        <f t="shared" si="11"/>
        <v/>
      </c>
      <c r="W43" s="94" t="str">
        <f t="shared" si="12"/>
        <v/>
      </c>
      <c r="X43" s="88"/>
      <c r="Y43" s="87" t="str">
        <f>IF(D43="","",IFERROR(VLOOKUP(I43,Assumptions!$B$40:$H$50,6,FALSE()),0)*M43)</f>
        <v/>
      </c>
      <c r="Z43" s="87" t="str">
        <f>IF(D43="","",IFERROR(VLOOKUP(I43,Assumptions!$B$40:$H$50,7,FALSE()),0)*M43)</f>
        <v/>
      </c>
      <c r="AA43" s="96" t="str">
        <f t="shared" si="13"/>
        <v/>
      </c>
      <c r="AB43" s="84" t="str">
        <f t="shared" si="14"/>
        <v/>
      </c>
      <c r="AC43" s="99"/>
      <c r="AD43" s="99"/>
      <c r="AE43" s="99"/>
      <c r="AF43" s="98" t="str">
        <f t="shared" si="15"/>
        <v>-</v>
      </c>
    </row>
    <row r="44" spans="2:32" ht="14.25" customHeight="1" thickBot="1" x14ac:dyDescent="0.4">
      <c r="B44" s="84" t="str">
        <f t="shared" si="8"/>
        <v/>
      </c>
      <c r="C44" s="85"/>
      <c r="D44" s="91"/>
      <c r="E44" s="68" t="str">
        <f>IF(D44="","",IFERROR(VLOOKUP(D44,'Portfolio List'!$B$4:$I$76,5,FALSE()),""))</f>
        <v/>
      </c>
      <c r="F44" s="68" t="str">
        <f>IF(D44="","",IFERROR(VLOOKUP(D44,'Portfolio List'!$B$4:$I$76,6,FALSE()),""))</f>
        <v/>
      </c>
      <c r="G44" s="68" t="str">
        <f>IF(D44="","",IFERROR(VLOOKUP(D44,'Portfolio List'!$B$4:$I$76,7,FALSE()),""))</f>
        <v/>
      </c>
      <c r="H44" s="71" t="str">
        <f>IF(D44="","",IFERROR(VLOOKUP(D44,'Portfolio List'!$B$4:$I$76,4,FALSE()),""))</f>
        <v/>
      </c>
      <c r="I44" s="91"/>
      <c r="J44" s="84" t="str">
        <f t="shared" si="7"/>
        <v/>
      </c>
      <c r="K44" s="91"/>
      <c r="L44" s="85"/>
      <c r="M44" s="97"/>
      <c r="N44" s="180"/>
      <c r="O44" s="92"/>
      <c r="P44" s="87">
        <f>IF(D44="",0,IF(I44="LED Lighting",M44*IF(AC44="Studio",Assumptions!$C$15,IF(AC44="1 Bedroom",Assumptions!$C$16,IF(AC44="2 Bedroom",Assumptions!$C$17,IF(AC44="3 Bedroom",Assumptions!$C$18,Assumptions!$C$16))))*N44*365/1000,IFERROR(VLOOKUP(I44,Assumptions!$B$40:$H$50,2,FALSE()),0)*M44))</f>
        <v>0</v>
      </c>
      <c r="Q44" s="87">
        <f>IF(D44="",0,IFERROR(VLOOKUP(I44,Assumptions!$B$40:$H$50,3,FALSE()),0)*M44)</f>
        <v>0</v>
      </c>
      <c r="R44" s="77">
        <f>IF(G44="",0.2161,IFERROR(VLOOKUP(G44,Assumptions!$B$53:$C$61,2,FALSE())/100,0.2161))</f>
        <v>0.21609999999999999</v>
      </c>
      <c r="S44" s="77">
        <f>IF(G44="",0,IFERROR(VLOOKUP(G44,Assumptions!$B$64:$C$72,2,FALSE())/1000,0.008))</f>
        <v>0</v>
      </c>
      <c r="T44" s="93" t="str">
        <f t="shared" si="9"/>
        <v/>
      </c>
      <c r="U44" s="93" t="str">
        <f t="shared" si="10"/>
        <v/>
      </c>
      <c r="V44" s="93" t="str">
        <f t="shared" si="11"/>
        <v/>
      </c>
      <c r="W44" s="94" t="str">
        <f t="shared" si="12"/>
        <v/>
      </c>
      <c r="X44" s="88"/>
      <c r="Y44" s="87" t="str">
        <f>IF(D44="","",IFERROR(VLOOKUP(I44,Assumptions!$B$40:$H$50,6,FALSE()),0)*M44)</f>
        <v/>
      </c>
      <c r="Z44" s="87" t="str">
        <f>IF(D44="","",IFERROR(VLOOKUP(I44,Assumptions!$B$40:$H$50,7,FALSE()),0)*M44)</f>
        <v/>
      </c>
      <c r="AA44" s="96" t="str">
        <f t="shared" si="13"/>
        <v/>
      </c>
      <c r="AB44" s="84" t="str">
        <f t="shared" si="14"/>
        <v/>
      </c>
      <c r="AC44" s="99"/>
      <c r="AD44" s="99"/>
      <c r="AE44" s="99"/>
      <c r="AF44" s="98" t="str">
        <f t="shared" si="15"/>
        <v>-</v>
      </c>
    </row>
    <row r="45" spans="2:32" ht="14.25" customHeight="1" thickBot="1" x14ac:dyDescent="0.4">
      <c r="B45" s="84" t="str">
        <f t="shared" si="8"/>
        <v/>
      </c>
      <c r="C45" s="85"/>
      <c r="D45" s="91"/>
      <c r="E45" s="68" t="str">
        <f>IF(D45="","",IFERROR(VLOOKUP(D45,'Portfolio List'!$B$4:$I$76,5,FALSE()),""))</f>
        <v/>
      </c>
      <c r="F45" s="68" t="str">
        <f>IF(D45="","",IFERROR(VLOOKUP(D45,'Portfolio List'!$B$4:$I$76,6,FALSE()),""))</f>
        <v/>
      </c>
      <c r="G45" s="68" t="str">
        <f>IF(D45="","",IFERROR(VLOOKUP(D45,'Portfolio List'!$B$4:$I$76,7,FALSE()),""))</f>
        <v/>
      </c>
      <c r="H45" s="71" t="str">
        <f>IF(D45="","",IFERROR(VLOOKUP(D45,'Portfolio List'!$B$4:$I$76,4,FALSE()),""))</f>
        <v/>
      </c>
      <c r="I45" s="91"/>
      <c r="J45" s="84" t="str">
        <f t="shared" si="7"/>
        <v/>
      </c>
      <c r="K45" s="91"/>
      <c r="L45" s="85"/>
      <c r="M45" s="97"/>
      <c r="N45" s="180"/>
      <c r="O45" s="92"/>
      <c r="P45" s="87">
        <f>IF(D45="",0,IF(I45="LED Lighting",M45*IF(AC45="Studio",Assumptions!$C$15,IF(AC45="1 Bedroom",Assumptions!$C$16,IF(AC45="2 Bedroom",Assumptions!$C$17,IF(AC45="3 Bedroom",Assumptions!$C$18,Assumptions!$C$16))))*N45*365/1000,IFERROR(VLOOKUP(I45,Assumptions!$B$40:$H$50,2,FALSE()),0)*M45))</f>
        <v>0</v>
      </c>
      <c r="Q45" s="87">
        <f>IF(D45="",0,IFERROR(VLOOKUP(I45,Assumptions!$B$40:$H$50,3,FALSE()),0)*M45)</f>
        <v>0</v>
      </c>
      <c r="R45" s="77">
        <f>IF(G45="",0.2161,IFERROR(VLOOKUP(G45,Assumptions!$B$53:$C$61,2,FALSE())/100,0.2161))</f>
        <v>0.21609999999999999</v>
      </c>
      <c r="S45" s="77">
        <f>IF(G45="",0,IFERROR(VLOOKUP(G45,Assumptions!$B$64:$C$72,2,FALSE())/1000,0.008))</f>
        <v>0</v>
      </c>
      <c r="T45" s="93" t="str">
        <f t="shared" si="9"/>
        <v/>
      </c>
      <c r="U45" s="93" t="str">
        <f t="shared" si="10"/>
        <v/>
      </c>
      <c r="V45" s="93" t="str">
        <f t="shared" si="11"/>
        <v/>
      </c>
      <c r="W45" s="94" t="str">
        <f t="shared" si="12"/>
        <v/>
      </c>
      <c r="X45" s="88"/>
      <c r="Y45" s="87" t="str">
        <f>IF(D45="","",IFERROR(VLOOKUP(I45,Assumptions!$B$40:$H$50,6,FALSE()),0)*M45)</f>
        <v/>
      </c>
      <c r="Z45" s="87" t="str">
        <f>IF(D45="","",IFERROR(VLOOKUP(I45,Assumptions!$B$40:$H$50,7,FALSE()),0)*M45)</f>
        <v/>
      </c>
      <c r="AA45" s="96" t="str">
        <f t="shared" si="13"/>
        <v/>
      </c>
      <c r="AB45" s="84" t="str">
        <f t="shared" si="14"/>
        <v/>
      </c>
      <c r="AC45" s="99"/>
      <c r="AD45" s="99"/>
      <c r="AE45" s="99"/>
      <c r="AF45" s="98" t="str">
        <f t="shared" si="15"/>
        <v>-</v>
      </c>
    </row>
    <row r="46" spans="2:32" ht="14.25" customHeight="1" thickBot="1" x14ac:dyDescent="0.4">
      <c r="B46" s="84" t="str">
        <f t="shared" si="8"/>
        <v/>
      </c>
      <c r="C46" s="85"/>
      <c r="D46" s="91"/>
      <c r="E46" s="68" t="str">
        <f>IF(D46="","",IFERROR(VLOOKUP(D46,'Portfolio List'!$B$4:$I$76,5,FALSE()),""))</f>
        <v/>
      </c>
      <c r="F46" s="68" t="str">
        <f>IF(D46="","",IFERROR(VLOOKUP(D46,'Portfolio List'!$B$4:$I$76,6,FALSE()),""))</f>
        <v/>
      </c>
      <c r="G46" s="68" t="str">
        <f>IF(D46="","",IFERROR(VLOOKUP(D46,'Portfolio List'!$B$4:$I$76,7,FALSE()),""))</f>
        <v/>
      </c>
      <c r="H46" s="71" t="str">
        <f>IF(D46="","",IFERROR(VLOOKUP(D46,'Portfolio List'!$B$4:$I$76,4,FALSE()),""))</f>
        <v/>
      </c>
      <c r="I46" s="91"/>
      <c r="J46" s="84" t="str">
        <f t="shared" si="7"/>
        <v/>
      </c>
      <c r="K46" s="91"/>
      <c r="L46" s="85"/>
      <c r="M46" s="97"/>
      <c r="N46" s="180"/>
      <c r="O46" s="92"/>
      <c r="P46" s="87">
        <f>IF(D46="",0,IF(I46="LED Lighting",M46*IF(AC46="Studio",Assumptions!$C$15,IF(AC46="1 Bedroom",Assumptions!$C$16,IF(AC46="2 Bedroom",Assumptions!$C$17,IF(AC46="3 Bedroom",Assumptions!$C$18,Assumptions!$C$16))))*N46*365/1000,IFERROR(VLOOKUP(I46,Assumptions!$B$40:$H$50,2,FALSE()),0)*M46))</f>
        <v>0</v>
      </c>
      <c r="Q46" s="87">
        <f>IF(D46="",0,IFERROR(VLOOKUP(I46,Assumptions!$B$40:$H$50,3,FALSE()),0)*M46)</f>
        <v>0</v>
      </c>
      <c r="R46" s="77">
        <f>IF(G46="",0.2161,IFERROR(VLOOKUP(G46,Assumptions!$B$53:$C$61,2,FALSE())/100,0.2161))</f>
        <v>0.21609999999999999</v>
      </c>
      <c r="S46" s="77">
        <f>IF(G46="",0,IFERROR(VLOOKUP(G46,Assumptions!$B$64:$C$72,2,FALSE())/1000,0.008))</f>
        <v>0</v>
      </c>
      <c r="T46" s="93" t="str">
        <f t="shared" si="9"/>
        <v/>
      </c>
      <c r="U46" s="93" t="str">
        <f t="shared" si="10"/>
        <v/>
      </c>
      <c r="V46" s="93" t="str">
        <f t="shared" si="11"/>
        <v/>
      </c>
      <c r="W46" s="94" t="str">
        <f t="shared" si="12"/>
        <v/>
      </c>
      <c r="X46" s="88"/>
      <c r="Y46" s="87" t="str">
        <f>IF(D46="","",IFERROR(VLOOKUP(I46,Assumptions!$B$40:$H$50,6,FALSE()),0)*M46)</f>
        <v/>
      </c>
      <c r="Z46" s="87" t="str">
        <f>IF(D46="","",IFERROR(VLOOKUP(I46,Assumptions!$B$40:$H$50,7,FALSE()),0)*M46)</f>
        <v/>
      </c>
      <c r="AA46" s="96" t="str">
        <f t="shared" si="13"/>
        <v/>
      </c>
      <c r="AB46" s="84" t="str">
        <f t="shared" si="14"/>
        <v/>
      </c>
      <c r="AC46" s="99"/>
      <c r="AD46" s="99"/>
      <c r="AE46" s="99"/>
      <c r="AF46" s="98" t="str">
        <f t="shared" si="15"/>
        <v>-</v>
      </c>
    </row>
    <row r="47" spans="2:32" ht="14.25" customHeight="1" thickBot="1" x14ac:dyDescent="0.4">
      <c r="B47" s="84" t="str">
        <f t="shared" si="8"/>
        <v/>
      </c>
      <c r="C47" s="85"/>
      <c r="D47" s="91"/>
      <c r="E47" s="68" t="str">
        <f>IF(D47="","",IFERROR(VLOOKUP(D47,'Portfolio List'!$B$4:$I$76,5,FALSE()),""))</f>
        <v/>
      </c>
      <c r="F47" s="68" t="str">
        <f>IF(D47="","",IFERROR(VLOOKUP(D47,'Portfolio List'!$B$4:$I$76,6,FALSE()),""))</f>
        <v/>
      </c>
      <c r="G47" s="68" t="str">
        <f>IF(D47="","",IFERROR(VLOOKUP(D47,'Portfolio List'!$B$4:$I$76,7,FALSE()),""))</f>
        <v/>
      </c>
      <c r="H47" s="71" t="str">
        <f>IF(D47="","",IFERROR(VLOOKUP(D47,'Portfolio List'!$B$4:$I$76,4,FALSE()),""))</f>
        <v/>
      </c>
      <c r="I47" s="91"/>
      <c r="J47" s="84" t="str">
        <f t="shared" si="7"/>
        <v/>
      </c>
      <c r="K47" s="91"/>
      <c r="L47" s="85"/>
      <c r="M47" s="97"/>
      <c r="N47" s="180"/>
      <c r="O47" s="92"/>
      <c r="P47" s="87">
        <f>IF(D47="",0,IF(I47="LED Lighting",M47*IF(AC47="Studio",Assumptions!$C$15,IF(AC47="1 Bedroom",Assumptions!$C$16,IF(AC47="2 Bedroom",Assumptions!$C$17,IF(AC47="3 Bedroom",Assumptions!$C$18,Assumptions!$C$16))))*N47*365/1000,IFERROR(VLOOKUP(I47,Assumptions!$B$40:$H$50,2,FALSE()),0)*M47))</f>
        <v>0</v>
      </c>
      <c r="Q47" s="87">
        <f>IF(D47="",0,IFERROR(VLOOKUP(I47,Assumptions!$B$40:$H$50,3,FALSE()),0)*M47)</f>
        <v>0</v>
      </c>
      <c r="R47" s="77">
        <f>IF(G47="",0.2161,IFERROR(VLOOKUP(G47,Assumptions!$B$53:$C$61,2,FALSE())/100,0.2161))</f>
        <v>0.21609999999999999</v>
      </c>
      <c r="S47" s="77">
        <f>IF(G47="",0,IFERROR(VLOOKUP(G47,Assumptions!$B$64:$C$72,2,FALSE())/1000,0.008))</f>
        <v>0</v>
      </c>
      <c r="T47" s="93" t="str">
        <f t="shared" si="9"/>
        <v/>
      </c>
      <c r="U47" s="93" t="str">
        <f t="shared" si="10"/>
        <v/>
      </c>
      <c r="V47" s="93" t="str">
        <f t="shared" si="11"/>
        <v/>
      </c>
      <c r="W47" s="94" t="str">
        <f t="shared" si="12"/>
        <v/>
      </c>
      <c r="X47" s="88"/>
      <c r="Y47" s="87" t="str">
        <f>IF(D47="","",IFERROR(VLOOKUP(I47,Assumptions!$B$40:$H$50,6,FALSE()),0)*M47)</f>
        <v/>
      </c>
      <c r="Z47" s="87" t="str">
        <f>IF(D47="","",IFERROR(VLOOKUP(I47,Assumptions!$B$40:$H$50,7,FALSE()),0)*M47)</f>
        <v/>
      </c>
      <c r="AA47" s="96" t="str">
        <f t="shared" si="13"/>
        <v/>
      </c>
      <c r="AB47" s="84" t="str">
        <f t="shared" si="14"/>
        <v/>
      </c>
      <c r="AC47" s="99"/>
      <c r="AD47" s="99"/>
      <c r="AE47" s="99"/>
      <c r="AF47" s="98" t="str">
        <f t="shared" si="15"/>
        <v>-</v>
      </c>
    </row>
    <row r="48" spans="2:32" ht="14.25" customHeight="1" thickBot="1" x14ac:dyDescent="0.4">
      <c r="B48" s="84" t="str">
        <f t="shared" si="8"/>
        <v/>
      </c>
      <c r="C48" s="85"/>
      <c r="D48" s="91"/>
      <c r="E48" s="68" t="str">
        <f>IF(D48="","",IFERROR(VLOOKUP(D48,'Portfolio List'!$B$4:$I$76,5,FALSE()),""))</f>
        <v/>
      </c>
      <c r="F48" s="68" t="str">
        <f>IF(D48="","",IFERROR(VLOOKUP(D48,'Portfolio List'!$B$4:$I$76,6,FALSE()),""))</f>
        <v/>
      </c>
      <c r="G48" s="68" t="str">
        <f>IF(D48="","",IFERROR(VLOOKUP(D48,'Portfolio List'!$B$4:$I$76,7,FALSE()),""))</f>
        <v/>
      </c>
      <c r="H48" s="71" t="str">
        <f>IF(D48="","",IFERROR(VLOOKUP(D48,'Portfolio List'!$B$4:$I$76,4,FALSE()),""))</f>
        <v/>
      </c>
      <c r="I48" s="91"/>
      <c r="J48" s="84" t="str">
        <f t="shared" si="7"/>
        <v/>
      </c>
      <c r="K48" s="91"/>
      <c r="L48" s="85"/>
      <c r="M48" s="97"/>
      <c r="N48" s="180"/>
      <c r="O48" s="92"/>
      <c r="P48" s="87">
        <f>IF(D48="",0,IF(I48="LED Lighting",M48*IF(AC48="Studio",Assumptions!$C$15,IF(AC48="1 Bedroom",Assumptions!$C$16,IF(AC48="2 Bedroom",Assumptions!$C$17,IF(AC48="3 Bedroom",Assumptions!$C$18,Assumptions!$C$16))))*N48*365/1000,IFERROR(VLOOKUP(I48,Assumptions!$B$40:$H$50,2,FALSE()),0)*M48))</f>
        <v>0</v>
      </c>
      <c r="Q48" s="87">
        <f>IF(D48="",0,IFERROR(VLOOKUP(I48,Assumptions!$B$40:$H$50,3,FALSE()),0)*M48)</f>
        <v>0</v>
      </c>
      <c r="R48" s="77">
        <f>IF(G48="",0.2161,IFERROR(VLOOKUP(G48,Assumptions!$B$53:$C$61,2,FALSE())/100,0.2161))</f>
        <v>0.21609999999999999</v>
      </c>
      <c r="S48" s="77">
        <f>IF(G48="",0,IFERROR(VLOOKUP(G48,Assumptions!$B$64:$C$72,2,FALSE())/1000,0.008))</f>
        <v>0</v>
      </c>
      <c r="T48" s="93" t="str">
        <f t="shared" si="9"/>
        <v/>
      </c>
      <c r="U48" s="93" t="str">
        <f t="shared" si="10"/>
        <v/>
      </c>
      <c r="V48" s="93" t="str">
        <f t="shared" si="11"/>
        <v/>
      </c>
      <c r="W48" s="94" t="str">
        <f t="shared" si="12"/>
        <v/>
      </c>
      <c r="X48" s="88"/>
      <c r="Y48" s="87" t="str">
        <f>IF(D48="","",IFERROR(VLOOKUP(I48,Assumptions!$B$40:$H$50,6,FALSE()),0)*M48)</f>
        <v/>
      </c>
      <c r="Z48" s="87" t="str">
        <f>IF(D48="","",IFERROR(VLOOKUP(I48,Assumptions!$B$40:$H$50,7,FALSE()),0)*M48)</f>
        <v/>
      </c>
      <c r="AA48" s="96" t="str">
        <f t="shared" si="13"/>
        <v/>
      </c>
      <c r="AB48" s="84" t="str">
        <f t="shared" si="14"/>
        <v/>
      </c>
      <c r="AC48" s="99"/>
      <c r="AD48" s="99"/>
      <c r="AE48" s="99"/>
      <c r="AF48" s="98" t="str">
        <f t="shared" si="15"/>
        <v>-</v>
      </c>
    </row>
    <row r="49" spans="2:32" ht="14.25" customHeight="1" thickBot="1" x14ac:dyDescent="0.4">
      <c r="B49" s="84" t="str">
        <f t="shared" si="8"/>
        <v/>
      </c>
      <c r="C49" s="85"/>
      <c r="D49" s="91"/>
      <c r="E49" s="68" t="str">
        <f>IF(D49="","",IFERROR(VLOOKUP(D49,'Portfolio List'!$B$4:$I$76,5,FALSE()),""))</f>
        <v/>
      </c>
      <c r="F49" s="68" t="str">
        <f>IF(D49="","",IFERROR(VLOOKUP(D49,'Portfolio List'!$B$4:$I$76,6,FALSE()),""))</f>
        <v/>
      </c>
      <c r="G49" s="68" t="str">
        <f>IF(D49="","",IFERROR(VLOOKUP(D49,'Portfolio List'!$B$4:$I$76,7,FALSE()),""))</f>
        <v/>
      </c>
      <c r="H49" s="71" t="str">
        <f>IF(D49="","",IFERROR(VLOOKUP(D49,'Portfolio List'!$B$4:$I$76,4,FALSE()),""))</f>
        <v/>
      </c>
      <c r="I49" s="91"/>
      <c r="J49" s="84" t="str">
        <f t="shared" si="7"/>
        <v/>
      </c>
      <c r="K49" s="91"/>
      <c r="L49" s="85"/>
      <c r="M49" s="97"/>
      <c r="N49" s="180"/>
      <c r="O49" s="92"/>
      <c r="P49" s="87">
        <f>IF(D49="",0,IF(I49="LED Lighting",M49*IF(AC49="Studio",Assumptions!$C$15,IF(AC49="1 Bedroom",Assumptions!$C$16,IF(AC49="2 Bedroom",Assumptions!$C$17,IF(AC49="3 Bedroom",Assumptions!$C$18,Assumptions!$C$16))))*N49*365/1000,IFERROR(VLOOKUP(I49,Assumptions!$B$40:$H$50,2,FALSE()),0)*M49))</f>
        <v>0</v>
      </c>
      <c r="Q49" s="87">
        <f>IF(D49="",0,IFERROR(VLOOKUP(I49,Assumptions!$B$40:$H$50,3,FALSE()),0)*M49)</f>
        <v>0</v>
      </c>
      <c r="R49" s="77">
        <f>IF(G49="",0.2161,IFERROR(VLOOKUP(G49,Assumptions!$B$53:$C$61,2,FALSE())/100,0.2161))</f>
        <v>0.21609999999999999</v>
      </c>
      <c r="S49" s="77">
        <f>IF(G49="",0,IFERROR(VLOOKUP(G49,Assumptions!$B$64:$C$72,2,FALSE())/1000,0.008))</f>
        <v>0</v>
      </c>
      <c r="T49" s="93" t="str">
        <f t="shared" si="9"/>
        <v/>
      </c>
      <c r="U49" s="93" t="str">
        <f t="shared" si="10"/>
        <v/>
      </c>
      <c r="V49" s="93" t="str">
        <f t="shared" si="11"/>
        <v/>
      </c>
      <c r="W49" s="94" t="str">
        <f t="shared" si="12"/>
        <v/>
      </c>
      <c r="X49" s="88"/>
      <c r="Y49" s="87" t="str">
        <f>IF(D49="","",IFERROR(VLOOKUP(I49,Assumptions!$B$40:$H$50,6,FALSE()),0)*M49)</f>
        <v/>
      </c>
      <c r="Z49" s="87" t="str">
        <f>IF(D49="","",IFERROR(VLOOKUP(I49,Assumptions!$B$40:$H$50,7,FALSE()),0)*M49)</f>
        <v/>
      </c>
      <c r="AA49" s="96" t="str">
        <f t="shared" si="13"/>
        <v/>
      </c>
      <c r="AB49" s="84" t="str">
        <f t="shared" si="14"/>
        <v/>
      </c>
      <c r="AC49" s="99"/>
      <c r="AD49" s="99"/>
      <c r="AE49" s="99"/>
      <c r="AF49" s="98" t="str">
        <f t="shared" si="15"/>
        <v>-</v>
      </c>
    </row>
    <row r="50" spans="2:32" ht="14.25" customHeight="1" thickBot="1" x14ac:dyDescent="0.4">
      <c r="B50" s="84" t="str">
        <f t="shared" si="8"/>
        <v/>
      </c>
      <c r="C50" s="85"/>
      <c r="D50" s="91"/>
      <c r="E50" s="68" t="str">
        <f>IF(D50="","",IFERROR(VLOOKUP(D50,'Portfolio List'!$B$4:$I$76,5,FALSE()),""))</f>
        <v/>
      </c>
      <c r="F50" s="68" t="str">
        <f>IF(D50="","",IFERROR(VLOOKUP(D50,'Portfolio List'!$B$4:$I$76,6,FALSE()),""))</f>
        <v/>
      </c>
      <c r="G50" s="68" t="str">
        <f>IF(D50="","",IFERROR(VLOOKUP(D50,'Portfolio List'!$B$4:$I$76,7,FALSE()),""))</f>
        <v/>
      </c>
      <c r="H50" s="71" t="str">
        <f>IF(D50="","",IFERROR(VLOOKUP(D50,'Portfolio List'!$B$4:$I$76,4,FALSE()),""))</f>
        <v/>
      </c>
      <c r="I50" s="91"/>
      <c r="J50" s="84" t="str">
        <f t="shared" si="7"/>
        <v/>
      </c>
      <c r="K50" s="91"/>
      <c r="L50" s="85"/>
      <c r="M50" s="97"/>
      <c r="N50" s="180"/>
      <c r="O50" s="92"/>
      <c r="P50" s="87">
        <f>IF(D50="",0,IF(I50="LED Lighting",M50*IF(AC50="Studio",Assumptions!$C$15,IF(AC50="1 Bedroom",Assumptions!$C$16,IF(AC50="2 Bedroom",Assumptions!$C$17,IF(AC50="3 Bedroom",Assumptions!$C$18,Assumptions!$C$16))))*N50*365/1000,IFERROR(VLOOKUP(I50,Assumptions!$B$40:$H$50,2,FALSE()),0)*M50))</f>
        <v>0</v>
      </c>
      <c r="Q50" s="87">
        <f>IF(D50="",0,IFERROR(VLOOKUP(I50,Assumptions!$B$40:$H$50,3,FALSE()),0)*M50)</f>
        <v>0</v>
      </c>
      <c r="R50" s="77">
        <f>IF(G50="",0.2161,IFERROR(VLOOKUP(G50,Assumptions!$B$53:$C$61,2,FALSE())/100,0.2161))</f>
        <v>0.21609999999999999</v>
      </c>
      <c r="S50" s="77">
        <f>IF(G50="",0,IFERROR(VLOOKUP(G50,Assumptions!$B$64:$C$72,2,FALSE())/1000,0.008))</f>
        <v>0</v>
      </c>
      <c r="T50" s="93" t="str">
        <f t="shared" si="9"/>
        <v/>
      </c>
      <c r="U50" s="93" t="str">
        <f t="shared" si="10"/>
        <v/>
      </c>
      <c r="V50" s="93" t="str">
        <f t="shared" si="11"/>
        <v/>
      </c>
      <c r="W50" s="94" t="str">
        <f t="shared" si="12"/>
        <v/>
      </c>
      <c r="X50" s="88"/>
      <c r="Y50" s="87" t="str">
        <f>IF(D50="","",IFERROR(VLOOKUP(I50,Assumptions!$B$40:$H$50,6,FALSE()),0)*M50)</f>
        <v/>
      </c>
      <c r="Z50" s="87" t="str">
        <f>IF(D50="","",IFERROR(VLOOKUP(I50,Assumptions!$B$40:$H$50,7,FALSE()),0)*M50)</f>
        <v/>
      </c>
      <c r="AA50" s="96" t="str">
        <f t="shared" si="13"/>
        <v/>
      </c>
      <c r="AB50" s="84" t="str">
        <f t="shared" si="14"/>
        <v/>
      </c>
      <c r="AC50" s="99"/>
      <c r="AD50" s="99"/>
      <c r="AE50" s="99"/>
      <c r="AF50" s="98" t="str">
        <f t="shared" si="15"/>
        <v>-</v>
      </c>
    </row>
    <row r="51" spans="2:32" ht="14.25" customHeight="1" thickBot="1" x14ac:dyDescent="0.4">
      <c r="B51" s="84" t="str">
        <f t="shared" si="8"/>
        <v/>
      </c>
      <c r="C51" s="85"/>
      <c r="D51" s="91"/>
      <c r="E51" s="68" t="str">
        <f>IF(D51="","",IFERROR(VLOOKUP(D51,'Portfolio List'!$B$4:$I$76,5,FALSE()),""))</f>
        <v/>
      </c>
      <c r="F51" s="68" t="str">
        <f>IF(D51="","",IFERROR(VLOOKUP(D51,'Portfolio List'!$B$4:$I$76,6,FALSE()),""))</f>
        <v/>
      </c>
      <c r="G51" s="68" t="str">
        <f>IF(D51="","",IFERROR(VLOOKUP(D51,'Portfolio List'!$B$4:$I$76,7,FALSE()),""))</f>
        <v/>
      </c>
      <c r="H51" s="71" t="str">
        <f>IF(D51="","",IFERROR(VLOOKUP(D51,'Portfolio List'!$B$4:$I$76,4,FALSE()),""))</f>
        <v/>
      </c>
      <c r="I51" s="91"/>
      <c r="J51" s="84" t="str">
        <f t="shared" si="7"/>
        <v/>
      </c>
      <c r="K51" s="91"/>
      <c r="L51" s="85"/>
      <c r="M51" s="97"/>
      <c r="N51" s="180"/>
      <c r="O51" s="92"/>
      <c r="P51" s="87">
        <f>IF(D51="",0,IF(I51="LED Lighting",M51*IF(AC51="Studio",Assumptions!$C$15,IF(AC51="1 Bedroom",Assumptions!$C$16,IF(AC51="2 Bedroom",Assumptions!$C$17,IF(AC51="3 Bedroom",Assumptions!$C$18,Assumptions!$C$16))))*N51*365/1000,IFERROR(VLOOKUP(I51,Assumptions!$B$40:$H$50,2,FALSE()),0)*M51))</f>
        <v>0</v>
      </c>
      <c r="Q51" s="87">
        <f>IF(D51="",0,IFERROR(VLOOKUP(I51,Assumptions!$B$40:$H$50,3,FALSE()),0)*M51)</f>
        <v>0</v>
      </c>
      <c r="R51" s="77">
        <f>IF(G51="",0.2161,IFERROR(VLOOKUP(G51,Assumptions!$B$53:$C$61,2,FALSE())/100,0.2161))</f>
        <v>0.21609999999999999</v>
      </c>
      <c r="S51" s="77">
        <f>IF(G51="",0,IFERROR(VLOOKUP(G51,Assumptions!$B$64:$C$72,2,FALSE())/1000,0.008))</f>
        <v>0</v>
      </c>
      <c r="T51" s="93" t="str">
        <f t="shared" si="9"/>
        <v/>
      </c>
      <c r="U51" s="93" t="str">
        <f t="shared" si="10"/>
        <v/>
      </c>
      <c r="V51" s="93" t="str">
        <f t="shared" si="11"/>
        <v/>
      </c>
      <c r="W51" s="94" t="str">
        <f t="shared" si="12"/>
        <v/>
      </c>
      <c r="X51" s="88"/>
      <c r="Y51" s="87" t="str">
        <f>IF(D51="","",IFERROR(VLOOKUP(I51,Assumptions!$B$40:$H$50,6,FALSE()),0)*M51)</f>
        <v/>
      </c>
      <c r="Z51" s="87" t="str">
        <f>IF(D51="","",IFERROR(VLOOKUP(I51,Assumptions!$B$40:$H$50,7,FALSE()),0)*M51)</f>
        <v/>
      </c>
      <c r="AA51" s="96" t="str">
        <f t="shared" si="13"/>
        <v/>
      </c>
      <c r="AB51" s="84" t="str">
        <f t="shared" si="14"/>
        <v/>
      </c>
      <c r="AC51" s="99"/>
      <c r="AD51" s="99"/>
      <c r="AE51" s="99"/>
      <c r="AF51" s="98" t="str">
        <f t="shared" si="15"/>
        <v>-</v>
      </c>
    </row>
    <row r="52" spans="2:32" ht="14.25" customHeight="1" thickBot="1" x14ac:dyDescent="0.4">
      <c r="B52" s="84" t="str">
        <f t="shared" si="8"/>
        <v/>
      </c>
      <c r="C52" s="85"/>
      <c r="D52" s="91"/>
      <c r="E52" s="68" t="str">
        <f>IF(D52="","",IFERROR(VLOOKUP(D52,'Portfolio List'!$B$4:$I$76,5,FALSE()),""))</f>
        <v/>
      </c>
      <c r="F52" s="68" t="str">
        <f>IF(D52="","",IFERROR(VLOOKUP(D52,'Portfolio List'!$B$4:$I$76,6,FALSE()),""))</f>
        <v/>
      </c>
      <c r="G52" s="68" t="str">
        <f>IF(D52="","",IFERROR(VLOOKUP(D52,'Portfolio List'!$B$4:$I$76,7,FALSE()),""))</f>
        <v/>
      </c>
      <c r="H52" s="71" t="str">
        <f>IF(D52="","",IFERROR(VLOOKUP(D52,'Portfolio List'!$B$4:$I$76,4,FALSE()),""))</f>
        <v/>
      </c>
      <c r="I52" s="91"/>
      <c r="J52" s="84" t="str">
        <f t="shared" si="7"/>
        <v/>
      </c>
      <c r="K52" s="91"/>
      <c r="L52" s="85"/>
      <c r="M52" s="97"/>
      <c r="N52" s="180"/>
      <c r="O52" s="92"/>
      <c r="P52" s="87">
        <f>IF(D52="",0,IF(I52="LED Lighting",M52*IF(AC52="Studio",Assumptions!$C$15,IF(AC52="1 Bedroom",Assumptions!$C$16,IF(AC52="2 Bedroom",Assumptions!$C$17,IF(AC52="3 Bedroom",Assumptions!$C$18,Assumptions!$C$16))))*N52*365/1000,IFERROR(VLOOKUP(I52,Assumptions!$B$40:$H$50,2,FALSE()),0)*M52))</f>
        <v>0</v>
      </c>
      <c r="Q52" s="87">
        <f>IF(D52="",0,IFERROR(VLOOKUP(I52,Assumptions!$B$40:$H$50,3,FALSE()),0)*M52)</f>
        <v>0</v>
      </c>
      <c r="R52" s="77">
        <f>IF(G52="",0.2161,IFERROR(VLOOKUP(G52,Assumptions!$B$53:$C$61,2,FALSE())/100,0.2161))</f>
        <v>0.21609999999999999</v>
      </c>
      <c r="S52" s="77">
        <f>IF(G52="",0,IFERROR(VLOOKUP(G52,Assumptions!$B$64:$C$72,2,FALSE())/1000,0.008))</f>
        <v>0</v>
      </c>
      <c r="T52" s="93" t="str">
        <f t="shared" si="9"/>
        <v/>
      </c>
      <c r="U52" s="93" t="str">
        <f t="shared" si="10"/>
        <v/>
      </c>
      <c r="V52" s="93" t="str">
        <f t="shared" si="11"/>
        <v/>
      </c>
      <c r="W52" s="94" t="str">
        <f t="shared" si="12"/>
        <v/>
      </c>
      <c r="X52" s="88"/>
      <c r="Y52" s="87" t="str">
        <f>IF(D52="","",IFERROR(VLOOKUP(I52,Assumptions!$B$40:$H$50,6,FALSE()),0)*M52)</f>
        <v/>
      </c>
      <c r="Z52" s="87" t="str">
        <f>IF(D52="","",IFERROR(VLOOKUP(I52,Assumptions!$B$40:$H$50,7,FALSE()),0)*M52)</f>
        <v/>
      </c>
      <c r="AA52" s="96" t="str">
        <f t="shared" si="13"/>
        <v/>
      </c>
      <c r="AB52" s="84" t="str">
        <f t="shared" si="14"/>
        <v/>
      </c>
      <c r="AC52" s="99"/>
      <c r="AD52" s="99"/>
      <c r="AE52" s="99"/>
      <c r="AF52" s="98" t="str">
        <f t="shared" si="15"/>
        <v>-</v>
      </c>
    </row>
    <row r="53" spans="2:32" ht="14.25" customHeight="1" thickBot="1" x14ac:dyDescent="0.4">
      <c r="B53" s="84" t="str">
        <f t="shared" si="8"/>
        <v/>
      </c>
      <c r="C53" s="85"/>
      <c r="D53" s="91"/>
      <c r="E53" s="68" t="str">
        <f>IF(D53="","",IFERROR(VLOOKUP(D53,'Portfolio List'!$B$4:$I$76,5,FALSE()),""))</f>
        <v/>
      </c>
      <c r="F53" s="68" t="str">
        <f>IF(D53="","",IFERROR(VLOOKUP(D53,'Portfolio List'!$B$4:$I$76,6,FALSE()),""))</f>
        <v/>
      </c>
      <c r="G53" s="68" t="str">
        <f>IF(D53="","",IFERROR(VLOOKUP(D53,'Portfolio List'!$B$4:$I$76,7,FALSE()),""))</f>
        <v/>
      </c>
      <c r="H53" s="71" t="str">
        <f>IF(D53="","",IFERROR(VLOOKUP(D53,'Portfolio List'!$B$4:$I$76,4,FALSE()),""))</f>
        <v/>
      </c>
      <c r="I53" s="91"/>
      <c r="J53" s="84" t="str">
        <f t="shared" si="7"/>
        <v/>
      </c>
      <c r="K53" s="91"/>
      <c r="L53" s="85"/>
      <c r="M53" s="97"/>
      <c r="N53" s="180"/>
      <c r="O53" s="92"/>
      <c r="P53" s="87">
        <f>IF(D53="",0,IF(I53="LED Lighting",M53*IF(AC53="Studio",Assumptions!$C$15,IF(AC53="1 Bedroom",Assumptions!$C$16,IF(AC53="2 Bedroom",Assumptions!$C$17,IF(AC53="3 Bedroom",Assumptions!$C$18,Assumptions!$C$16))))*N53*365/1000,IFERROR(VLOOKUP(I53,Assumptions!$B$40:$H$50,2,FALSE()),0)*M53))</f>
        <v>0</v>
      </c>
      <c r="Q53" s="87">
        <f>IF(D53="",0,IFERROR(VLOOKUP(I53,Assumptions!$B$40:$H$50,3,FALSE()),0)*M53)</f>
        <v>0</v>
      </c>
      <c r="R53" s="77">
        <f>IF(G53="",0.2161,IFERROR(VLOOKUP(G53,Assumptions!$B$53:$C$61,2,FALSE())/100,0.2161))</f>
        <v>0.21609999999999999</v>
      </c>
      <c r="S53" s="77">
        <f>IF(G53="",0,IFERROR(VLOOKUP(G53,Assumptions!$B$64:$C$72,2,FALSE())/1000,0.008))</f>
        <v>0</v>
      </c>
      <c r="T53" s="93" t="str">
        <f t="shared" si="9"/>
        <v/>
      </c>
      <c r="U53" s="93" t="str">
        <f t="shared" si="10"/>
        <v/>
      </c>
      <c r="V53" s="93" t="str">
        <f t="shared" si="11"/>
        <v/>
      </c>
      <c r="W53" s="94" t="str">
        <f t="shared" si="12"/>
        <v/>
      </c>
      <c r="X53" s="88"/>
      <c r="Y53" s="87" t="str">
        <f>IF(D53="","",IFERROR(VLOOKUP(I53,Assumptions!$B$40:$H$50,6,FALSE()),0)*M53)</f>
        <v/>
      </c>
      <c r="Z53" s="87" t="str">
        <f>IF(D53="","",IFERROR(VLOOKUP(I53,Assumptions!$B$40:$H$50,7,FALSE()),0)*M53)</f>
        <v/>
      </c>
      <c r="AA53" s="96" t="str">
        <f t="shared" si="13"/>
        <v/>
      </c>
      <c r="AB53" s="84" t="str">
        <f t="shared" si="14"/>
        <v/>
      </c>
      <c r="AC53" s="99"/>
      <c r="AD53" s="99"/>
      <c r="AE53" s="99"/>
      <c r="AF53" s="98" t="str">
        <f t="shared" si="15"/>
        <v>-</v>
      </c>
    </row>
    <row r="54" spans="2:32" ht="14.25" customHeight="1" thickBot="1" x14ac:dyDescent="0.4">
      <c r="B54" s="84" t="str">
        <f t="shared" si="8"/>
        <v/>
      </c>
      <c r="C54" s="85"/>
      <c r="D54" s="91"/>
      <c r="E54" s="68" t="str">
        <f>IF(D54="","",IFERROR(VLOOKUP(D54,'Portfolio List'!$B$4:$I$76,5,FALSE()),""))</f>
        <v/>
      </c>
      <c r="F54" s="68" t="str">
        <f>IF(D54="","",IFERROR(VLOOKUP(D54,'Portfolio List'!$B$4:$I$76,6,FALSE()),""))</f>
        <v/>
      </c>
      <c r="G54" s="68" t="str">
        <f>IF(D54="","",IFERROR(VLOOKUP(D54,'Portfolio List'!$B$4:$I$76,7,FALSE()),""))</f>
        <v/>
      </c>
      <c r="H54" s="71" t="str">
        <f>IF(D54="","",IFERROR(VLOOKUP(D54,'Portfolio List'!$B$4:$I$76,4,FALSE()),""))</f>
        <v/>
      </c>
      <c r="I54" s="91"/>
      <c r="J54" s="84" t="str">
        <f t="shared" si="7"/>
        <v/>
      </c>
      <c r="K54" s="91"/>
      <c r="L54" s="85"/>
      <c r="M54" s="97"/>
      <c r="N54" s="180"/>
      <c r="O54" s="92"/>
      <c r="P54" s="87">
        <f>IF(D54="",0,IF(I54="LED Lighting",M54*IF(AC54="Studio",Assumptions!$C$15,IF(AC54="1 Bedroom",Assumptions!$C$16,IF(AC54="2 Bedroom",Assumptions!$C$17,IF(AC54="3 Bedroom",Assumptions!$C$18,Assumptions!$C$16))))*N54*365/1000,IFERROR(VLOOKUP(I54,Assumptions!$B$40:$H$50,2,FALSE()),0)*M54))</f>
        <v>0</v>
      </c>
      <c r="Q54" s="87">
        <f>IF(D54="",0,IFERROR(VLOOKUP(I54,Assumptions!$B$40:$H$50,3,FALSE()),0)*M54)</f>
        <v>0</v>
      </c>
      <c r="R54" s="77">
        <f>IF(G54="",0.2161,IFERROR(VLOOKUP(G54,Assumptions!$B$53:$C$61,2,FALSE())/100,0.2161))</f>
        <v>0.21609999999999999</v>
      </c>
      <c r="S54" s="77">
        <f>IF(G54="",0,IFERROR(VLOOKUP(G54,Assumptions!$B$64:$C$72,2,FALSE())/1000,0.008))</f>
        <v>0</v>
      </c>
      <c r="T54" s="93" t="str">
        <f t="shared" si="9"/>
        <v/>
      </c>
      <c r="U54" s="93" t="str">
        <f t="shared" si="10"/>
        <v/>
      </c>
      <c r="V54" s="93" t="str">
        <f t="shared" si="11"/>
        <v/>
      </c>
      <c r="W54" s="94" t="str">
        <f t="shared" si="12"/>
        <v/>
      </c>
      <c r="X54" s="88"/>
      <c r="Y54" s="87" t="str">
        <f>IF(D54="","",IFERROR(VLOOKUP(I54,Assumptions!$B$40:$H$50,6,FALSE()),0)*M54)</f>
        <v/>
      </c>
      <c r="Z54" s="87" t="str">
        <f>IF(D54="","",IFERROR(VLOOKUP(I54,Assumptions!$B$40:$H$50,7,FALSE()),0)*M54)</f>
        <v/>
      </c>
      <c r="AA54" s="96" t="str">
        <f t="shared" si="13"/>
        <v/>
      </c>
      <c r="AB54" s="84" t="str">
        <f t="shared" si="14"/>
        <v/>
      </c>
      <c r="AC54" s="99"/>
      <c r="AD54" s="99"/>
      <c r="AE54" s="99"/>
      <c r="AF54" s="98" t="str">
        <f t="shared" si="15"/>
        <v>-</v>
      </c>
    </row>
    <row r="55" spans="2:32" ht="14.25" customHeight="1" thickBot="1" x14ac:dyDescent="0.4">
      <c r="B55" s="84" t="str">
        <f t="shared" si="8"/>
        <v/>
      </c>
      <c r="C55" s="85"/>
      <c r="D55" s="91"/>
      <c r="E55" s="68" t="str">
        <f>IF(D55="","",IFERROR(VLOOKUP(D55,'Portfolio List'!$B$4:$I$76,5,FALSE()),""))</f>
        <v/>
      </c>
      <c r="F55" s="68" t="str">
        <f>IF(D55="","",IFERROR(VLOOKUP(D55,'Portfolio List'!$B$4:$I$76,6,FALSE()),""))</f>
        <v/>
      </c>
      <c r="G55" s="68" t="str">
        <f>IF(D55="","",IFERROR(VLOOKUP(D55,'Portfolio List'!$B$4:$I$76,7,FALSE()),""))</f>
        <v/>
      </c>
      <c r="H55" s="71" t="str">
        <f>IF(D55="","",IFERROR(VLOOKUP(D55,'Portfolio List'!$B$4:$I$76,4,FALSE()),""))</f>
        <v/>
      </c>
      <c r="I55" s="91"/>
      <c r="J55" s="84" t="str">
        <f t="shared" si="7"/>
        <v/>
      </c>
      <c r="K55" s="91"/>
      <c r="L55" s="85"/>
      <c r="M55" s="97"/>
      <c r="N55" s="180"/>
      <c r="O55" s="92"/>
      <c r="P55" s="87">
        <f>IF(D55="",0,IF(I55="LED Lighting",M55*IF(AC55="Studio",Assumptions!$C$15,IF(AC55="1 Bedroom",Assumptions!$C$16,IF(AC55="2 Bedroom",Assumptions!$C$17,IF(AC55="3 Bedroom",Assumptions!$C$18,Assumptions!$C$16))))*N55*365/1000,IFERROR(VLOOKUP(I55,Assumptions!$B$40:$H$50,2,FALSE()),0)*M55))</f>
        <v>0</v>
      </c>
      <c r="Q55" s="87">
        <f>IF(D55="",0,IFERROR(VLOOKUP(I55,Assumptions!$B$40:$H$50,3,FALSE()),0)*M55)</f>
        <v>0</v>
      </c>
      <c r="R55" s="77">
        <f>IF(G55="",0.2161,IFERROR(VLOOKUP(G55,Assumptions!$B$53:$C$61,2,FALSE())/100,0.2161))</f>
        <v>0.21609999999999999</v>
      </c>
      <c r="S55" s="77">
        <f>IF(G55="",0,IFERROR(VLOOKUP(G55,Assumptions!$B$64:$C$72,2,FALSE())/1000,0.008))</f>
        <v>0</v>
      </c>
      <c r="T55" s="93" t="str">
        <f t="shared" si="9"/>
        <v/>
      </c>
      <c r="U55" s="93" t="str">
        <f t="shared" si="10"/>
        <v/>
      </c>
      <c r="V55" s="93" t="str">
        <f t="shared" si="11"/>
        <v/>
      </c>
      <c r="W55" s="94" t="str">
        <f t="shared" si="12"/>
        <v/>
      </c>
      <c r="X55" s="88"/>
      <c r="Y55" s="87" t="str">
        <f>IF(D55="","",IFERROR(VLOOKUP(I55,Assumptions!$B$40:$H$50,6,FALSE()),0)*M55)</f>
        <v/>
      </c>
      <c r="Z55" s="87" t="str">
        <f>IF(D55="","",IFERROR(VLOOKUP(I55,Assumptions!$B$40:$H$50,7,FALSE()),0)*M55)</f>
        <v/>
      </c>
      <c r="AA55" s="96" t="str">
        <f t="shared" si="13"/>
        <v/>
      </c>
      <c r="AB55" s="84" t="str">
        <f t="shared" si="14"/>
        <v/>
      </c>
      <c r="AC55" s="99"/>
      <c r="AD55" s="99"/>
      <c r="AE55" s="99"/>
      <c r="AF55" s="98" t="str">
        <f t="shared" si="15"/>
        <v>-</v>
      </c>
    </row>
    <row r="56" spans="2:32" ht="14.25" customHeight="1" thickBot="1" x14ac:dyDescent="0.4">
      <c r="B56" s="84" t="str">
        <f t="shared" si="8"/>
        <v/>
      </c>
      <c r="C56" s="85"/>
      <c r="D56" s="91"/>
      <c r="E56" s="68" t="str">
        <f>IF(D56="","",IFERROR(VLOOKUP(D56,'Portfolio List'!$B$4:$I$76,5,FALSE()),""))</f>
        <v/>
      </c>
      <c r="F56" s="68" t="str">
        <f>IF(D56="","",IFERROR(VLOOKUP(D56,'Portfolio List'!$B$4:$I$76,6,FALSE()),""))</f>
        <v/>
      </c>
      <c r="G56" s="68" t="str">
        <f>IF(D56="","",IFERROR(VLOOKUP(D56,'Portfolio List'!$B$4:$I$76,7,FALSE()),""))</f>
        <v/>
      </c>
      <c r="H56" s="71" t="str">
        <f>IF(D56="","",IFERROR(VLOOKUP(D56,'Portfolio List'!$B$4:$I$76,4,FALSE()),""))</f>
        <v/>
      </c>
      <c r="I56" s="91"/>
      <c r="J56" s="84" t="str">
        <f t="shared" si="7"/>
        <v/>
      </c>
      <c r="K56" s="91"/>
      <c r="L56" s="85"/>
      <c r="M56" s="97"/>
      <c r="N56" s="180"/>
      <c r="O56" s="92"/>
      <c r="P56" s="87">
        <f>IF(D56="",0,IF(I56="LED Lighting",M56*IF(AC56="Studio",Assumptions!$C$15,IF(AC56="1 Bedroom",Assumptions!$C$16,IF(AC56="2 Bedroom",Assumptions!$C$17,IF(AC56="3 Bedroom",Assumptions!$C$18,Assumptions!$C$16))))*N56*365/1000,IFERROR(VLOOKUP(I56,Assumptions!$B$40:$H$50,2,FALSE()),0)*M56))</f>
        <v>0</v>
      </c>
      <c r="Q56" s="87">
        <f>IF(D56="",0,IFERROR(VLOOKUP(I56,Assumptions!$B$40:$H$50,3,FALSE()),0)*M56)</f>
        <v>0</v>
      </c>
      <c r="R56" s="77">
        <f>IF(G56="",0.2161,IFERROR(VLOOKUP(G56,Assumptions!$B$53:$C$61,2,FALSE())/100,0.2161))</f>
        <v>0.21609999999999999</v>
      </c>
      <c r="S56" s="77">
        <f>IF(G56="",0,IFERROR(VLOOKUP(G56,Assumptions!$B$64:$C$72,2,FALSE())/1000,0.008))</f>
        <v>0</v>
      </c>
      <c r="T56" s="93" t="str">
        <f t="shared" si="9"/>
        <v/>
      </c>
      <c r="U56" s="93" t="str">
        <f t="shared" si="10"/>
        <v/>
      </c>
      <c r="V56" s="93" t="str">
        <f t="shared" si="11"/>
        <v/>
      </c>
      <c r="W56" s="94" t="str">
        <f t="shared" si="12"/>
        <v/>
      </c>
      <c r="X56" s="88"/>
      <c r="Y56" s="87" t="str">
        <f>IF(D56="","",IFERROR(VLOOKUP(I56,Assumptions!$B$40:$H$50,6,FALSE()),0)*M56)</f>
        <v/>
      </c>
      <c r="Z56" s="87" t="str">
        <f>IF(D56="","",IFERROR(VLOOKUP(I56,Assumptions!$B$40:$H$50,7,FALSE()),0)*M56)</f>
        <v/>
      </c>
      <c r="AA56" s="96" t="str">
        <f t="shared" si="13"/>
        <v/>
      </c>
      <c r="AB56" s="84" t="str">
        <f t="shared" si="14"/>
        <v/>
      </c>
      <c r="AC56" s="99"/>
      <c r="AD56" s="99"/>
      <c r="AE56" s="99"/>
      <c r="AF56" s="98" t="str">
        <f t="shared" si="15"/>
        <v>-</v>
      </c>
    </row>
    <row r="57" spans="2:32" ht="14.25" customHeight="1" thickBot="1" x14ac:dyDescent="0.4">
      <c r="B57" s="84" t="str">
        <f t="shared" si="8"/>
        <v/>
      </c>
      <c r="C57" s="85"/>
      <c r="D57" s="91"/>
      <c r="E57" s="68" t="str">
        <f>IF(D57="","",IFERROR(VLOOKUP(D57,'Portfolio List'!$B$4:$I$76,5,FALSE()),""))</f>
        <v/>
      </c>
      <c r="F57" s="68" t="str">
        <f>IF(D57="","",IFERROR(VLOOKUP(D57,'Portfolio List'!$B$4:$I$76,6,FALSE()),""))</f>
        <v/>
      </c>
      <c r="G57" s="68" t="str">
        <f>IF(D57="","",IFERROR(VLOOKUP(D57,'Portfolio List'!$B$4:$I$76,7,FALSE()),""))</f>
        <v/>
      </c>
      <c r="H57" s="71" t="str">
        <f>IF(D57="","",IFERROR(VLOOKUP(D57,'Portfolio List'!$B$4:$I$76,4,FALSE()),""))</f>
        <v/>
      </c>
      <c r="I57" s="91"/>
      <c r="J57" s="84" t="str">
        <f t="shared" si="7"/>
        <v/>
      </c>
      <c r="K57" s="91"/>
      <c r="L57" s="85"/>
      <c r="M57" s="97"/>
      <c r="N57" s="180"/>
      <c r="O57" s="92"/>
      <c r="P57" s="87">
        <f>IF(D57="",0,IF(I57="LED Lighting",M57*IF(AC57="Studio",Assumptions!$C$15,IF(AC57="1 Bedroom",Assumptions!$C$16,IF(AC57="2 Bedroom",Assumptions!$C$17,IF(AC57="3 Bedroom",Assumptions!$C$18,Assumptions!$C$16))))*N57*365/1000,IFERROR(VLOOKUP(I57,Assumptions!$B$40:$H$50,2,FALSE()),0)*M57))</f>
        <v>0</v>
      </c>
      <c r="Q57" s="87">
        <f>IF(D57="",0,IFERROR(VLOOKUP(I57,Assumptions!$B$40:$H$50,3,FALSE()),0)*M57)</f>
        <v>0</v>
      </c>
      <c r="R57" s="77">
        <f>IF(G57="",0.2161,IFERROR(VLOOKUP(G57,Assumptions!$B$53:$C$61,2,FALSE())/100,0.2161))</f>
        <v>0.21609999999999999</v>
      </c>
      <c r="S57" s="77">
        <f>IF(G57="",0,IFERROR(VLOOKUP(G57,Assumptions!$B$64:$C$72,2,FALSE())/1000,0.008))</f>
        <v>0</v>
      </c>
      <c r="T57" s="93" t="str">
        <f t="shared" si="9"/>
        <v/>
      </c>
      <c r="U57" s="93" t="str">
        <f t="shared" si="10"/>
        <v/>
      </c>
      <c r="V57" s="93" t="str">
        <f t="shared" si="11"/>
        <v/>
      </c>
      <c r="W57" s="94" t="str">
        <f t="shared" si="12"/>
        <v/>
      </c>
      <c r="X57" s="88"/>
      <c r="Y57" s="87" t="str">
        <f>IF(D57="","",IFERROR(VLOOKUP(I57,Assumptions!$B$40:$H$50,6,FALSE()),0)*M57)</f>
        <v/>
      </c>
      <c r="Z57" s="87" t="str">
        <f>IF(D57="","",IFERROR(VLOOKUP(I57,Assumptions!$B$40:$H$50,7,FALSE()),0)*M57)</f>
        <v/>
      </c>
      <c r="AA57" s="96" t="str">
        <f t="shared" si="13"/>
        <v/>
      </c>
      <c r="AB57" s="84" t="str">
        <f t="shared" si="14"/>
        <v/>
      </c>
      <c r="AC57" s="99"/>
      <c r="AD57" s="99"/>
      <c r="AE57" s="99"/>
      <c r="AF57" s="98" t="str">
        <f t="shared" si="15"/>
        <v>-</v>
      </c>
    </row>
    <row r="58" spans="2:32" ht="14.25" customHeight="1" thickBot="1" x14ac:dyDescent="0.4">
      <c r="B58" s="84" t="str">
        <f t="shared" si="8"/>
        <v/>
      </c>
      <c r="C58" s="85"/>
      <c r="D58" s="91"/>
      <c r="E58" s="68" t="str">
        <f>IF(D58="","",IFERROR(VLOOKUP(D58,'Portfolio List'!$B$4:$I$76,5,FALSE()),""))</f>
        <v/>
      </c>
      <c r="F58" s="68" t="str">
        <f>IF(D58="","",IFERROR(VLOOKUP(D58,'Portfolio List'!$B$4:$I$76,6,FALSE()),""))</f>
        <v/>
      </c>
      <c r="G58" s="68" t="str">
        <f>IF(D58="","",IFERROR(VLOOKUP(D58,'Portfolio List'!$B$4:$I$76,7,FALSE()),""))</f>
        <v/>
      </c>
      <c r="H58" s="71" t="str">
        <f>IF(D58="","",IFERROR(VLOOKUP(D58,'Portfolio List'!$B$4:$I$76,4,FALSE()),""))</f>
        <v/>
      </c>
      <c r="I58" s="91"/>
      <c r="J58" s="84" t="str">
        <f t="shared" si="7"/>
        <v/>
      </c>
      <c r="K58" s="91"/>
      <c r="L58" s="85"/>
      <c r="M58" s="97"/>
      <c r="N58" s="180"/>
      <c r="O58" s="92"/>
      <c r="P58" s="87">
        <f>IF(D58="",0,IF(I58="LED Lighting",M58*IF(AC58="Studio",Assumptions!$C$15,IF(AC58="1 Bedroom",Assumptions!$C$16,IF(AC58="2 Bedroom",Assumptions!$C$17,IF(AC58="3 Bedroom",Assumptions!$C$18,Assumptions!$C$16))))*N58*365/1000,IFERROR(VLOOKUP(I58,Assumptions!$B$40:$H$50,2,FALSE()),0)*M58))</f>
        <v>0</v>
      </c>
      <c r="Q58" s="87">
        <f>IF(D58="",0,IFERROR(VLOOKUP(I58,Assumptions!$B$40:$H$50,3,FALSE()),0)*M58)</f>
        <v>0</v>
      </c>
      <c r="R58" s="77">
        <f>IF(G58="",0.2161,IFERROR(VLOOKUP(G58,Assumptions!$B$53:$C$61,2,FALSE())/100,0.2161))</f>
        <v>0.21609999999999999</v>
      </c>
      <c r="S58" s="77">
        <f>IF(G58="",0,IFERROR(VLOOKUP(G58,Assumptions!$B$64:$C$72,2,FALSE())/1000,0.008))</f>
        <v>0</v>
      </c>
      <c r="T58" s="93" t="str">
        <f t="shared" si="9"/>
        <v/>
      </c>
      <c r="U58" s="93" t="str">
        <f t="shared" si="10"/>
        <v/>
      </c>
      <c r="V58" s="93" t="str">
        <f t="shared" si="11"/>
        <v/>
      </c>
      <c r="W58" s="94" t="str">
        <f t="shared" si="12"/>
        <v/>
      </c>
      <c r="X58" s="88"/>
      <c r="Y58" s="87" t="str">
        <f>IF(D58="","",IFERROR(VLOOKUP(I58,Assumptions!$B$40:$H$50,6,FALSE()),0)*M58)</f>
        <v/>
      </c>
      <c r="Z58" s="87" t="str">
        <f>IF(D58="","",IFERROR(VLOOKUP(I58,Assumptions!$B$40:$H$50,7,FALSE()),0)*M58)</f>
        <v/>
      </c>
      <c r="AA58" s="96" t="str">
        <f t="shared" si="13"/>
        <v/>
      </c>
      <c r="AB58" s="84" t="str">
        <f t="shared" si="14"/>
        <v/>
      </c>
      <c r="AC58" s="99"/>
      <c r="AD58" s="99"/>
      <c r="AE58" s="99"/>
      <c r="AF58" s="98" t="str">
        <f t="shared" si="15"/>
        <v>-</v>
      </c>
    </row>
    <row r="59" spans="2:32" ht="14.25" customHeight="1" thickBot="1" x14ac:dyDescent="0.4">
      <c r="B59" s="84" t="str">
        <f t="shared" si="8"/>
        <v/>
      </c>
      <c r="C59" s="85"/>
      <c r="D59" s="91"/>
      <c r="E59" s="68" t="str">
        <f>IF(D59="","",IFERROR(VLOOKUP(D59,'Portfolio List'!$B$4:$I$76,5,FALSE()),""))</f>
        <v/>
      </c>
      <c r="F59" s="68" t="str">
        <f>IF(D59="","",IFERROR(VLOOKUP(D59,'Portfolio List'!$B$4:$I$76,6,FALSE()),""))</f>
        <v/>
      </c>
      <c r="G59" s="68" t="str">
        <f>IF(D59="","",IFERROR(VLOOKUP(D59,'Portfolio List'!$B$4:$I$76,7,FALSE()),""))</f>
        <v/>
      </c>
      <c r="H59" s="71" t="str">
        <f>IF(D59="","",IFERROR(VLOOKUP(D59,'Portfolio List'!$B$4:$I$76,4,FALSE()),""))</f>
        <v/>
      </c>
      <c r="I59" s="91"/>
      <c r="J59" s="84" t="str">
        <f t="shared" si="7"/>
        <v/>
      </c>
      <c r="K59" s="91"/>
      <c r="L59" s="85"/>
      <c r="M59" s="97"/>
      <c r="N59" s="180"/>
      <c r="O59" s="92"/>
      <c r="P59" s="87">
        <f>IF(D59="",0,IF(I59="LED Lighting",M59*IF(AC59="Studio",Assumptions!$C$15,IF(AC59="1 Bedroom",Assumptions!$C$16,IF(AC59="2 Bedroom",Assumptions!$C$17,IF(AC59="3 Bedroom",Assumptions!$C$18,Assumptions!$C$16))))*N59*365/1000,IFERROR(VLOOKUP(I59,Assumptions!$B$40:$H$50,2,FALSE()),0)*M59))</f>
        <v>0</v>
      </c>
      <c r="Q59" s="87">
        <f>IF(D59="",0,IFERROR(VLOOKUP(I59,Assumptions!$B$40:$H$50,3,FALSE()),0)*M59)</f>
        <v>0</v>
      </c>
      <c r="R59" s="77">
        <f>IF(G59="",0.2161,IFERROR(VLOOKUP(G59,Assumptions!$B$53:$C$61,2,FALSE())/100,0.2161))</f>
        <v>0.21609999999999999</v>
      </c>
      <c r="S59" s="77">
        <f>IF(G59="",0,IFERROR(VLOOKUP(G59,Assumptions!$B$64:$C$72,2,FALSE())/1000,0.008))</f>
        <v>0</v>
      </c>
      <c r="T59" s="93" t="str">
        <f t="shared" si="9"/>
        <v/>
      </c>
      <c r="U59" s="93" t="str">
        <f t="shared" si="10"/>
        <v/>
      </c>
      <c r="V59" s="93" t="str">
        <f t="shared" si="11"/>
        <v/>
      </c>
      <c r="W59" s="94" t="str">
        <f t="shared" si="12"/>
        <v/>
      </c>
      <c r="X59" s="88"/>
      <c r="Y59" s="87" t="str">
        <f>IF(D59="","",IFERROR(VLOOKUP(I59,Assumptions!$B$40:$H$50,6,FALSE()),0)*M59)</f>
        <v/>
      </c>
      <c r="Z59" s="87" t="str">
        <f>IF(D59="","",IFERROR(VLOOKUP(I59,Assumptions!$B$40:$H$50,7,FALSE()),0)*M59)</f>
        <v/>
      </c>
      <c r="AA59" s="96" t="str">
        <f t="shared" si="13"/>
        <v/>
      </c>
      <c r="AB59" s="84" t="str">
        <f t="shared" si="14"/>
        <v/>
      </c>
      <c r="AC59" s="99"/>
      <c r="AD59" s="99"/>
      <c r="AE59" s="99"/>
      <c r="AF59" s="98" t="str">
        <f t="shared" si="15"/>
        <v>-</v>
      </c>
    </row>
    <row r="60" spans="2:32" ht="14.25" customHeight="1" thickBot="1" x14ac:dyDescent="0.4">
      <c r="B60" s="84" t="str">
        <f t="shared" si="8"/>
        <v/>
      </c>
      <c r="C60" s="85"/>
      <c r="D60" s="91"/>
      <c r="E60" s="68" t="str">
        <f>IF(D60="","",IFERROR(VLOOKUP(D60,'Portfolio List'!$B$4:$I$76,5,FALSE()),""))</f>
        <v/>
      </c>
      <c r="F60" s="68" t="str">
        <f>IF(D60="","",IFERROR(VLOOKUP(D60,'Portfolio List'!$B$4:$I$76,6,FALSE()),""))</f>
        <v/>
      </c>
      <c r="G60" s="68" t="str">
        <f>IF(D60="","",IFERROR(VLOOKUP(D60,'Portfolio List'!$B$4:$I$76,7,FALSE()),""))</f>
        <v/>
      </c>
      <c r="H60" s="71" t="str">
        <f>IF(D60="","",IFERROR(VLOOKUP(D60,'Portfolio List'!$B$4:$I$76,4,FALSE()),""))</f>
        <v/>
      </c>
      <c r="I60" s="91"/>
      <c r="J60" s="84" t="str">
        <f t="shared" si="7"/>
        <v/>
      </c>
      <c r="K60" s="91"/>
      <c r="L60" s="85"/>
      <c r="M60" s="97"/>
      <c r="N60" s="180"/>
      <c r="O60" s="92"/>
      <c r="P60" s="87">
        <f>IF(D60="",0,IF(I60="LED Lighting",M60*IF(AC60="Studio",Assumptions!$C$15,IF(AC60="1 Bedroom",Assumptions!$C$16,IF(AC60="2 Bedroom",Assumptions!$C$17,IF(AC60="3 Bedroom",Assumptions!$C$18,Assumptions!$C$16))))*N60*365/1000,IFERROR(VLOOKUP(I60,Assumptions!$B$40:$H$50,2,FALSE()),0)*M60))</f>
        <v>0</v>
      </c>
      <c r="Q60" s="87">
        <f>IF(D60="",0,IFERROR(VLOOKUP(I60,Assumptions!$B$40:$H$50,3,FALSE()),0)*M60)</f>
        <v>0</v>
      </c>
      <c r="R60" s="77">
        <f>IF(G60="",0.2161,IFERROR(VLOOKUP(G60,Assumptions!$B$53:$C$61,2,FALSE())/100,0.2161))</f>
        <v>0.21609999999999999</v>
      </c>
      <c r="S60" s="77">
        <f>IF(G60="",0,IFERROR(VLOOKUP(G60,Assumptions!$B$64:$C$72,2,FALSE())/1000,0.008))</f>
        <v>0</v>
      </c>
      <c r="T60" s="93" t="str">
        <f t="shared" si="9"/>
        <v/>
      </c>
      <c r="U60" s="93" t="str">
        <f t="shared" si="10"/>
        <v/>
      </c>
      <c r="V60" s="93" t="str">
        <f t="shared" si="11"/>
        <v/>
      </c>
      <c r="W60" s="94" t="str">
        <f t="shared" si="12"/>
        <v/>
      </c>
      <c r="X60" s="88"/>
      <c r="Y60" s="87" t="str">
        <f>IF(D60="","",IFERROR(VLOOKUP(I60,Assumptions!$B$40:$H$50,6,FALSE()),0)*M60)</f>
        <v/>
      </c>
      <c r="Z60" s="87" t="str">
        <f>IF(D60="","",IFERROR(VLOOKUP(I60,Assumptions!$B$40:$H$50,7,FALSE()),0)*M60)</f>
        <v/>
      </c>
      <c r="AA60" s="96" t="str">
        <f t="shared" si="13"/>
        <v/>
      </c>
      <c r="AB60" s="84" t="str">
        <f t="shared" si="14"/>
        <v/>
      </c>
      <c r="AC60" s="99"/>
      <c r="AD60" s="99"/>
      <c r="AE60" s="99"/>
      <c r="AF60" s="98" t="str">
        <f t="shared" si="15"/>
        <v>-</v>
      </c>
    </row>
    <row r="61" spans="2:32" ht="14.25" customHeight="1" thickBot="1" x14ac:dyDescent="0.4">
      <c r="B61" s="84" t="str">
        <f t="shared" si="8"/>
        <v/>
      </c>
      <c r="C61" s="85"/>
      <c r="D61" s="91"/>
      <c r="E61" s="68" t="str">
        <f>IF(D61="","",IFERROR(VLOOKUP(D61,'Portfolio List'!$B$4:$I$76,5,FALSE()),""))</f>
        <v/>
      </c>
      <c r="F61" s="68" t="str">
        <f>IF(D61="","",IFERROR(VLOOKUP(D61,'Portfolio List'!$B$4:$I$76,6,FALSE()),""))</f>
        <v/>
      </c>
      <c r="G61" s="68" t="str">
        <f>IF(D61="","",IFERROR(VLOOKUP(D61,'Portfolio List'!$B$4:$I$76,7,FALSE()),""))</f>
        <v/>
      </c>
      <c r="H61" s="71" t="str">
        <f>IF(D61="","",IFERROR(VLOOKUP(D61,'Portfolio List'!$B$4:$I$76,4,FALSE()),""))</f>
        <v/>
      </c>
      <c r="I61" s="91"/>
      <c r="J61" s="84" t="str">
        <f t="shared" si="7"/>
        <v/>
      </c>
      <c r="K61" s="91"/>
      <c r="L61" s="85"/>
      <c r="M61" s="97"/>
      <c r="N61" s="180"/>
      <c r="O61" s="92"/>
      <c r="P61" s="87">
        <f>IF(D61="",0,IF(I61="LED Lighting",M61*IF(AC61="Studio",Assumptions!$C$15,IF(AC61="1 Bedroom",Assumptions!$C$16,IF(AC61="2 Bedroom",Assumptions!$C$17,IF(AC61="3 Bedroom",Assumptions!$C$18,Assumptions!$C$16))))*N61*365/1000,IFERROR(VLOOKUP(I61,Assumptions!$B$40:$H$50,2,FALSE()),0)*M61))</f>
        <v>0</v>
      </c>
      <c r="Q61" s="87">
        <f>IF(D61="",0,IFERROR(VLOOKUP(I61,Assumptions!$B$40:$H$50,3,FALSE()),0)*M61)</f>
        <v>0</v>
      </c>
      <c r="R61" s="77">
        <f>IF(G61="",0.2161,IFERROR(VLOOKUP(G61,Assumptions!$B$53:$C$61,2,FALSE())/100,0.2161))</f>
        <v>0.21609999999999999</v>
      </c>
      <c r="S61" s="77">
        <f>IF(G61="",0,IFERROR(VLOOKUP(G61,Assumptions!$B$64:$C$72,2,FALSE())/1000,0.008))</f>
        <v>0</v>
      </c>
      <c r="T61" s="93" t="str">
        <f t="shared" si="9"/>
        <v/>
      </c>
      <c r="U61" s="93" t="str">
        <f t="shared" si="10"/>
        <v/>
      </c>
      <c r="V61" s="93" t="str">
        <f t="shared" si="11"/>
        <v/>
      </c>
      <c r="W61" s="94" t="str">
        <f t="shared" si="12"/>
        <v/>
      </c>
      <c r="X61" s="88"/>
      <c r="Y61" s="87" t="str">
        <f>IF(D61="","",IFERROR(VLOOKUP(I61,Assumptions!$B$40:$H$50,6,FALSE()),0)*M61)</f>
        <v/>
      </c>
      <c r="Z61" s="87" t="str">
        <f>IF(D61="","",IFERROR(VLOOKUP(I61,Assumptions!$B$40:$H$50,7,FALSE()),0)*M61)</f>
        <v/>
      </c>
      <c r="AA61" s="96" t="str">
        <f t="shared" si="13"/>
        <v/>
      </c>
      <c r="AB61" s="84" t="str">
        <f t="shared" si="14"/>
        <v/>
      </c>
      <c r="AC61" s="99"/>
      <c r="AD61" s="99"/>
      <c r="AE61" s="99"/>
      <c r="AF61" s="98" t="str">
        <f t="shared" si="15"/>
        <v>-</v>
      </c>
    </row>
    <row r="62" spans="2:32" ht="14.25" customHeight="1" thickBot="1" x14ac:dyDescent="0.4">
      <c r="B62" s="84" t="str">
        <f t="shared" si="8"/>
        <v/>
      </c>
      <c r="C62" s="85"/>
      <c r="D62" s="91"/>
      <c r="E62" s="68" t="str">
        <f>IF(D62="","",IFERROR(VLOOKUP(D62,'Portfolio List'!$B$4:$I$76,5,FALSE()),""))</f>
        <v/>
      </c>
      <c r="F62" s="68" t="str">
        <f>IF(D62="","",IFERROR(VLOOKUP(D62,'Portfolio List'!$B$4:$I$76,6,FALSE()),""))</f>
        <v/>
      </c>
      <c r="G62" s="68" t="str">
        <f>IF(D62="","",IFERROR(VLOOKUP(D62,'Portfolio List'!$B$4:$I$76,7,FALSE()),""))</f>
        <v/>
      </c>
      <c r="H62" s="71" t="str">
        <f>IF(D62="","",IFERROR(VLOOKUP(D62,'Portfolio List'!$B$4:$I$76,4,FALSE()),""))</f>
        <v/>
      </c>
      <c r="I62" s="91"/>
      <c r="J62" s="84" t="str">
        <f t="shared" si="7"/>
        <v/>
      </c>
      <c r="K62" s="91"/>
      <c r="L62" s="85"/>
      <c r="M62" s="97"/>
      <c r="N62" s="180"/>
      <c r="O62" s="92"/>
      <c r="P62" s="87">
        <f>IF(D62="",0,IF(I62="LED Lighting",M62*IF(AC62="Studio",Assumptions!$C$15,IF(AC62="1 Bedroom",Assumptions!$C$16,IF(AC62="2 Bedroom",Assumptions!$C$17,IF(AC62="3 Bedroom",Assumptions!$C$18,Assumptions!$C$16))))*N62*365/1000,IFERROR(VLOOKUP(I62,Assumptions!$B$40:$H$50,2,FALSE()),0)*M62))</f>
        <v>0</v>
      </c>
      <c r="Q62" s="87">
        <f>IF(D62="",0,IFERROR(VLOOKUP(I62,Assumptions!$B$40:$H$50,3,FALSE()),0)*M62)</f>
        <v>0</v>
      </c>
      <c r="R62" s="77">
        <f>IF(G62="",0.2161,IFERROR(VLOOKUP(G62,Assumptions!$B$53:$C$61,2,FALSE())/100,0.2161))</f>
        <v>0.21609999999999999</v>
      </c>
      <c r="S62" s="77">
        <f>IF(G62="",0,IFERROR(VLOOKUP(G62,Assumptions!$B$64:$C$72,2,FALSE())/1000,0.008))</f>
        <v>0</v>
      </c>
      <c r="T62" s="93" t="str">
        <f t="shared" si="9"/>
        <v/>
      </c>
      <c r="U62" s="93" t="str">
        <f t="shared" si="10"/>
        <v/>
      </c>
      <c r="V62" s="93" t="str">
        <f t="shared" si="11"/>
        <v/>
      </c>
      <c r="W62" s="94" t="str">
        <f t="shared" si="12"/>
        <v/>
      </c>
      <c r="X62" s="88"/>
      <c r="Y62" s="87" t="str">
        <f>IF(D62="","",IFERROR(VLOOKUP(I62,Assumptions!$B$40:$H$50,6,FALSE()),0)*M62)</f>
        <v/>
      </c>
      <c r="Z62" s="87" t="str">
        <f>IF(D62="","",IFERROR(VLOOKUP(I62,Assumptions!$B$40:$H$50,7,FALSE()),0)*M62)</f>
        <v/>
      </c>
      <c r="AA62" s="96" t="str">
        <f t="shared" si="13"/>
        <v/>
      </c>
      <c r="AB62" s="84" t="str">
        <f t="shared" si="14"/>
        <v/>
      </c>
      <c r="AC62" s="99"/>
      <c r="AD62" s="99"/>
      <c r="AE62" s="99"/>
      <c r="AF62" s="98" t="str">
        <f t="shared" si="15"/>
        <v>-</v>
      </c>
    </row>
    <row r="63" spans="2:32" ht="14.25" customHeight="1" thickBot="1" x14ac:dyDescent="0.4">
      <c r="B63" s="84" t="str">
        <f t="shared" si="8"/>
        <v/>
      </c>
      <c r="C63" s="85"/>
      <c r="D63" s="91"/>
      <c r="E63" s="68" t="str">
        <f>IF(D63="","",IFERROR(VLOOKUP(D63,'Portfolio List'!$B$4:$I$76,5,FALSE()),""))</f>
        <v/>
      </c>
      <c r="F63" s="68" t="str">
        <f>IF(D63="","",IFERROR(VLOOKUP(D63,'Portfolio List'!$B$4:$I$76,6,FALSE()),""))</f>
        <v/>
      </c>
      <c r="G63" s="68" t="str">
        <f>IF(D63="","",IFERROR(VLOOKUP(D63,'Portfolio List'!$B$4:$I$76,7,FALSE()),""))</f>
        <v/>
      </c>
      <c r="H63" s="71" t="str">
        <f>IF(D63="","",IFERROR(VLOOKUP(D63,'Portfolio List'!$B$4:$I$76,4,FALSE()),""))</f>
        <v/>
      </c>
      <c r="I63" s="91"/>
      <c r="J63" s="84" t="str">
        <f t="shared" si="7"/>
        <v/>
      </c>
      <c r="K63" s="91"/>
      <c r="L63" s="85"/>
      <c r="M63" s="97"/>
      <c r="N63" s="180"/>
      <c r="O63" s="92"/>
      <c r="P63" s="87">
        <f>IF(D63="",0,IF(I63="LED Lighting",M63*IF(AC63="Studio",Assumptions!$C$15,IF(AC63="1 Bedroom",Assumptions!$C$16,IF(AC63="2 Bedroom",Assumptions!$C$17,IF(AC63="3 Bedroom",Assumptions!$C$18,Assumptions!$C$16))))*N63*365/1000,IFERROR(VLOOKUP(I63,Assumptions!$B$40:$H$50,2,FALSE()),0)*M63))</f>
        <v>0</v>
      </c>
      <c r="Q63" s="87">
        <f>IF(D63="",0,IFERROR(VLOOKUP(I63,Assumptions!$B$40:$H$50,3,FALSE()),0)*M63)</f>
        <v>0</v>
      </c>
      <c r="R63" s="77">
        <f>IF(G63="",0.2161,IFERROR(VLOOKUP(G63,Assumptions!$B$53:$C$61,2,FALSE())/100,0.2161))</f>
        <v>0.21609999999999999</v>
      </c>
      <c r="S63" s="77">
        <f>IF(G63="",0,IFERROR(VLOOKUP(G63,Assumptions!$B$64:$C$72,2,FALSE())/1000,0.008))</f>
        <v>0</v>
      </c>
      <c r="T63" s="93" t="str">
        <f t="shared" si="9"/>
        <v/>
      </c>
      <c r="U63" s="93" t="str">
        <f t="shared" si="10"/>
        <v/>
      </c>
      <c r="V63" s="93" t="str">
        <f t="shared" si="11"/>
        <v/>
      </c>
      <c r="W63" s="94" t="str">
        <f t="shared" si="12"/>
        <v/>
      </c>
      <c r="X63" s="88"/>
      <c r="Y63" s="87" t="str">
        <f>IF(D63="","",IFERROR(VLOOKUP(I63,Assumptions!$B$40:$H$50,6,FALSE()),0)*M63)</f>
        <v/>
      </c>
      <c r="Z63" s="87" t="str">
        <f>IF(D63="","",IFERROR(VLOOKUP(I63,Assumptions!$B$40:$H$50,7,FALSE()),0)*M63)</f>
        <v/>
      </c>
      <c r="AA63" s="96" t="str">
        <f t="shared" si="13"/>
        <v/>
      </c>
      <c r="AB63" s="84" t="str">
        <f t="shared" si="14"/>
        <v/>
      </c>
      <c r="AC63" s="99"/>
      <c r="AD63" s="99"/>
      <c r="AE63" s="99"/>
      <c r="AF63" s="98" t="str">
        <f t="shared" si="15"/>
        <v>-</v>
      </c>
    </row>
    <row r="64" spans="2:32" ht="14.25" customHeight="1" thickBot="1" x14ac:dyDescent="0.4">
      <c r="B64" s="84" t="str">
        <f t="shared" si="8"/>
        <v/>
      </c>
      <c r="C64" s="85"/>
      <c r="D64" s="91"/>
      <c r="E64" s="68" t="str">
        <f>IF(D64="","",IFERROR(VLOOKUP(D64,'Portfolio List'!$B$4:$I$76,5,FALSE()),""))</f>
        <v/>
      </c>
      <c r="F64" s="68" t="str">
        <f>IF(D64="","",IFERROR(VLOOKUP(D64,'Portfolio List'!$B$4:$I$76,6,FALSE()),""))</f>
        <v/>
      </c>
      <c r="G64" s="68" t="str">
        <f>IF(D64="","",IFERROR(VLOOKUP(D64,'Portfolio List'!$B$4:$I$76,7,FALSE()),""))</f>
        <v/>
      </c>
      <c r="H64" s="71" t="str">
        <f>IF(D64="","",IFERROR(VLOOKUP(D64,'Portfolio List'!$B$4:$I$76,4,FALSE()),""))</f>
        <v/>
      </c>
      <c r="I64" s="91"/>
      <c r="J64" s="84" t="str">
        <f t="shared" si="7"/>
        <v/>
      </c>
      <c r="K64" s="91"/>
      <c r="L64" s="85"/>
      <c r="M64" s="97"/>
      <c r="N64" s="180"/>
      <c r="O64" s="92"/>
      <c r="P64" s="87">
        <f>IF(D64="",0,IF(I64="LED Lighting",M64*IF(AC64="Studio",Assumptions!$C$15,IF(AC64="1 Bedroom",Assumptions!$C$16,IF(AC64="2 Bedroom",Assumptions!$C$17,IF(AC64="3 Bedroom",Assumptions!$C$18,Assumptions!$C$16))))*N64*365/1000,IFERROR(VLOOKUP(I64,Assumptions!$B$40:$H$50,2,FALSE()),0)*M64))</f>
        <v>0</v>
      </c>
      <c r="Q64" s="87">
        <f>IF(D64="",0,IFERROR(VLOOKUP(I64,Assumptions!$B$40:$H$50,3,FALSE()),0)*M64)</f>
        <v>0</v>
      </c>
      <c r="R64" s="77">
        <f>IF(G64="",0.2161,IFERROR(VLOOKUP(G64,Assumptions!$B$53:$C$61,2,FALSE())/100,0.2161))</f>
        <v>0.21609999999999999</v>
      </c>
      <c r="S64" s="77">
        <f>IF(G64="",0,IFERROR(VLOOKUP(G64,Assumptions!$B$64:$C$72,2,FALSE())/1000,0.008))</f>
        <v>0</v>
      </c>
      <c r="T64" s="93" t="str">
        <f t="shared" si="9"/>
        <v/>
      </c>
      <c r="U64" s="93" t="str">
        <f t="shared" si="10"/>
        <v/>
      </c>
      <c r="V64" s="93" t="str">
        <f t="shared" si="11"/>
        <v/>
      </c>
      <c r="W64" s="94" t="str">
        <f t="shared" si="12"/>
        <v/>
      </c>
      <c r="X64" s="88"/>
      <c r="Y64" s="87" t="str">
        <f>IF(D64="","",IFERROR(VLOOKUP(I64,Assumptions!$B$40:$H$50,6,FALSE()),0)*M64)</f>
        <v/>
      </c>
      <c r="Z64" s="87" t="str">
        <f>IF(D64="","",IFERROR(VLOOKUP(I64,Assumptions!$B$40:$H$50,7,FALSE()),0)*M64)</f>
        <v/>
      </c>
      <c r="AA64" s="96" t="str">
        <f t="shared" si="13"/>
        <v/>
      </c>
      <c r="AB64" s="84" t="str">
        <f t="shared" si="14"/>
        <v/>
      </c>
      <c r="AC64" s="99"/>
      <c r="AD64" s="99"/>
      <c r="AE64" s="99"/>
      <c r="AF64" s="98" t="str">
        <f t="shared" si="15"/>
        <v>-</v>
      </c>
    </row>
    <row r="65" spans="2:32" ht="14.25" customHeight="1" thickBot="1" x14ac:dyDescent="0.4">
      <c r="B65" s="84" t="str">
        <f t="shared" si="8"/>
        <v/>
      </c>
      <c r="C65" s="85"/>
      <c r="D65" s="91"/>
      <c r="E65" s="68" t="str">
        <f>IF(D65="","",IFERROR(VLOOKUP(D65,'Portfolio List'!$B$4:$I$76,5,FALSE()),""))</f>
        <v/>
      </c>
      <c r="F65" s="68" t="str">
        <f>IF(D65="","",IFERROR(VLOOKUP(D65,'Portfolio List'!$B$4:$I$76,6,FALSE()),""))</f>
        <v/>
      </c>
      <c r="G65" s="68" t="str">
        <f>IF(D65="","",IFERROR(VLOOKUP(D65,'Portfolio List'!$B$4:$I$76,7,FALSE()),""))</f>
        <v/>
      </c>
      <c r="H65" s="71" t="str">
        <f>IF(D65="","",IFERROR(VLOOKUP(D65,'Portfolio List'!$B$4:$I$76,4,FALSE()),""))</f>
        <v/>
      </c>
      <c r="I65" s="91"/>
      <c r="J65" s="84" t="str">
        <f t="shared" si="7"/>
        <v/>
      </c>
      <c r="K65" s="91"/>
      <c r="L65" s="85"/>
      <c r="M65" s="97"/>
      <c r="N65" s="180"/>
      <c r="O65" s="92"/>
      <c r="P65" s="87">
        <f>IF(D65="",0,IF(I65="LED Lighting",M65*IF(AC65="Studio",Assumptions!$C$15,IF(AC65="1 Bedroom",Assumptions!$C$16,IF(AC65="2 Bedroom",Assumptions!$C$17,IF(AC65="3 Bedroom",Assumptions!$C$18,Assumptions!$C$16))))*N65*365/1000,IFERROR(VLOOKUP(I65,Assumptions!$B$40:$H$50,2,FALSE()),0)*M65))</f>
        <v>0</v>
      </c>
      <c r="Q65" s="87">
        <f>IF(D65="",0,IFERROR(VLOOKUP(I65,Assumptions!$B$40:$H$50,3,FALSE()),0)*M65)</f>
        <v>0</v>
      </c>
      <c r="R65" s="77">
        <f>IF(G65="",0.2161,IFERROR(VLOOKUP(G65,Assumptions!$B$53:$C$61,2,FALSE())/100,0.2161))</f>
        <v>0.21609999999999999</v>
      </c>
      <c r="S65" s="77">
        <f>IF(G65="",0,IFERROR(VLOOKUP(G65,Assumptions!$B$64:$C$72,2,FALSE())/1000,0.008))</f>
        <v>0</v>
      </c>
      <c r="T65" s="93" t="str">
        <f t="shared" si="9"/>
        <v/>
      </c>
      <c r="U65" s="93" t="str">
        <f t="shared" si="10"/>
        <v/>
      </c>
      <c r="V65" s="93" t="str">
        <f t="shared" si="11"/>
        <v/>
      </c>
      <c r="W65" s="94" t="str">
        <f t="shared" si="12"/>
        <v/>
      </c>
      <c r="X65" s="88"/>
      <c r="Y65" s="87" t="str">
        <f>IF(D65="","",IFERROR(VLOOKUP(I65,Assumptions!$B$40:$H$50,6,FALSE()),0)*M65)</f>
        <v/>
      </c>
      <c r="Z65" s="87" t="str">
        <f>IF(D65="","",IFERROR(VLOOKUP(I65,Assumptions!$B$40:$H$50,7,FALSE()),0)*M65)</f>
        <v/>
      </c>
      <c r="AA65" s="96" t="str">
        <f t="shared" si="13"/>
        <v/>
      </c>
      <c r="AB65" s="84" t="str">
        <f t="shared" si="14"/>
        <v/>
      </c>
      <c r="AC65" s="99"/>
      <c r="AD65" s="99"/>
      <c r="AE65" s="99"/>
      <c r="AF65" s="98" t="str">
        <f t="shared" si="15"/>
        <v>-</v>
      </c>
    </row>
    <row r="66" spans="2:32" ht="14.25" customHeight="1" thickBot="1" x14ac:dyDescent="0.4">
      <c r="B66" s="84" t="str">
        <f t="shared" si="8"/>
        <v/>
      </c>
      <c r="C66" s="85"/>
      <c r="D66" s="91"/>
      <c r="E66" s="68" t="str">
        <f>IF(D66="","",IFERROR(VLOOKUP(D66,'Portfolio List'!$B$4:$I$76,5,FALSE()),""))</f>
        <v/>
      </c>
      <c r="F66" s="68" t="str">
        <f>IF(D66="","",IFERROR(VLOOKUP(D66,'Portfolio List'!$B$4:$I$76,6,FALSE()),""))</f>
        <v/>
      </c>
      <c r="G66" s="68" t="str">
        <f>IF(D66="","",IFERROR(VLOOKUP(D66,'Portfolio List'!$B$4:$I$76,7,FALSE()),""))</f>
        <v/>
      </c>
      <c r="H66" s="71" t="str">
        <f>IF(D66="","",IFERROR(VLOOKUP(D66,'Portfolio List'!$B$4:$I$76,4,FALSE()),""))</f>
        <v/>
      </c>
      <c r="I66" s="91"/>
      <c r="J66" s="84" t="str">
        <f t="shared" si="7"/>
        <v/>
      </c>
      <c r="K66" s="91"/>
      <c r="L66" s="85"/>
      <c r="M66" s="97"/>
      <c r="N66" s="180"/>
      <c r="O66" s="92"/>
      <c r="P66" s="87">
        <f>IF(D66="",0,IF(I66="LED Lighting",M66*IF(AC66="Studio",Assumptions!$C$15,IF(AC66="1 Bedroom",Assumptions!$C$16,IF(AC66="2 Bedroom",Assumptions!$C$17,IF(AC66="3 Bedroom",Assumptions!$C$18,Assumptions!$C$16))))*N66*365/1000,IFERROR(VLOOKUP(I66,Assumptions!$B$40:$H$50,2,FALSE()),0)*M66))</f>
        <v>0</v>
      </c>
      <c r="Q66" s="87">
        <f>IF(D66="",0,IFERROR(VLOOKUP(I66,Assumptions!$B$40:$H$50,3,FALSE()),0)*M66)</f>
        <v>0</v>
      </c>
      <c r="R66" s="77">
        <f>IF(G66="",0.2161,IFERROR(VLOOKUP(G66,Assumptions!$B$53:$C$61,2,FALSE())/100,0.2161))</f>
        <v>0.21609999999999999</v>
      </c>
      <c r="S66" s="77">
        <f>IF(G66="",0,IFERROR(VLOOKUP(G66,Assumptions!$B$64:$C$72,2,FALSE())/1000,0.008))</f>
        <v>0</v>
      </c>
      <c r="T66" s="93" t="str">
        <f t="shared" si="9"/>
        <v/>
      </c>
      <c r="U66" s="93" t="str">
        <f t="shared" si="10"/>
        <v/>
      </c>
      <c r="V66" s="93" t="str">
        <f t="shared" si="11"/>
        <v/>
      </c>
      <c r="W66" s="94" t="str">
        <f t="shared" si="12"/>
        <v/>
      </c>
      <c r="X66" s="88"/>
      <c r="Y66" s="87" t="str">
        <f>IF(D66="","",IFERROR(VLOOKUP(I66,Assumptions!$B$40:$H$50,6,FALSE()),0)*M66)</f>
        <v/>
      </c>
      <c r="Z66" s="87" t="str">
        <f>IF(D66="","",IFERROR(VLOOKUP(I66,Assumptions!$B$40:$H$50,7,FALSE()),0)*M66)</f>
        <v/>
      </c>
      <c r="AA66" s="96" t="str">
        <f t="shared" si="13"/>
        <v/>
      </c>
      <c r="AB66" s="84" t="str">
        <f t="shared" si="14"/>
        <v/>
      </c>
      <c r="AC66" s="99"/>
      <c r="AD66" s="99"/>
      <c r="AE66" s="99"/>
      <c r="AF66" s="98" t="str">
        <f t="shared" si="15"/>
        <v>-</v>
      </c>
    </row>
    <row r="67" spans="2:32" ht="14.25" customHeight="1" thickBot="1" x14ac:dyDescent="0.4">
      <c r="B67" s="84" t="str">
        <f t="shared" si="8"/>
        <v/>
      </c>
      <c r="C67" s="85"/>
      <c r="D67" s="91"/>
      <c r="E67" s="68" t="str">
        <f>IF(D67="","",IFERROR(VLOOKUP(D67,'Portfolio List'!$B$4:$I$76,5,FALSE()),""))</f>
        <v/>
      </c>
      <c r="F67" s="68" t="str">
        <f>IF(D67="","",IFERROR(VLOOKUP(D67,'Portfolio List'!$B$4:$I$76,6,FALSE()),""))</f>
        <v/>
      </c>
      <c r="G67" s="68" t="str">
        <f>IF(D67="","",IFERROR(VLOOKUP(D67,'Portfolio List'!$B$4:$I$76,7,FALSE()),""))</f>
        <v/>
      </c>
      <c r="H67" s="71" t="str">
        <f>IF(D67="","",IFERROR(VLOOKUP(D67,'Portfolio List'!$B$4:$I$76,4,FALSE()),""))</f>
        <v/>
      </c>
      <c r="I67" s="91"/>
      <c r="J67" s="84" t="str">
        <f t="shared" si="7"/>
        <v/>
      </c>
      <c r="K67" s="91"/>
      <c r="L67" s="85"/>
      <c r="M67" s="97"/>
      <c r="N67" s="180"/>
      <c r="O67" s="92"/>
      <c r="P67" s="87">
        <f>IF(D67="",0,IF(I67="LED Lighting",M67*IF(AC67="Studio",Assumptions!$C$15,IF(AC67="1 Bedroom",Assumptions!$C$16,IF(AC67="2 Bedroom",Assumptions!$C$17,IF(AC67="3 Bedroom",Assumptions!$C$18,Assumptions!$C$16))))*N67*365/1000,IFERROR(VLOOKUP(I67,Assumptions!$B$40:$H$50,2,FALSE()),0)*M67))</f>
        <v>0</v>
      </c>
      <c r="Q67" s="87">
        <f>IF(D67="",0,IFERROR(VLOOKUP(I67,Assumptions!$B$40:$H$50,3,FALSE()),0)*M67)</f>
        <v>0</v>
      </c>
      <c r="R67" s="77">
        <f>IF(G67="",0.2161,IFERROR(VLOOKUP(G67,Assumptions!$B$53:$C$61,2,FALSE())/100,0.2161))</f>
        <v>0.21609999999999999</v>
      </c>
      <c r="S67" s="77">
        <f>IF(G67="",0,IFERROR(VLOOKUP(G67,Assumptions!$B$64:$C$72,2,FALSE())/1000,0.008))</f>
        <v>0</v>
      </c>
      <c r="T67" s="93" t="str">
        <f t="shared" si="9"/>
        <v/>
      </c>
      <c r="U67" s="93" t="str">
        <f t="shared" si="10"/>
        <v/>
      </c>
      <c r="V67" s="93" t="str">
        <f t="shared" si="11"/>
        <v/>
      </c>
      <c r="W67" s="94" t="str">
        <f t="shared" si="12"/>
        <v/>
      </c>
      <c r="X67" s="88"/>
      <c r="Y67" s="87" t="str">
        <f>IF(D67="","",IFERROR(VLOOKUP(I67,Assumptions!$B$40:$H$50,6,FALSE()),0)*M67)</f>
        <v/>
      </c>
      <c r="Z67" s="87" t="str">
        <f>IF(D67="","",IFERROR(VLOOKUP(I67,Assumptions!$B$40:$H$50,7,FALSE()),0)*M67)</f>
        <v/>
      </c>
      <c r="AA67" s="96" t="str">
        <f t="shared" si="13"/>
        <v/>
      </c>
      <c r="AB67" s="84" t="str">
        <f t="shared" si="14"/>
        <v/>
      </c>
      <c r="AC67" s="99"/>
      <c r="AD67" s="99"/>
      <c r="AE67" s="99"/>
      <c r="AF67" s="98" t="str">
        <f t="shared" si="15"/>
        <v>-</v>
      </c>
    </row>
    <row r="68" spans="2:32" ht="14.25" customHeight="1" thickBot="1" x14ac:dyDescent="0.4">
      <c r="B68" s="84" t="str">
        <f t="shared" si="8"/>
        <v/>
      </c>
      <c r="C68" s="85"/>
      <c r="D68" s="91"/>
      <c r="E68" s="68" t="str">
        <f>IF(D68="","",IFERROR(VLOOKUP(D68,'Portfolio List'!$B$4:$I$76,5,FALSE()),""))</f>
        <v/>
      </c>
      <c r="F68" s="68" t="str">
        <f>IF(D68="","",IFERROR(VLOOKUP(D68,'Portfolio List'!$B$4:$I$76,6,FALSE()),""))</f>
        <v/>
      </c>
      <c r="G68" s="68" t="str">
        <f>IF(D68="","",IFERROR(VLOOKUP(D68,'Portfolio List'!$B$4:$I$76,7,FALSE()),""))</f>
        <v/>
      </c>
      <c r="H68" s="71" t="str">
        <f>IF(D68="","",IFERROR(VLOOKUP(D68,'Portfolio List'!$B$4:$I$76,4,FALSE()),""))</f>
        <v/>
      </c>
      <c r="I68" s="91"/>
      <c r="J68" s="84" t="str">
        <f t="shared" si="7"/>
        <v/>
      </c>
      <c r="K68" s="91"/>
      <c r="L68" s="85"/>
      <c r="M68" s="97"/>
      <c r="N68" s="180"/>
      <c r="O68" s="92"/>
      <c r="P68" s="87">
        <f>IF(D68="",0,IF(I68="LED Lighting",M68*IF(AC68="Studio",Assumptions!$C$15,IF(AC68="1 Bedroom",Assumptions!$C$16,IF(AC68="2 Bedroom",Assumptions!$C$17,IF(AC68="3 Bedroom",Assumptions!$C$18,Assumptions!$C$16))))*N68*365/1000,IFERROR(VLOOKUP(I68,Assumptions!$B$40:$H$50,2,FALSE()),0)*M68))</f>
        <v>0</v>
      </c>
      <c r="Q68" s="87">
        <f>IF(D68="",0,IFERROR(VLOOKUP(I68,Assumptions!$B$40:$H$50,3,FALSE()),0)*M68)</f>
        <v>0</v>
      </c>
      <c r="R68" s="77">
        <f>IF(G68="",0.2161,IFERROR(VLOOKUP(G68,Assumptions!$B$53:$C$61,2,FALSE())/100,0.2161))</f>
        <v>0.21609999999999999</v>
      </c>
      <c r="S68" s="77">
        <f>IF(G68="",0,IFERROR(VLOOKUP(G68,Assumptions!$B$64:$C$72,2,FALSE())/1000,0.008))</f>
        <v>0</v>
      </c>
      <c r="T68" s="93" t="str">
        <f t="shared" si="9"/>
        <v/>
      </c>
      <c r="U68" s="93" t="str">
        <f t="shared" si="10"/>
        <v/>
      </c>
      <c r="V68" s="93" t="str">
        <f t="shared" si="11"/>
        <v/>
      </c>
      <c r="W68" s="94" t="str">
        <f t="shared" si="12"/>
        <v/>
      </c>
      <c r="X68" s="88"/>
      <c r="Y68" s="87" t="str">
        <f>IF(D68="","",IFERROR(VLOOKUP(I68,Assumptions!$B$40:$H$50,6,FALSE()),0)*M68)</f>
        <v/>
      </c>
      <c r="Z68" s="87" t="str">
        <f>IF(D68="","",IFERROR(VLOOKUP(I68,Assumptions!$B$40:$H$50,7,FALSE()),0)*M68)</f>
        <v/>
      </c>
      <c r="AA68" s="96" t="str">
        <f t="shared" si="13"/>
        <v/>
      </c>
      <c r="AB68" s="84" t="str">
        <f t="shared" si="14"/>
        <v/>
      </c>
      <c r="AC68" s="99"/>
      <c r="AD68" s="99"/>
      <c r="AE68" s="99"/>
      <c r="AF68" s="98" t="str">
        <f t="shared" si="15"/>
        <v>-</v>
      </c>
    </row>
    <row r="69" spans="2:32" ht="14.25" customHeight="1" thickBot="1" x14ac:dyDescent="0.4">
      <c r="B69" s="84" t="str">
        <f t="shared" si="8"/>
        <v/>
      </c>
      <c r="C69" s="85"/>
      <c r="D69" s="91"/>
      <c r="E69" s="68" t="str">
        <f>IF(D69="","",IFERROR(VLOOKUP(D69,'Portfolio List'!$B$4:$I$76,5,FALSE()),""))</f>
        <v/>
      </c>
      <c r="F69" s="68" t="str">
        <f>IF(D69="","",IFERROR(VLOOKUP(D69,'Portfolio List'!$B$4:$I$76,6,FALSE()),""))</f>
        <v/>
      </c>
      <c r="G69" s="68" t="str">
        <f>IF(D69="","",IFERROR(VLOOKUP(D69,'Portfolio List'!$B$4:$I$76,7,FALSE()),""))</f>
        <v/>
      </c>
      <c r="H69" s="71" t="str">
        <f>IF(D69="","",IFERROR(VLOOKUP(D69,'Portfolio List'!$B$4:$I$76,4,FALSE()),""))</f>
        <v/>
      </c>
      <c r="I69" s="91"/>
      <c r="J69" s="84" t="str">
        <f t="shared" si="7"/>
        <v/>
      </c>
      <c r="K69" s="91"/>
      <c r="L69" s="85"/>
      <c r="M69" s="97"/>
      <c r="N69" s="180"/>
      <c r="O69" s="92"/>
      <c r="P69" s="87">
        <f>IF(D69="",0,IF(I69="LED Lighting",M69*IF(AC69="Studio",Assumptions!$C$15,IF(AC69="1 Bedroom",Assumptions!$C$16,IF(AC69="2 Bedroom",Assumptions!$C$17,IF(AC69="3 Bedroom",Assumptions!$C$18,Assumptions!$C$16))))*N69*365/1000,IFERROR(VLOOKUP(I69,Assumptions!$B$40:$H$50,2,FALSE()),0)*M69))</f>
        <v>0</v>
      </c>
      <c r="Q69" s="87">
        <f>IF(D69="",0,IFERROR(VLOOKUP(I69,Assumptions!$B$40:$H$50,3,FALSE()),0)*M69)</f>
        <v>0</v>
      </c>
      <c r="R69" s="77">
        <f>IF(G69="",0.2161,IFERROR(VLOOKUP(G69,Assumptions!$B$53:$C$61,2,FALSE())/100,0.2161))</f>
        <v>0.21609999999999999</v>
      </c>
      <c r="S69" s="77">
        <f>IF(G69="",0,IFERROR(VLOOKUP(G69,Assumptions!$B$64:$C$72,2,FALSE())/1000,0.008))</f>
        <v>0</v>
      </c>
      <c r="T69" s="93" t="str">
        <f t="shared" si="9"/>
        <v/>
      </c>
      <c r="U69" s="93" t="str">
        <f t="shared" si="10"/>
        <v/>
      </c>
      <c r="V69" s="93" t="str">
        <f t="shared" si="11"/>
        <v/>
      </c>
      <c r="W69" s="94" t="str">
        <f t="shared" si="12"/>
        <v/>
      </c>
      <c r="X69" s="88"/>
      <c r="Y69" s="87" t="str">
        <f>IF(D69="","",IFERROR(VLOOKUP(I69,Assumptions!$B$40:$H$50,6,FALSE()),0)*M69)</f>
        <v/>
      </c>
      <c r="Z69" s="87" t="str">
        <f>IF(D69="","",IFERROR(VLOOKUP(I69,Assumptions!$B$40:$H$50,7,FALSE()),0)*M69)</f>
        <v/>
      </c>
      <c r="AA69" s="96" t="str">
        <f t="shared" si="13"/>
        <v/>
      </c>
      <c r="AB69" s="84" t="str">
        <f t="shared" si="14"/>
        <v/>
      </c>
      <c r="AC69" s="99"/>
      <c r="AD69" s="99"/>
      <c r="AE69" s="99"/>
      <c r="AF69" s="98" t="str">
        <f t="shared" si="15"/>
        <v>-</v>
      </c>
    </row>
    <row r="70" spans="2:32" ht="14.25" customHeight="1" thickBot="1" x14ac:dyDescent="0.4">
      <c r="B70" s="84" t="str">
        <f t="shared" si="8"/>
        <v/>
      </c>
      <c r="C70" s="85"/>
      <c r="D70" s="91"/>
      <c r="E70" s="68" t="str">
        <f>IF(D70="","",IFERROR(VLOOKUP(D70,'Portfolio List'!$B$4:$I$76,5,FALSE()),""))</f>
        <v/>
      </c>
      <c r="F70" s="68" t="str">
        <f>IF(D70="","",IFERROR(VLOOKUP(D70,'Portfolio List'!$B$4:$I$76,6,FALSE()),""))</f>
        <v/>
      </c>
      <c r="G70" s="68" t="str">
        <f>IF(D70="","",IFERROR(VLOOKUP(D70,'Portfolio List'!$B$4:$I$76,7,FALSE()),""))</f>
        <v/>
      </c>
      <c r="H70" s="71" t="str">
        <f>IF(D70="","",IFERROR(VLOOKUP(D70,'Portfolio List'!$B$4:$I$76,4,FALSE()),""))</f>
        <v/>
      </c>
      <c r="I70" s="91"/>
      <c r="J70" s="84" t="str">
        <f t="shared" si="7"/>
        <v/>
      </c>
      <c r="K70" s="91"/>
      <c r="L70" s="85"/>
      <c r="M70" s="97"/>
      <c r="N70" s="180"/>
      <c r="O70" s="92"/>
      <c r="P70" s="87">
        <f>IF(D70="",0,IF(I70="LED Lighting",M70*IF(AC70="Studio",Assumptions!$C$15,IF(AC70="1 Bedroom",Assumptions!$C$16,IF(AC70="2 Bedroom",Assumptions!$C$17,IF(AC70="3 Bedroom",Assumptions!$C$18,Assumptions!$C$16))))*N70*365/1000,IFERROR(VLOOKUP(I70,Assumptions!$B$40:$H$50,2,FALSE()),0)*M70))</f>
        <v>0</v>
      </c>
      <c r="Q70" s="87">
        <f>IF(D70="",0,IFERROR(VLOOKUP(I70,Assumptions!$B$40:$H$50,3,FALSE()),0)*M70)</f>
        <v>0</v>
      </c>
      <c r="R70" s="77">
        <f>IF(G70="",0.2161,IFERROR(VLOOKUP(G70,Assumptions!$B$53:$C$61,2,FALSE())/100,0.2161))</f>
        <v>0.21609999999999999</v>
      </c>
      <c r="S70" s="77">
        <f>IF(G70="",0,IFERROR(VLOOKUP(G70,Assumptions!$B$64:$C$72,2,FALSE())/1000,0.008))</f>
        <v>0</v>
      </c>
      <c r="T70" s="93" t="str">
        <f t="shared" ref="T70:T101" si="16">IF(D70="","",P70*R70)</f>
        <v/>
      </c>
      <c r="U70" s="93" t="str">
        <f t="shared" ref="U70:U101" si="17">IF(D70="","",Q70*S70)</f>
        <v/>
      </c>
      <c r="V70" s="93" t="str">
        <f t="shared" ref="V70:V101" si="18">IF(D70="","",T70+U70)</f>
        <v/>
      </c>
      <c r="W70" s="94" t="str">
        <f t="shared" ref="W70:W101" si="19">IF(OR(D70="",O70="",O70&lt;=0,V70="",V70&lt;=0),"",IFERROR(O70/V70,""))</f>
        <v/>
      </c>
      <c r="X70" s="88"/>
      <c r="Y70" s="87" t="str">
        <f>IF(D70="","",IFERROR(VLOOKUP(I70,Assumptions!$B$40:$H$50,6,FALSE()),0)*M70)</f>
        <v/>
      </c>
      <c r="Z70" s="87" t="str">
        <f>IF(D70="","",IFERROR(VLOOKUP(I70,Assumptions!$B$40:$H$50,7,FALSE()),0)*M70)</f>
        <v/>
      </c>
      <c r="AA70" s="96" t="str">
        <f t="shared" ref="AA70:AA101" si="20">IF(L70="","",YEAR(L70))</f>
        <v/>
      </c>
      <c r="AB70" s="84" t="str">
        <f t="shared" ref="AB70:AB101" si="21">IF(L70="","","Q"&amp;INT((MONTH(L70)+2)/3))</f>
        <v/>
      </c>
      <c r="AC70" s="99"/>
      <c r="AD70" s="99"/>
      <c r="AE70" s="99"/>
      <c r="AF70" s="98" t="str">
        <f t="shared" ref="AF70:AF101" si="22">IFERROR(AE70/AD70,"-")</f>
        <v>-</v>
      </c>
    </row>
    <row r="71" spans="2:32" ht="14.25" customHeight="1" thickBot="1" x14ac:dyDescent="0.4">
      <c r="B71" s="84" t="str">
        <f t="shared" si="8"/>
        <v/>
      </c>
      <c r="C71" s="85"/>
      <c r="D71" s="91"/>
      <c r="E71" s="68" t="str">
        <f>IF(D71="","",IFERROR(VLOOKUP(D71,'Portfolio List'!$B$4:$I$76,5,FALSE()),""))</f>
        <v/>
      </c>
      <c r="F71" s="68" t="str">
        <f>IF(D71="","",IFERROR(VLOOKUP(D71,'Portfolio List'!$B$4:$I$76,6,FALSE()),""))</f>
        <v/>
      </c>
      <c r="G71" s="68" t="str">
        <f>IF(D71="","",IFERROR(VLOOKUP(D71,'Portfolio List'!$B$4:$I$76,7,FALSE()),""))</f>
        <v/>
      </c>
      <c r="H71" s="71" t="str">
        <f>IF(D71="","",IFERROR(VLOOKUP(D71,'Portfolio List'!$B$4:$I$76,4,FALSE()),""))</f>
        <v/>
      </c>
      <c r="I71" s="91"/>
      <c r="J71" s="84" t="str">
        <f t="shared" ref="J71:J134" si="23">IF(I71="","",IF(OR(I71="LED Lighting",I71="Energy Star Refrigerator",I71="Energy Star Range",I71="Energy Star AC Unit"),"Energy",IF(OR(I71="Low-Flow Toilet",I71="Low-Flow Faucet (Bathroom)",I71="Low-Flow Faucet (Kitchen)",I71="Low-Flow Shower Head"),"Water",IF(OR(I71="Energy Star Dishwasher",I71="Energy Star Washer/Dryer"),"Both","Other"))))</f>
        <v/>
      </c>
      <c r="K71" s="91"/>
      <c r="L71" s="85"/>
      <c r="M71" s="97"/>
      <c r="N71" s="180"/>
      <c r="O71" s="92"/>
      <c r="P71" s="87">
        <f>IF(D71="",0,IF(I71="LED Lighting",M71*IF(AC71="Studio",Assumptions!$C$15,IF(AC71="1 Bedroom",Assumptions!$C$16,IF(AC71="2 Bedroom",Assumptions!$C$17,IF(AC71="3 Bedroom",Assumptions!$C$18,Assumptions!$C$16))))*N71*365/1000,IFERROR(VLOOKUP(I71,Assumptions!$B$40:$H$50,2,FALSE()),0)*M71))</f>
        <v>0</v>
      </c>
      <c r="Q71" s="87">
        <f>IF(D71="",0,IFERROR(VLOOKUP(I71,Assumptions!$B$40:$H$50,3,FALSE()),0)*M71)</f>
        <v>0</v>
      </c>
      <c r="R71" s="77">
        <f>IF(G71="",0.2161,IFERROR(VLOOKUP(G71,Assumptions!$B$53:$C$61,2,FALSE())/100,0.2161))</f>
        <v>0.21609999999999999</v>
      </c>
      <c r="S71" s="77">
        <f>IF(G71="",0,IFERROR(VLOOKUP(G71,Assumptions!$B$64:$C$72,2,FALSE())/1000,0.008))</f>
        <v>0</v>
      </c>
      <c r="T71" s="93" t="str">
        <f t="shared" si="16"/>
        <v/>
      </c>
      <c r="U71" s="93" t="str">
        <f t="shared" si="17"/>
        <v/>
      </c>
      <c r="V71" s="93" t="str">
        <f t="shared" si="18"/>
        <v/>
      </c>
      <c r="W71" s="94" t="str">
        <f t="shared" si="19"/>
        <v/>
      </c>
      <c r="X71" s="88"/>
      <c r="Y71" s="87" t="str">
        <f>IF(D71="","",IFERROR(VLOOKUP(I71,Assumptions!$B$40:$H$50,6,FALSE()),0)*M71)</f>
        <v/>
      </c>
      <c r="Z71" s="87" t="str">
        <f>IF(D71="","",IFERROR(VLOOKUP(I71,Assumptions!$B$40:$H$50,7,FALSE()),0)*M71)</f>
        <v/>
      </c>
      <c r="AA71" s="96" t="str">
        <f t="shared" si="20"/>
        <v/>
      </c>
      <c r="AB71" s="84" t="str">
        <f t="shared" si="21"/>
        <v/>
      </c>
      <c r="AC71" s="99"/>
      <c r="AD71" s="99"/>
      <c r="AE71" s="99"/>
      <c r="AF71" s="98" t="str">
        <f t="shared" si="22"/>
        <v>-</v>
      </c>
    </row>
    <row r="72" spans="2:32" ht="14.25" customHeight="1" thickBot="1" x14ac:dyDescent="0.4">
      <c r="B72" s="84" t="str">
        <f t="shared" ref="B72:B135" si="24">IF($D72="","",B71+1)</f>
        <v/>
      </c>
      <c r="C72" s="85"/>
      <c r="D72" s="91"/>
      <c r="E72" s="68" t="str">
        <f>IF(D72="","",IFERROR(VLOOKUP(D72,'Portfolio List'!$B$4:$I$76,5,FALSE()),""))</f>
        <v/>
      </c>
      <c r="F72" s="68" t="str">
        <f>IF(D72="","",IFERROR(VLOOKUP(D72,'Portfolio List'!$B$4:$I$76,6,FALSE()),""))</f>
        <v/>
      </c>
      <c r="G72" s="68" t="str">
        <f>IF(D72="","",IFERROR(VLOOKUP(D72,'Portfolio List'!$B$4:$I$76,7,FALSE()),""))</f>
        <v/>
      </c>
      <c r="H72" s="71" t="str">
        <f>IF(D72="","",IFERROR(VLOOKUP(D72,'Portfolio List'!$B$4:$I$76,4,FALSE()),""))</f>
        <v/>
      </c>
      <c r="I72" s="91"/>
      <c r="J72" s="84" t="str">
        <f t="shared" si="23"/>
        <v/>
      </c>
      <c r="K72" s="91"/>
      <c r="L72" s="85"/>
      <c r="M72" s="97"/>
      <c r="N72" s="180"/>
      <c r="O72" s="92"/>
      <c r="P72" s="87">
        <f>IF(D72="",0,IF(I72="LED Lighting",M72*IF(AC72="Studio",Assumptions!$C$15,IF(AC72="1 Bedroom",Assumptions!$C$16,IF(AC72="2 Bedroom",Assumptions!$C$17,IF(AC72="3 Bedroom",Assumptions!$C$18,Assumptions!$C$16))))*N72*365/1000,IFERROR(VLOOKUP(I72,Assumptions!$B$40:$H$50,2,FALSE()),0)*M72))</f>
        <v>0</v>
      </c>
      <c r="Q72" s="87">
        <f>IF(D72="",0,IFERROR(VLOOKUP(I72,Assumptions!$B$40:$H$50,3,FALSE()),0)*M72)</f>
        <v>0</v>
      </c>
      <c r="R72" s="77">
        <f>IF(G72="",0.2161,IFERROR(VLOOKUP(G72,Assumptions!$B$53:$C$61,2,FALSE())/100,0.2161))</f>
        <v>0.21609999999999999</v>
      </c>
      <c r="S72" s="77">
        <f>IF(G72="",0,IFERROR(VLOOKUP(G72,Assumptions!$B$64:$C$72,2,FALSE())/1000,0.008))</f>
        <v>0</v>
      </c>
      <c r="T72" s="93" t="str">
        <f t="shared" si="16"/>
        <v/>
      </c>
      <c r="U72" s="93" t="str">
        <f t="shared" si="17"/>
        <v/>
      </c>
      <c r="V72" s="93" t="str">
        <f t="shared" si="18"/>
        <v/>
      </c>
      <c r="W72" s="94" t="str">
        <f t="shared" si="19"/>
        <v/>
      </c>
      <c r="X72" s="88"/>
      <c r="Y72" s="87" t="str">
        <f>IF(D72="","",IFERROR(VLOOKUP(I72,Assumptions!$B$40:$H$50,6,FALSE()),0)*M72)</f>
        <v/>
      </c>
      <c r="Z72" s="87" t="str">
        <f>IF(D72="","",IFERROR(VLOOKUP(I72,Assumptions!$B$40:$H$50,7,FALSE()),0)*M72)</f>
        <v/>
      </c>
      <c r="AA72" s="96" t="str">
        <f t="shared" si="20"/>
        <v/>
      </c>
      <c r="AB72" s="84" t="str">
        <f t="shared" si="21"/>
        <v/>
      </c>
      <c r="AC72" s="99"/>
      <c r="AD72" s="99"/>
      <c r="AE72" s="99"/>
      <c r="AF72" s="98" t="str">
        <f t="shared" si="22"/>
        <v>-</v>
      </c>
    </row>
    <row r="73" spans="2:32" ht="14.25" customHeight="1" thickBot="1" x14ac:dyDescent="0.4">
      <c r="B73" s="84" t="str">
        <f t="shared" si="24"/>
        <v/>
      </c>
      <c r="C73" s="85"/>
      <c r="D73" s="91"/>
      <c r="E73" s="68" t="str">
        <f>IF(D73="","",IFERROR(VLOOKUP(D73,'Portfolio List'!$B$4:$I$76,5,FALSE()),""))</f>
        <v/>
      </c>
      <c r="F73" s="68" t="str">
        <f>IF(D73="","",IFERROR(VLOOKUP(D73,'Portfolio List'!$B$4:$I$76,6,FALSE()),""))</f>
        <v/>
      </c>
      <c r="G73" s="68" t="str">
        <f>IF(D73="","",IFERROR(VLOOKUP(D73,'Portfolio List'!$B$4:$I$76,7,FALSE()),""))</f>
        <v/>
      </c>
      <c r="H73" s="71" t="str">
        <f>IF(D73="","",IFERROR(VLOOKUP(D73,'Portfolio List'!$B$4:$I$76,4,FALSE()),""))</f>
        <v/>
      </c>
      <c r="I73" s="91"/>
      <c r="J73" s="84" t="str">
        <f t="shared" si="23"/>
        <v/>
      </c>
      <c r="K73" s="91"/>
      <c r="L73" s="85"/>
      <c r="M73" s="97"/>
      <c r="N73" s="180"/>
      <c r="O73" s="92"/>
      <c r="P73" s="87">
        <f>IF(D73="",0,IF(I73="LED Lighting",M73*IF(AC73="Studio",Assumptions!$C$15,IF(AC73="1 Bedroom",Assumptions!$C$16,IF(AC73="2 Bedroom",Assumptions!$C$17,IF(AC73="3 Bedroom",Assumptions!$C$18,Assumptions!$C$16))))*N73*365/1000,IFERROR(VLOOKUP(I73,Assumptions!$B$40:$H$50,2,FALSE()),0)*M73))</f>
        <v>0</v>
      </c>
      <c r="Q73" s="87">
        <f>IF(D73="",0,IFERROR(VLOOKUP(I73,Assumptions!$B$40:$H$50,3,FALSE()),0)*M73)</f>
        <v>0</v>
      </c>
      <c r="R73" s="77">
        <f>IF(G73="",0.2161,IFERROR(VLOOKUP(G73,Assumptions!$B$53:$C$61,2,FALSE())/100,0.2161))</f>
        <v>0.21609999999999999</v>
      </c>
      <c r="S73" s="77">
        <f>IF(G73="",0,IFERROR(VLOOKUP(G73,Assumptions!$B$64:$C$72,2,FALSE())/1000,0.008))</f>
        <v>0</v>
      </c>
      <c r="T73" s="93" t="str">
        <f t="shared" si="16"/>
        <v/>
      </c>
      <c r="U73" s="93" t="str">
        <f t="shared" si="17"/>
        <v/>
      </c>
      <c r="V73" s="93" t="str">
        <f t="shared" si="18"/>
        <v/>
      </c>
      <c r="W73" s="94" t="str">
        <f t="shared" si="19"/>
        <v/>
      </c>
      <c r="X73" s="88"/>
      <c r="Y73" s="87" t="str">
        <f>IF(D73="","",IFERROR(VLOOKUP(I73,Assumptions!$B$40:$H$50,6,FALSE()),0)*M73)</f>
        <v/>
      </c>
      <c r="Z73" s="87" t="str">
        <f>IF(D73="","",IFERROR(VLOOKUP(I73,Assumptions!$B$40:$H$50,7,FALSE()),0)*M73)</f>
        <v/>
      </c>
      <c r="AA73" s="96" t="str">
        <f t="shared" si="20"/>
        <v/>
      </c>
      <c r="AB73" s="84" t="str">
        <f t="shared" si="21"/>
        <v/>
      </c>
      <c r="AC73" s="99"/>
      <c r="AD73" s="99"/>
      <c r="AE73" s="99"/>
      <c r="AF73" s="98" t="str">
        <f t="shared" si="22"/>
        <v>-</v>
      </c>
    </row>
    <row r="74" spans="2:32" ht="14.25" customHeight="1" thickBot="1" x14ac:dyDescent="0.4">
      <c r="B74" s="84" t="str">
        <f t="shared" si="24"/>
        <v/>
      </c>
      <c r="C74" s="85"/>
      <c r="D74" s="91"/>
      <c r="E74" s="68" t="str">
        <f>IF(D74="","",IFERROR(VLOOKUP(D74,'Portfolio List'!$B$4:$I$76,5,FALSE()),""))</f>
        <v/>
      </c>
      <c r="F74" s="68" t="str">
        <f>IF(D74="","",IFERROR(VLOOKUP(D74,'Portfolio List'!$B$4:$I$76,6,FALSE()),""))</f>
        <v/>
      </c>
      <c r="G74" s="68" t="str">
        <f>IF(D74="","",IFERROR(VLOOKUP(D74,'Portfolio List'!$B$4:$I$76,7,FALSE()),""))</f>
        <v/>
      </c>
      <c r="H74" s="71" t="str">
        <f>IF(D74="","",IFERROR(VLOOKUP(D74,'Portfolio List'!$B$4:$I$76,4,FALSE()),""))</f>
        <v/>
      </c>
      <c r="I74" s="91"/>
      <c r="J74" s="84" t="str">
        <f t="shared" si="23"/>
        <v/>
      </c>
      <c r="K74" s="91"/>
      <c r="L74" s="85"/>
      <c r="M74" s="97"/>
      <c r="N74" s="180"/>
      <c r="O74" s="92"/>
      <c r="P74" s="87">
        <f>IF(D74="",0,IF(I74="LED Lighting",M74*IF(AC74="Studio",Assumptions!$C$15,IF(AC74="1 Bedroom",Assumptions!$C$16,IF(AC74="2 Bedroom",Assumptions!$C$17,IF(AC74="3 Bedroom",Assumptions!$C$18,Assumptions!$C$16))))*N74*365/1000,IFERROR(VLOOKUP(I74,Assumptions!$B$40:$H$50,2,FALSE()),0)*M74))</f>
        <v>0</v>
      </c>
      <c r="Q74" s="87">
        <f>IF(D74="",0,IFERROR(VLOOKUP(I74,Assumptions!$B$40:$H$50,3,FALSE()),0)*M74)</f>
        <v>0</v>
      </c>
      <c r="R74" s="77">
        <f>IF(G74="",0.2161,IFERROR(VLOOKUP(G74,Assumptions!$B$53:$C$61,2,FALSE())/100,0.2161))</f>
        <v>0.21609999999999999</v>
      </c>
      <c r="S74" s="77">
        <f>IF(G74="",0,IFERROR(VLOOKUP(G74,Assumptions!$B$64:$C$72,2,FALSE())/1000,0.008))</f>
        <v>0</v>
      </c>
      <c r="T74" s="93" t="str">
        <f t="shared" si="16"/>
        <v/>
      </c>
      <c r="U74" s="93" t="str">
        <f t="shared" si="17"/>
        <v/>
      </c>
      <c r="V74" s="93" t="str">
        <f t="shared" si="18"/>
        <v/>
      </c>
      <c r="W74" s="94" t="str">
        <f t="shared" si="19"/>
        <v/>
      </c>
      <c r="X74" s="88"/>
      <c r="Y74" s="87" t="str">
        <f>IF(D74="","",IFERROR(VLOOKUP(I74,Assumptions!$B$40:$H$50,6,FALSE()),0)*M74)</f>
        <v/>
      </c>
      <c r="Z74" s="87" t="str">
        <f>IF(D74="","",IFERROR(VLOOKUP(I74,Assumptions!$B$40:$H$50,7,FALSE()),0)*M74)</f>
        <v/>
      </c>
      <c r="AA74" s="96" t="str">
        <f t="shared" si="20"/>
        <v/>
      </c>
      <c r="AB74" s="84" t="str">
        <f t="shared" si="21"/>
        <v/>
      </c>
      <c r="AC74" s="99"/>
      <c r="AD74" s="99"/>
      <c r="AE74" s="99"/>
      <c r="AF74" s="98" t="str">
        <f t="shared" si="22"/>
        <v>-</v>
      </c>
    </row>
    <row r="75" spans="2:32" ht="14.25" customHeight="1" thickBot="1" x14ac:dyDescent="0.4">
      <c r="B75" s="84" t="str">
        <f t="shared" si="24"/>
        <v/>
      </c>
      <c r="C75" s="85"/>
      <c r="D75" s="91"/>
      <c r="E75" s="68" t="str">
        <f>IF(D75="","",IFERROR(VLOOKUP(D75,'Portfolio List'!$B$4:$I$76,5,FALSE()),""))</f>
        <v/>
      </c>
      <c r="F75" s="68" t="str">
        <f>IF(D75="","",IFERROR(VLOOKUP(D75,'Portfolio List'!$B$4:$I$76,6,FALSE()),""))</f>
        <v/>
      </c>
      <c r="G75" s="68" t="str">
        <f>IF(D75="","",IFERROR(VLOOKUP(D75,'Portfolio List'!$B$4:$I$76,7,FALSE()),""))</f>
        <v/>
      </c>
      <c r="H75" s="71" t="str">
        <f>IF(D75="","",IFERROR(VLOOKUP(D75,'Portfolio List'!$B$4:$I$76,4,FALSE()),""))</f>
        <v/>
      </c>
      <c r="I75" s="91"/>
      <c r="J75" s="84" t="str">
        <f t="shared" si="23"/>
        <v/>
      </c>
      <c r="K75" s="91"/>
      <c r="L75" s="85"/>
      <c r="M75" s="97"/>
      <c r="N75" s="180"/>
      <c r="O75" s="92"/>
      <c r="P75" s="87">
        <f>IF(D75="",0,IF(I75="LED Lighting",M75*IF(AC75="Studio",Assumptions!$C$15,IF(AC75="1 Bedroom",Assumptions!$C$16,IF(AC75="2 Bedroom",Assumptions!$C$17,IF(AC75="3 Bedroom",Assumptions!$C$18,Assumptions!$C$16))))*N75*365/1000,IFERROR(VLOOKUP(I75,Assumptions!$B$40:$H$50,2,FALSE()),0)*M75))</f>
        <v>0</v>
      </c>
      <c r="Q75" s="87">
        <f>IF(D75="",0,IFERROR(VLOOKUP(I75,Assumptions!$B$40:$H$50,3,FALSE()),0)*M75)</f>
        <v>0</v>
      </c>
      <c r="R75" s="77">
        <f>IF(G75="",0.2161,IFERROR(VLOOKUP(G75,Assumptions!$B$53:$C$61,2,FALSE())/100,0.2161))</f>
        <v>0.21609999999999999</v>
      </c>
      <c r="S75" s="77">
        <f>IF(G75="",0,IFERROR(VLOOKUP(G75,Assumptions!$B$64:$C$72,2,FALSE())/1000,0.008))</f>
        <v>0</v>
      </c>
      <c r="T75" s="93" t="str">
        <f t="shared" si="16"/>
        <v/>
      </c>
      <c r="U75" s="93" t="str">
        <f t="shared" si="17"/>
        <v/>
      </c>
      <c r="V75" s="93" t="str">
        <f t="shared" si="18"/>
        <v/>
      </c>
      <c r="W75" s="94" t="str">
        <f t="shared" si="19"/>
        <v/>
      </c>
      <c r="X75" s="88"/>
      <c r="Y75" s="87" t="str">
        <f>IF(D75="","",IFERROR(VLOOKUP(I75,Assumptions!$B$40:$H$50,6,FALSE()),0)*M75)</f>
        <v/>
      </c>
      <c r="Z75" s="87" t="str">
        <f>IF(D75="","",IFERROR(VLOOKUP(I75,Assumptions!$B$40:$H$50,7,FALSE()),0)*M75)</f>
        <v/>
      </c>
      <c r="AA75" s="96" t="str">
        <f t="shared" si="20"/>
        <v/>
      </c>
      <c r="AB75" s="84" t="str">
        <f t="shared" si="21"/>
        <v/>
      </c>
      <c r="AC75" s="99"/>
      <c r="AD75" s="99"/>
      <c r="AE75" s="99"/>
      <c r="AF75" s="98" t="str">
        <f t="shared" si="22"/>
        <v>-</v>
      </c>
    </row>
    <row r="76" spans="2:32" ht="14.25" customHeight="1" thickBot="1" x14ac:dyDescent="0.4">
      <c r="B76" s="84" t="str">
        <f t="shared" si="24"/>
        <v/>
      </c>
      <c r="C76" s="85"/>
      <c r="D76" s="91"/>
      <c r="E76" s="68" t="str">
        <f>IF(D76="","",IFERROR(VLOOKUP(D76,'Portfolio List'!$B$4:$I$76,5,FALSE()),""))</f>
        <v/>
      </c>
      <c r="F76" s="68" t="str">
        <f>IF(D76="","",IFERROR(VLOOKUP(D76,'Portfolio List'!$B$4:$I$76,6,FALSE()),""))</f>
        <v/>
      </c>
      <c r="G76" s="68" t="str">
        <f>IF(D76="","",IFERROR(VLOOKUP(D76,'Portfolio List'!$B$4:$I$76,7,FALSE()),""))</f>
        <v/>
      </c>
      <c r="H76" s="71" t="str">
        <f>IF(D76="","",IFERROR(VLOOKUP(D76,'Portfolio List'!$B$4:$I$76,4,FALSE()),""))</f>
        <v/>
      </c>
      <c r="I76" s="91"/>
      <c r="J76" s="84" t="str">
        <f t="shared" si="23"/>
        <v/>
      </c>
      <c r="K76" s="91"/>
      <c r="L76" s="85"/>
      <c r="M76" s="97"/>
      <c r="N76" s="180"/>
      <c r="O76" s="92"/>
      <c r="P76" s="87">
        <f>IF(D76="",0,IF(I76="LED Lighting",M76*IF(AC76="Studio",Assumptions!$C$15,IF(AC76="1 Bedroom",Assumptions!$C$16,IF(AC76="2 Bedroom",Assumptions!$C$17,IF(AC76="3 Bedroom",Assumptions!$C$18,Assumptions!$C$16))))*N76*365/1000,IFERROR(VLOOKUP(I76,Assumptions!$B$40:$H$50,2,FALSE()),0)*M76))</f>
        <v>0</v>
      </c>
      <c r="Q76" s="87">
        <f>IF(D76="",0,IFERROR(VLOOKUP(I76,Assumptions!$B$40:$H$50,3,FALSE()),0)*M76)</f>
        <v>0</v>
      </c>
      <c r="R76" s="77">
        <f>IF(G76="",0.2161,IFERROR(VLOOKUP(G76,Assumptions!$B$53:$C$61,2,FALSE())/100,0.2161))</f>
        <v>0.21609999999999999</v>
      </c>
      <c r="S76" s="77">
        <f>IF(G76="",0,IFERROR(VLOOKUP(G76,Assumptions!$B$64:$C$72,2,FALSE())/1000,0.008))</f>
        <v>0</v>
      </c>
      <c r="T76" s="93" t="str">
        <f t="shared" si="16"/>
        <v/>
      </c>
      <c r="U76" s="93" t="str">
        <f t="shared" si="17"/>
        <v/>
      </c>
      <c r="V76" s="93" t="str">
        <f t="shared" si="18"/>
        <v/>
      </c>
      <c r="W76" s="94" t="str">
        <f t="shared" si="19"/>
        <v/>
      </c>
      <c r="X76" s="88"/>
      <c r="Y76" s="87" t="str">
        <f>IF(D76="","",IFERROR(VLOOKUP(I76,Assumptions!$B$40:$H$50,6,FALSE()),0)*M76)</f>
        <v/>
      </c>
      <c r="Z76" s="87" t="str">
        <f>IF(D76="","",IFERROR(VLOOKUP(I76,Assumptions!$B$40:$H$50,7,FALSE()),0)*M76)</f>
        <v/>
      </c>
      <c r="AA76" s="96" t="str">
        <f t="shared" si="20"/>
        <v/>
      </c>
      <c r="AB76" s="84" t="str">
        <f t="shared" si="21"/>
        <v/>
      </c>
      <c r="AC76" s="99"/>
      <c r="AD76" s="99"/>
      <c r="AE76" s="99"/>
      <c r="AF76" s="98" t="str">
        <f t="shared" si="22"/>
        <v>-</v>
      </c>
    </row>
    <row r="77" spans="2:32" ht="14.25" customHeight="1" thickBot="1" x14ac:dyDescent="0.4">
      <c r="B77" s="84" t="str">
        <f t="shared" si="24"/>
        <v/>
      </c>
      <c r="C77" s="85"/>
      <c r="D77" s="91"/>
      <c r="E77" s="68" t="str">
        <f>IF(D77="","",IFERROR(VLOOKUP(D77,'Portfolio List'!$B$4:$I$76,5,FALSE()),""))</f>
        <v/>
      </c>
      <c r="F77" s="68" t="str">
        <f>IF(D77="","",IFERROR(VLOOKUP(D77,'Portfolio List'!$B$4:$I$76,6,FALSE()),""))</f>
        <v/>
      </c>
      <c r="G77" s="68" t="str">
        <f>IF(D77="","",IFERROR(VLOOKUP(D77,'Portfolio List'!$B$4:$I$76,7,FALSE()),""))</f>
        <v/>
      </c>
      <c r="H77" s="71" t="str">
        <f>IF(D77="","",IFERROR(VLOOKUP(D77,'Portfolio List'!$B$4:$I$76,4,FALSE()),""))</f>
        <v/>
      </c>
      <c r="I77" s="91"/>
      <c r="J77" s="84" t="str">
        <f t="shared" si="23"/>
        <v/>
      </c>
      <c r="K77" s="91"/>
      <c r="L77" s="85"/>
      <c r="M77" s="97"/>
      <c r="N77" s="180"/>
      <c r="O77" s="92"/>
      <c r="P77" s="87">
        <f>IF(D77="",0,IF(I77="LED Lighting",M77*IF(AC77="Studio",Assumptions!$C$15,IF(AC77="1 Bedroom",Assumptions!$C$16,IF(AC77="2 Bedroom",Assumptions!$C$17,IF(AC77="3 Bedroom",Assumptions!$C$18,Assumptions!$C$16))))*N77*365/1000,IFERROR(VLOOKUP(I77,Assumptions!$B$40:$H$50,2,FALSE()),0)*M77))</f>
        <v>0</v>
      </c>
      <c r="Q77" s="87">
        <f>IF(D77="",0,IFERROR(VLOOKUP(I77,Assumptions!$B$40:$H$50,3,FALSE()),0)*M77)</f>
        <v>0</v>
      </c>
      <c r="R77" s="77">
        <f>IF(G77="",0.2161,IFERROR(VLOOKUP(G77,Assumptions!$B$53:$C$61,2,FALSE())/100,0.2161))</f>
        <v>0.21609999999999999</v>
      </c>
      <c r="S77" s="77">
        <f>IF(G77="",0,IFERROR(VLOOKUP(G77,Assumptions!$B$64:$C$72,2,FALSE())/1000,0.008))</f>
        <v>0</v>
      </c>
      <c r="T77" s="93" t="str">
        <f t="shared" si="16"/>
        <v/>
      </c>
      <c r="U77" s="93" t="str">
        <f t="shared" si="17"/>
        <v/>
      </c>
      <c r="V77" s="93" t="str">
        <f t="shared" si="18"/>
        <v/>
      </c>
      <c r="W77" s="94" t="str">
        <f t="shared" si="19"/>
        <v/>
      </c>
      <c r="X77" s="88"/>
      <c r="Y77" s="87" t="str">
        <f>IF(D77="","",IFERROR(VLOOKUP(I77,Assumptions!$B$40:$H$50,6,FALSE()),0)*M77)</f>
        <v/>
      </c>
      <c r="Z77" s="87" t="str">
        <f>IF(D77="","",IFERROR(VLOOKUP(I77,Assumptions!$B$40:$H$50,7,FALSE()),0)*M77)</f>
        <v/>
      </c>
      <c r="AA77" s="96" t="str">
        <f t="shared" si="20"/>
        <v/>
      </c>
      <c r="AB77" s="84" t="str">
        <f t="shared" si="21"/>
        <v/>
      </c>
      <c r="AC77" s="99"/>
      <c r="AD77" s="99"/>
      <c r="AE77" s="99"/>
      <c r="AF77" s="98" t="str">
        <f t="shared" si="22"/>
        <v>-</v>
      </c>
    </row>
    <row r="78" spans="2:32" ht="14.25" customHeight="1" thickBot="1" x14ac:dyDescent="0.4">
      <c r="B78" s="84" t="str">
        <f t="shared" si="24"/>
        <v/>
      </c>
      <c r="C78" s="85"/>
      <c r="D78" s="91"/>
      <c r="E78" s="68" t="str">
        <f>IF(D78="","",IFERROR(VLOOKUP(D78,'Portfolio List'!$B$4:$I$76,5,FALSE()),""))</f>
        <v/>
      </c>
      <c r="F78" s="68" t="str">
        <f>IF(D78="","",IFERROR(VLOOKUP(D78,'Portfolio List'!$B$4:$I$76,6,FALSE()),""))</f>
        <v/>
      </c>
      <c r="G78" s="68" t="str">
        <f>IF(D78="","",IFERROR(VLOOKUP(D78,'Portfolio List'!$B$4:$I$76,7,FALSE()),""))</f>
        <v/>
      </c>
      <c r="H78" s="71" t="str">
        <f>IF(D78="","",IFERROR(VLOOKUP(D78,'Portfolio List'!$B$4:$I$76,4,FALSE()),""))</f>
        <v/>
      </c>
      <c r="I78" s="91"/>
      <c r="J78" s="84" t="str">
        <f t="shared" si="23"/>
        <v/>
      </c>
      <c r="K78" s="91"/>
      <c r="L78" s="85"/>
      <c r="M78" s="97"/>
      <c r="N78" s="180"/>
      <c r="O78" s="92"/>
      <c r="P78" s="87">
        <f>IF(D78="",0,IF(I78="LED Lighting",M78*IF(AC78="Studio",Assumptions!$C$15,IF(AC78="1 Bedroom",Assumptions!$C$16,IF(AC78="2 Bedroom",Assumptions!$C$17,IF(AC78="3 Bedroom",Assumptions!$C$18,Assumptions!$C$16))))*N78*365/1000,IFERROR(VLOOKUP(I78,Assumptions!$B$40:$H$50,2,FALSE()),0)*M78))</f>
        <v>0</v>
      </c>
      <c r="Q78" s="87">
        <f>IF(D78="",0,IFERROR(VLOOKUP(I78,Assumptions!$B$40:$H$50,3,FALSE()),0)*M78)</f>
        <v>0</v>
      </c>
      <c r="R78" s="77">
        <f>IF(G78="",0.2161,IFERROR(VLOOKUP(G78,Assumptions!$B$53:$C$61,2,FALSE())/100,0.2161))</f>
        <v>0.21609999999999999</v>
      </c>
      <c r="S78" s="77">
        <f>IF(G78="",0,IFERROR(VLOOKUP(G78,Assumptions!$B$64:$C$72,2,FALSE())/1000,0.008))</f>
        <v>0</v>
      </c>
      <c r="T78" s="93" t="str">
        <f t="shared" si="16"/>
        <v/>
      </c>
      <c r="U78" s="93" t="str">
        <f t="shared" si="17"/>
        <v/>
      </c>
      <c r="V78" s="93" t="str">
        <f t="shared" si="18"/>
        <v/>
      </c>
      <c r="W78" s="94" t="str">
        <f t="shared" si="19"/>
        <v/>
      </c>
      <c r="X78" s="88"/>
      <c r="Y78" s="87" t="str">
        <f>IF(D78="","",IFERROR(VLOOKUP(I78,Assumptions!$B$40:$H$50,6,FALSE()),0)*M78)</f>
        <v/>
      </c>
      <c r="Z78" s="87" t="str">
        <f>IF(D78="","",IFERROR(VLOOKUP(I78,Assumptions!$B$40:$H$50,7,FALSE()),0)*M78)</f>
        <v/>
      </c>
      <c r="AA78" s="96" t="str">
        <f t="shared" si="20"/>
        <v/>
      </c>
      <c r="AB78" s="84" t="str">
        <f t="shared" si="21"/>
        <v/>
      </c>
      <c r="AC78" s="99"/>
      <c r="AD78" s="99"/>
      <c r="AE78" s="99"/>
      <c r="AF78" s="98" t="str">
        <f t="shared" si="22"/>
        <v>-</v>
      </c>
    </row>
    <row r="79" spans="2:32" ht="14.25" customHeight="1" thickBot="1" x14ac:dyDescent="0.4">
      <c r="B79" s="84" t="str">
        <f t="shared" si="24"/>
        <v/>
      </c>
      <c r="C79" s="85"/>
      <c r="D79" s="91"/>
      <c r="E79" s="68" t="str">
        <f>IF(D79="","",IFERROR(VLOOKUP(D79,'Portfolio List'!$B$4:$I$76,5,FALSE()),""))</f>
        <v/>
      </c>
      <c r="F79" s="68" t="str">
        <f>IF(D79="","",IFERROR(VLOOKUP(D79,'Portfolio List'!$B$4:$I$76,6,FALSE()),""))</f>
        <v/>
      </c>
      <c r="G79" s="68" t="str">
        <f>IF(D79="","",IFERROR(VLOOKUP(D79,'Portfolio List'!$B$4:$I$76,7,FALSE()),""))</f>
        <v/>
      </c>
      <c r="H79" s="71" t="str">
        <f>IF(D79="","",IFERROR(VLOOKUP(D79,'Portfolio List'!$B$4:$I$76,4,FALSE()),""))</f>
        <v/>
      </c>
      <c r="I79" s="91"/>
      <c r="J79" s="84" t="str">
        <f t="shared" si="23"/>
        <v/>
      </c>
      <c r="K79" s="91"/>
      <c r="L79" s="85"/>
      <c r="M79" s="97"/>
      <c r="N79" s="180"/>
      <c r="O79" s="92"/>
      <c r="P79" s="87">
        <f>IF(D79="",0,IF(I79="LED Lighting",M79*IF(AC79="Studio",Assumptions!$C$15,IF(AC79="1 Bedroom",Assumptions!$C$16,IF(AC79="2 Bedroom",Assumptions!$C$17,IF(AC79="3 Bedroom",Assumptions!$C$18,Assumptions!$C$16))))*N79*365/1000,IFERROR(VLOOKUP(I79,Assumptions!$B$40:$H$50,2,FALSE()),0)*M79))</f>
        <v>0</v>
      </c>
      <c r="Q79" s="87">
        <f>IF(D79="",0,IFERROR(VLOOKUP(I79,Assumptions!$B$40:$H$50,3,FALSE()),0)*M79)</f>
        <v>0</v>
      </c>
      <c r="R79" s="77">
        <f>IF(G79="",0.2161,IFERROR(VLOOKUP(G79,Assumptions!$B$53:$C$61,2,FALSE())/100,0.2161))</f>
        <v>0.21609999999999999</v>
      </c>
      <c r="S79" s="77">
        <f>IF(G79="",0,IFERROR(VLOOKUP(G79,Assumptions!$B$64:$C$72,2,FALSE())/1000,0.008))</f>
        <v>0</v>
      </c>
      <c r="T79" s="93" t="str">
        <f t="shared" si="16"/>
        <v/>
      </c>
      <c r="U79" s="93" t="str">
        <f t="shared" si="17"/>
        <v/>
      </c>
      <c r="V79" s="93" t="str">
        <f t="shared" si="18"/>
        <v/>
      </c>
      <c r="W79" s="94" t="str">
        <f t="shared" si="19"/>
        <v/>
      </c>
      <c r="X79" s="88"/>
      <c r="Y79" s="87" t="str">
        <f>IF(D79="","",IFERROR(VLOOKUP(I79,Assumptions!$B$40:$H$50,6,FALSE()),0)*M79)</f>
        <v/>
      </c>
      <c r="Z79" s="87" t="str">
        <f>IF(D79="","",IFERROR(VLOOKUP(I79,Assumptions!$B$40:$H$50,7,FALSE()),0)*M79)</f>
        <v/>
      </c>
      <c r="AA79" s="96" t="str">
        <f t="shared" si="20"/>
        <v/>
      </c>
      <c r="AB79" s="84" t="str">
        <f t="shared" si="21"/>
        <v/>
      </c>
      <c r="AC79" s="99"/>
      <c r="AD79" s="99"/>
      <c r="AE79" s="99"/>
      <c r="AF79" s="98" t="str">
        <f t="shared" si="22"/>
        <v>-</v>
      </c>
    </row>
    <row r="80" spans="2:32" ht="14.25" customHeight="1" thickBot="1" x14ac:dyDescent="0.4">
      <c r="B80" s="84" t="str">
        <f t="shared" si="24"/>
        <v/>
      </c>
      <c r="C80" s="85"/>
      <c r="D80" s="91"/>
      <c r="E80" s="68" t="str">
        <f>IF(D80="","",IFERROR(VLOOKUP(D80,'Portfolio List'!$B$4:$I$76,5,FALSE()),""))</f>
        <v/>
      </c>
      <c r="F80" s="68" t="str">
        <f>IF(D80="","",IFERROR(VLOOKUP(D80,'Portfolio List'!$B$4:$I$76,6,FALSE()),""))</f>
        <v/>
      </c>
      <c r="G80" s="68" t="str">
        <f>IF(D80="","",IFERROR(VLOOKUP(D80,'Portfolio List'!$B$4:$I$76,7,FALSE()),""))</f>
        <v/>
      </c>
      <c r="H80" s="71" t="str">
        <f>IF(D80="","",IFERROR(VLOOKUP(D80,'Portfolio List'!$B$4:$I$76,4,FALSE()),""))</f>
        <v/>
      </c>
      <c r="I80" s="91"/>
      <c r="J80" s="84" t="str">
        <f t="shared" si="23"/>
        <v/>
      </c>
      <c r="K80" s="91"/>
      <c r="L80" s="85"/>
      <c r="M80" s="97"/>
      <c r="N80" s="180"/>
      <c r="O80" s="92"/>
      <c r="P80" s="87">
        <f>IF(D80="",0,IF(I80="LED Lighting",M80*IF(AC80="Studio",Assumptions!$C$15,IF(AC80="1 Bedroom",Assumptions!$C$16,IF(AC80="2 Bedroom",Assumptions!$C$17,IF(AC80="3 Bedroom",Assumptions!$C$18,Assumptions!$C$16))))*N80*365/1000,IFERROR(VLOOKUP(I80,Assumptions!$B$40:$H$50,2,FALSE()),0)*M80))</f>
        <v>0</v>
      </c>
      <c r="Q80" s="87">
        <f>IF(D80="",0,IFERROR(VLOOKUP(I80,Assumptions!$B$40:$H$50,3,FALSE()),0)*M80)</f>
        <v>0</v>
      </c>
      <c r="R80" s="77">
        <f>IF(G80="",0.2161,IFERROR(VLOOKUP(G80,Assumptions!$B$53:$C$61,2,FALSE())/100,0.2161))</f>
        <v>0.21609999999999999</v>
      </c>
      <c r="S80" s="77">
        <f>IF(G80="",0,IFERROR(VLOOKUP(G80,Assumptions!$B$64:$C$72,2,FALSE())/1000,0.008))</f>
        <v>0</v>
      </c>
      <c r="T80" s="93" t="str">
        <f t="shared" si="16"/>
        <v/>
      </c>
      <c r="U80" s="93" t="str">
        <f t="shared" si="17"/>
        <v/>
      </c>
      <c r="V80" s="93" t="str">
        <f t="shared" si="18"/>
        <v/>
      </c>
      <c r="W80" s="94" t="str">
        <f t="shared" si="19"/>
        <v/>
      </c>
      <c r="X80" s="88"/>
      <c r="Y80" s="87" t="str">
        <f>IF(D80="","",IFERROR(VLOOKUP(I80,Assumptions!$B$40:$H$50,6,FALSE()),0)*M80)</f>
        <v/>
      </c>
      <c r="Z80" s="87" t="str">
        <f>IF(D80="","",IFERROR(VLOOKUP(I80,Assumptions!$B$40:$H$50,7,FALSE()),0)*M80)</f>
        <v/>
      </c>
      <c r="AA80" s="96" t="str">
        <f t="shared" si="20"/>
        <v/>
      </c>
      <c r="AB80" s="84" t="str">
        <f t="shared" si="21"/>
        <v/>
      </c>
      <c r="AC80" s="99"/>
      <c r="AD80" s="99"/>
      <c r="AE80" s="99"/>
      <c r="AF80" s="98" t="str">
        <f t="shared" si="22"/>
        <v>-</v>
      </c>
    </row>
    <row r="81" spans="2:32" ht="14.25" customHeight="1" thickBot="1" x14ac:dyDescent="0.4">
      <c r="B81" s="84" t="str">
        <f t="shared" si="24"/>
        <v/>
      </c>
      <c r="C81" s="85"/>
      <c r="D81" s="91"/>
      <c r="E81" s="68" t="str">
        <f>IF(D81="","",IFERROR(VLOOKUP(D81,'Portfolio List'!$B$4:$I$76,5,FALSE()),""))</f>
        <v/>
      </c>
      <c r="F81" s="68" t="str">
        <f>IF(D81="","",IFERROR(VLOOKUP(D81,'Portfolio List'!$B$4:$I$76,6,FALSE()),""))</f>
        <v/>
      </c>
      <c r="G81" s="68" t="str">
        <f>IF(D81="","",IFERROR(VLOOKUP(D81,'Portfolio List'!$B$4:$I$76,7,FALSE()),""))</f>
        <v/>
      </c>
      <c r="H81" s="71" t="str">
        <f>IF(D81="","",IFERROR(VLOOKUP(D81,'Portfolio List'!$B$4:$I$76,4,FALSE()),""))</f>
        <v/>
      </c>
      <c r="I81" s="91"/>
      <c r="J81" s="84" t="str">
        <f t="shared" si="23"/>
        <v/>
      </c>
      <c r="K81" s="91"/>
      <c r="L81" s="85"/>
      <c r="M81" s="97"/>
      <c r="N81" s="180"/>
      <c r="O81" s="92"/>
      <c r="P81" s="87">
        <f>IF(D81="",0,IF(I81="LED Lighting",M81*IF(AC81="Studio",Assumptions!$C$15,IF(AC81="1 Bedroom",Assumptions!$C$16,IF(AC81="2 Bedroom",Assumptions!$C$17,IF(AC81="3 Bedroom",Assumptions!$C$18,Assumptions!$C$16))))*N81*365/1000,IFERROR(VLOOKUP(I81,Assumptions!$B$40:$H$50,2,FALSE()),0)*M81))</f>
        <v>0</v>
      </c>
      <c r="Q81" s="87">
        <f>IF(D81="",0,IFERROR(VLOOKUP(I81,Assumptions!$B$40:$H$50,3,FALSE()),0)*M81)</f>
        <v>0</v>
      </c>
      <c r="R81" s="77">
        <f>IF(G81="",0.2161,IFERROR(VLOOKUP(G81,Assumptions!$B$53:$C$61,2,FALSE())/100,0.2161))</f>
        <v>0.21609999999999999</v>
      </c>
      <c r="S81" s="77">
        <f>IF(G81="",0,IFERROR(VLOOKUP(G81,Assumptions!$B$64:$C$72,2,FALSE())/1000,0.008))</f>
        <v>0</v>
      </c>
      <c r="T81" s="93" t="str">
        <f t="shared" si="16"/>
        <v/>
      </c>
      <c r="U81" s="93" t="str">
        <f t="shared" si="17"/>
        <v/>
      </c>
      <c r="V81" s="93" t="str">
        <f t="shared" si="18"/>
        <v/>
      </c>
      <c r="W81" s="94" t="str">
        <f t="shared" si="19"/>
        <v/>
      </c>
      <c r="X81" s="88"/>
      <c r="Y81" s="87" t="str">
        <f>IF(D81="","",IFERROR(VLOOKUP(I81,Assumptions!$B$40:$H$50,6,FALSE()),0)*M81)</f>
        <v/>
      </c>
      <c r="Z81" s="87" t="str">
        <f>IF(D81="","",IFERROR(VLOOKUP(I81,Assumptions!$B$40:$H$50,7,FALSE()),0)*M81)</f>
        <v/>
      </c>
      <c r="AA81" s="96" t="str">
        <f t="shared" si="20"/>
        <v/>
      </c>
      <c r="AB81" s="84" t="str">
        <f t="shared" si="21"/>
        <v/>
      </c>
      <c r="AC81" s="99"/>
      <c r="AD81" s="99"/>
      <c r="AE81" s="99"/>
      <c r="AF81" s="98" t="str">
        <f t="shared" si="22"/>
        <v>-</v>
      </c>
    </row>
    <row r="82" spans="2:32" ht="14.25" customHeight="1" thickBot="1" x14ac:dyDescent="0.4">
      <c r="B82" s="84" t="str">
        <f t="shared" si="24"/>
        <v/>
      </c>
      <c r="C82" s="85"/>
      <c r="D82" s="91"/>
      <c r="E82" s="68" t="str">
        <f>IF(D82="","",IFERROR(VLOOKUP(D82,'Portfolio List'!$B$4:$I$76,5,FALSE()),""))</f>
        <v/>
      </c>
      <c r="F82" s="68" t="str">
        <f>IF(D82="","",IFERROR(VLOOKUP(D82,'Portfolio List'!$B$4:$I$76,6,FALSE()),""))</f>
        <v/>
      </c>
      <c r="G82" s="68" t="str">
        <f>IF(D82="","",IFERROR(VLOOKUP(D82,'Portfolio List'!$B$4:$I$76,7,FALSE()),""))</f>
        <v/>
      </c>
      <c r="H82" s="71" t="str">
        <f>IF(D82="","",IFERROR(VLOOKUP(D82,'Portfolio List'!$B$4:$I$76,4,FALSE()),""))</f>
        <v/>
      </c>
      <c r="I82" s="91"/>
      <c r="J82" s="84" t="str">
        <f t="shared" si="23"/>
        <v/>
      </c>
      <c r="K82" s="91"/>
      <c r="L82" s="85"/>
      <c r="M82" s="97"/>
      <c r="N82" s="180"/>
      <c r="O82" s="92"/>
      <c r="P82" s="87">
        <f>IF(D82="",0,IF(I82="LED Lighting",M82*IF(AC82="Studio",Assumptions!$C$15,IF(AC82="1 Bedroom",Assumptions!$C$16,IF(AC82="2 Bedroom",Assumptions!$C$17,IF(AC82="3 Bedroom",Assumptions!$C$18,Assumptions!$C$16))))*N82*365/1000,IFERROR(VLOOKUP(I82,Assumptions!$B$40:$H$50,2,FALSE()),0)*M82))</f>
        <v>0</v>
      </c>
      <c r="Q82" s="87">
        <f>IF(D82="",0,IFERROR(VLOOKUP(I82,Assumptions!$B$40:$H$50,3,FALSE()),0)*M82)</f>
        <v>0</v>
      </c>
      <c r="R82" s="77">
        <f>IF(G82="",0.2161,IFERROR(VLOOKUP(G82,Assumptions!$B$53:$C$61,2,FALSE())/100,0.2161))</f>
        <v>0.21609999999999999</v>
      </c>
      <c r="S82" s="77">
        <f>IF(G82="",0,IFERROR(VLOOKUP(G82,Assumptions!$B$64:$C$72,2,FALSE())/1000,0.008))</f>
        <v>0</v>
      </c>
      <c r="T82" s="93" t="str">
        <f t="shared" si="16"/>
        <v/>
      </c>
      <c r="U82" s="93" t="str">
        <f t="shared" si="17"/>
        <v/>
      </c>
      <c r="V82" s="93" t="str">
        <f t="shared" si="18"/>
        <v/>
      </c>
      <c r="W82" s="94" t="str">
        <f t="shared" si="19"/>
        <v/>
      </c>
      <c r="X82" s="88"/>
      <c r="Y82" s="87" t="str">
        <f>IF(D82="","",IFERROR(VLOOKUP(I82,Assumptions!$B$40:$H$50,6,FALSE()),0)*M82)</f>
        <v/>
      </c>
      <c r="Z82" s="87" t="str">
        <f>IF(D82="","",IFERROR(VLOOKUP(I82,Assumptions!$B$40:$H$50,7,FALSE()),0)*M82)</f>
        <v/>
      </c>
      <c r="AA82" s="96" t="str">
        <f t="shared" si="20"/>
        <v/>
      </c>
      <c r="AB82" s="84" t="str">
        <f t="shared" si="21"/>
        <v/>
      </c>
      <c r="AC82" s="99"/>
      <c r="AD82" s="99"/>
      <c r="AE82" s="99"/>
      <c r="AF82" s="98" t="str">
        <f t="shared" si="22"/>
        <v>-</v>
      </c>
    </row>
    <row r="83" spans="2:32" ht="14.25" customHeight="1" thickBot="1" x14ac:dyDescent="0.4">
      <c r="B83" s="84" t="str">
        <f t="shared" si="24"/>
        <v/>
      </c>
      <c r="C83" s="85"/>
      <c r="D83" s="91"/>
      <c r="E83" s="68" t="str">
        <f>IF(D83="","",IFERROR(VLOOKUP(D83,'Portfolio List'!$B$4:$I$76,5,FALSE()),""))</f>
        <v/>
      </c>
      <c r="F83" s="68" t="str">
        <f>IF(D83="","",IFERROR(VLOOKUP(D83,'Portfolio List'!$B$4:$I$76,6,FALSE()),""))</f>
        <v/>
      </c>
      <c r="G83" s="68" t="str">
        <f>IF(D83="","",IFERROR(VLOOKUP(D83,'Portfolio List'!$B$4:$I$76,7,FALSE()),""))</f>
        <v/>
      </c>
      <c r="H83" s="71" t="str">
        <f>IF(D83="","",IFERROR(VLOOKUP(D83,'Portfolio List'!$B$4:$I$76,4,FALSE()),""))</f>
        <v/>
      </c>
      <c r="I83" s="91"/>
      <c r="J83" s="84" t="str">
        <f t="shared" si="23"/>
        <v/>
      </c>
      <c r="K83" s="91"/>
      <c r="L83" s="85"/>
      <c r="M83" s="97"/>
      <c r="N83" s="180"/>
      <c r="O83" s="92"/>
      <c r="P83" s="87">
        <f>IF(D83="",0,IF(I83="LED Lighting",M83*IF(AC83="Studio",Assumptions!$C$15,IF(AC83="1 Bedroom",Assumptions!$C$16,IF(AC83="2 Bedroom",Assumptions!$C$17,IF(AC83="3 Bedroom",Assumptions!$C$18,Assumptions!$C$16))))*N83*365/1000,IFERROR(VLOOKUP(I83,Assumptions!$B$40:$H$50,2,FALSE()),0)*M83))</f>
        <v>0</v>
      </c>
      <c r="Q83" s="87">
        <f>IF(D83="",0,IFERROR(VLOOKUP(I83,Assumptions!$B$40:$H$50,3,FALSE()),0)*M83)</f>
        <v>0</v>
      </c>
      <c r="R83" s="77">
        <f>IF(G83="",0.2161,IFERROR(VLOOKUP(G83,Assumptions!$B$53:$C$61,2,FALSE())/100,0.2161))</f>
        <v>0.21609999999999999</v>
      </c>
      <c r="S83" s="77">
        <f>IF(G83="",0,IFERROR(VLOOKUP(G83,Assumptions!$B$64:$C$72,2,FALSE())/1000,0.008))</f>
        <v>0</v>
      </c>
      <c r="T83" s="93" t="str">
        <f t="shared" si="16"/>
        <v/>
      </c>
      <c r="U83" s="93" t="str">
        <f t="shared" si="17"/>
        <v/>
      </c>
      <c r="V83" s="93" t="str">
        <f t="shared" si="18"/>
        <v/>
      </c>
      <c r="W83" s="94" t="str">
        <f t="shared" si="19"/>
        <v/>
      </c>
      <c r="X83" s="88"/>
      <c r="Y83" s="87" t="str">
        <f>IF(D83="","",IFERROR(VLOOKUP(I83,Assumptions!$B$40:$H$50,6,FALSE()),0)*M83)</f>
        <v/>
      </c>
      <c r="Z83" s="87" t="str">
        <f>IF(D83="","",IFERROR(VLOOKUP(I83,Assumptions!$B$40:$H$50,7,FALSE()),0)*M83)</f>
        <v/>
      </c>
      <c r="AA83" s="96" t="str">
        <f t="shared" si="20"/>
        <v/>
      </c>
      <c r="AB83" s="84" t="str">
        <f t="shared" si="21"/>
        <v/>
      </c>
      <c r="AC83" s="99"/>
      <c r="AD83" s="99"/>
      <c r="AE83" s="99"/>
      <c r="AF83" s="98" t="str">
        <f t="shared" si="22"/>
        <v>-</v>
      </c>
    </row>
    <row r="84" spans="2:32" ht="14.25" customHeight="1" thickBot="1" x14ac:dyDescent="0.4">
      <c r="B84" s="84" t="str">
        <f t="shared" si="24"/>
        <v/>
      </c>
      <c r="C84" s="85"/>
      <c r="D84" s="91"/>
      <c r="E84" s="68" t="str">
        <f>IF(D84="","",IFERROR(VLOOKUP(D84,'Portfolio List'!$B$4:$I$76,5,FALSE()),""))</f>
        <v/>
      </c>
      <c r="F84" s="68" t="str">
        <f>IF(D84="","",IFERROR(VLOOKUP(D84,'Portfolio List'!$B$4:$I$76,6,FALSE()),""))</f>
        <v/>
      </c>
      <c r="G84" s="68" t="str">
        <f>IF(D84="","",IFERROR(VLOOKUP(D84,'Portfolio List'!$B$4:$I$76,7,FALSE()),""))</f>
        <v/>
      </c>
      <c r="H84" s="71" t="str">
        <f>IF(D84="","",IFERROR(VLOOKUP(D84,'Portfolio List'!$B$4:$I$76,4,FALSE()),""))</f>
        <v/>
      </c>
      <c r="I84" s="91"/>
      <c r="J84" s="84" t="str">
        <f t="shared" si="23"/>
        <v/>
      </c>
      <c r="K84" s="91"/>
      <c r="L84" s="85"/>
      <c r="M84" s="97"/>
      <c r="N84" s="180"/>
      <c r="O84" s="92"/>
      <c r="P84" s="87">
        <f>IF(D84="",0,IF(I84="LED Lighting",M84*IF(AC84="Studio",Assumptions!$C$15,IF(AC84="1 Bedroom",Assumptions!$C$16,IF(AC84="2 Bedroom",Assumptions!$C$17,IF(AC84="3 Bedroom",Assumptions!$C$18,Assumptions!$C$16))))*N84*365/1000,IFERROR(VLOOKUP(I84,Assumptions!$B$40:$H$50,2,FALSE()),0)*M84))</f>
        <v>0</v>
      </c>
      <c r="Q84" s="87">
        <f>IF(D84="",0,IFERROR(VLOOKUP(I84,Assumptions!$B$40:$H$50,3,FALSE()),0)*M84)</f>
        <v>0</v>
      </c>
      <c r="R84" s="77">
        <f>IF(G84="",0.2161,IFERROR(VLOOKUP(G84,Assumptions!$B$53:$C$61,2,FALSE())/100,0.2161))</f>
        <v>0.21609999999999999</v>
      </c>
      <c r="S84" s="77">
        <f>IF(G84="",0,IFERROR(VLOOKUP(G84,Assumptions!$B$64:$C$72,2,FALSE())/1000,0.008))</f>
        <v>0</v>
      </c>
      <c r="T84" s="93" t="str">
        <f t="shared" si="16"/>
        <v/>
      </c>
      <c r="U84" s="93" t="str">
        <f t="shared" si="17"/>
        <v/>
      </c>
      <c r="V84" s="93" t="str">
        <f t="shared" si="18"/>
        <v/>
      </c>
      <c r="W84" s="94" t="str">
        <f t="shared" si="19"/>
        <v/>
      </c>
      <c r="X84" s="88"/>
      <c r="Y84" s="87" t="str">
        <f>IF(D84="","",IFERROR(VLOOKUP(I84,Assumptions!$B$40:$H$50,6,FALSE()),0)*M84)</f>
        <v/>
      </c>
      <c r="Z84" s="87" t="str">
        <f>IF(D84="","",IFERROR(VLOOKUP(I84,Assumptions!$B$40:$H$50,7,FALSE()),0)*M84)</f>
        <v/>
      </c>
      <c r="AA84" s="96" t="str">
        <f t="shared" si="20"/>
        <v/>
      </c>
      <c r="AB84" s="84" t="str">
        <f t="shared" si="21"/>
        <v/>
      </c>
      <c r="AC84" s="99"/>
      <c r="AD84" s="99"/>
      <c r="AE84" s="99"/>
      <c r="AF84" s="98" t="str">
        <f t="shared" si="22"/>
        <v>-</v>
      </c>
    </row>
    <row r="85" spans="2:32" ht="14.25" customHeight="1" thickBot="1" x14ac:dyDescent="0.4">
      <c r="B85" s="84" t="str">
        <f t="shared" si="24"/>
        <v/>
      </c>
      <c r="C85" s="85"/>
      <c r="D85" s="91"/>
      <c r="E85" s="68" t="str">
        <f>IF(D85="","",IFERROR(VLOOKUP(D85,'Portfolio List'!$B$4:$I$76,5,FALSE()),""))</f>
        <v/>
      </c>
      <c r="F85" s="68" t="str">
        <f>IF(D85="","",IFERROR(VLOOKUP(D85,'Portfolio List'!$B$4:$I$76,6,FALSE()),""))</f>
        <v/>
      </c>
      <c r="G85" s="68" t="str">
        <f>IF(D85="","",IFERROR(VLOOKUP(D85,'Portfolio List'!$B$4:$I$76,7,FALSE()),""))</f>
        <v/>
      </c>
      <c r="H85" s="71" t="str">
        <f>IF(D85="","",IFERROR(VLOOKUP(D85,'Portfolio List'!$B$4:$I$76,4,FALSE()),""))</f>
        <v/>
      </c>
      <c r="I85" s="91"/>
      <c r="J85" s="84" t="str">
        <f t="shared" si="23"/>
        <v/>
      </c>
      <c r="K85" s="91"/>
      <c r="L85" s="85"/>
      <c r="M85" s="97"/>
      <c r="N85" s="180"/>
      <c r="O85" s="92"/>
      <c r="P85" s="87">
        <f>IF(D85="",0,IF(I85="LED Lighting",M85*IF(AC85="Studio",Assumptions!$C$15,IF(AC85="1 Bedroom",Assumptions!$C$16,IF(AC85="2 Bedroom",Assumptions!$C$17,IF(AC85="3 Bedroom",Assumptions!$C$18,Assumptions!$C$16))))*N85*365/1000,IFERROR(VLOOKUP(I85,Assumptions!$B$40:$H$50,2,FALSE()),0)*M85))</f>
        <v>0</v>
      </c>
      <c r="Q85" s="87">
        <f>IF(D85="",0,IFERROR(VLOOKUP(I85,Assumptions!$B$40:$H$50,3,FALSE()),0)*M85)</f>
        <v>0</v>
      </c>
      <c r="R85" s="77">
        <f>IF(G85="",0.2161,IFERROR(VLOOKUP(G85,Assumptions!$B$53:$C$61,2,FALSE())/100,0.2161))</f>
        <v>0.21609999999999999</v>
      </c>
      <c r="S85" s="77">
        <f>IF(G85="",0,IFERROR(VLOOKUP(G85,Assumptions!$B$64:$C$72,2,FALSE())/1000,0.008))</f>
        <v>0</v>
      </c>
      <c r="T85" s="93" t="str">
        <f t="shared" si="16"/>
        <v/>
      </c>
      <c r="U85" s="93" t="str">
        <f t="shared" si="17"/>
        <v/>
      </c>
      <c r="V85" s="93" t="str">
        <f t="shared" si="18"/>
        <v/>
      </c>
      <c r="W85" s="94" t="str">
        <f t="shared" si="19"/>
        <v/>
      </c>
      <c r="X85" s="88"/>
      <c r="Y85" s="87" t="str">
        <f>IF(D85="","",IFERROR(VLOOKUP(I85,Assumptions!$B$40:$H$50,6,FALSE()),0)*M85)</f>
        <v/>
      </c>
      <c r="Z85" s="87" t="str">
        <f>IF(D85="","",IFERROR(VLOOKUP(I85,Assumptions!$B$40:$H$50,7,FALSE()),0)*M85)</f>
        <v/>
      </c>
      <c r="AA85" s="96" t="str">
        <f t="shared" si="20"/>
        <v/>
      </c>
      <c r="AB85" s="84" t="str">
        <f t="shared" si="21"/>
        <v/>
      </c>
      <c r="AC85" s="99"/>
      <c r="AD85" s="99"/>
      <c r="AE85" s="99"/>
      <c r="AF85" s="98" t="str">
        <f t="shared" si="22"/>
        <v>-</v>
      </c>
    </row>
    <row r="86" spans="2:32" ht="14.25" customHeight="1" thickBot="1" x14ac:dyDescent="0.4">
      <c r="B86" s="84" t="str">
        <f t="shared" si="24"/>
        <v/>
      </c>
      <c r="C86" s="85"/>
      <c r="D86" s="91"/>
      <c r="E86" s="68" t="str">
        <f>IF(D86="","",IFERROR(VLOOKUP(D86,'Portfolio List'!$B$4:$I$76,5,FALSE()),""))</f>
        <v/>
      </c>
      <c r="F86" s="68" t="str">
        <f>IF(D86="","",IFERROR(VLOOKUP(D86,'Portfolio List'!$B$4:$I$76,6,FALSE()),""))</f>
        <v/>
      </c>
      <c r="G86" s="68" t="str">
        <f>IF(D86="","",IFERROR(VLOOKUP(D86,'Portfolio List'!$B$4:$I$76,7,FALSE()),""))</f>
        <v/>
      </c>
      <c r="H86" s="71" t="str">
        <f>IF(D86="","",IFERROR(VLOOKUP(D86,'Portfolio List'!$B$4:$I$76,4,FALSE()),""))</f>
        <v/>
      </c>
      <c r="I86" s="91"/>
      <c r="J86" s="84" t="str">
        <f t="shared" si="23"/>
        <v/>
      </c>
      <c r="K86" s="91"/>
      <c r="L86" s="85"/>
      <c r="M86" s="97"/>
      <c r="N86" s="180"/>
      <c r="O86" s="92"/>
      <c r="P86" s="87">
        <f>IF(D86="",0,IF(I86="LED Lighting",M86*IF(AC86="Studio",Assumptions!$C$15,IF(AC86="1 Bedroom",Assumptions!$C$16,IF(AC86="2 Bedroom",Assumptions!$C$17,IF(AC86="3 Bedroom",Assumptions!$C$18,Assumptions!$C$16))))*N86*365/1000,IFERROR(VLOOKUP(I86,Assumptions!$B$40:$H$50,2,FALSE()),0)*M86))</f>
        <v>0</v>
      </c>
      <c r="Q86" s="87">
        <f>IF(D86="",0,IFERROR(VLOOKUP(I86,Assumptions!$B$40:$H$50,3,FALSE()),0)*M86)</f>
        <v>0</v>
      </c>
      <c r="R86" s="77">
        <f>IF(G86="",0.2161,IFERROR(VLOOKUP(G86,Assumptions!$B$53:$C$61,2,FALSE())/100,0.2161))</f>
        <v>0.21609999999999999</v>
      </c>
      <c r="S86" s="77">
        <f>IF(G86="",0,IFERROR(VLOOKUP(G86,Assumptions!$B$64:$C$72,2,FALSE())/1000,0.008))</f>
        <v>0</v>
      </c>
      <c r="T86" s="93" t="str">
        <f t="shared" si="16"/>
        <v/>
      </c>
      <c r="U86" s="93" t="str">
        <f t="shared" si="17"/>
        <v/>
      </c>
      <c r="V86" s="93" t="str">
        <f t="shared" si="18"/>
        <v/>
      </c>
      <c r="W86" s="94" t="str">
        <f t="shared" si="19"/>
        <v/>
      </c>
      <c r="X86" s="88"/>
      <c r="Y86" s="87" t="str">
        <f>IF(D86="","",IFERROR(VLOOKUP(I86,Assumptions!$B$40:$H$50,6,FALSE()),0)*M86)</f>
        <v/>
      </c>
      <c r="Z86" s="87" t="str">
        <f>IF(D86="","",IFERROR(VLOOKUP(I86,Assumptions!$B$40:$H$50,7,FALSE()),0)*M86)</f>
        <v/>
      </c>
      <c r="AA86" s="96" t="str">
        <f t="shared" si="20"/>
        <v/>
      </c>
      <c r="AB86" s="84" t="str">
        <f t="shared" si="21"/>
        <v/>
      </c>
      <c r="AC86" s="99"/>
      <c r="AD86" s="99"/>
      <c r="AE86" s="99"/>
      <c r="AF86" s="98" t="str">
        <f t="shared" si="22"/>
        <v>-</v>
      </c>
    </row>
    <row r="87" spans="2:32" ht="14.25" customHeight="1" thickBot="1" x14ac:dyDescent="0.4">
      <c r="B87" s="84" t="str">
        <f t="shared" si="24"/>
        <v/>
      </c>
      <c r="C87" s="85"/>
      <c r="D87" s="91"/>
      <c r="E87" s="68" t="str">
        <f>IF(D87="","",IFERROR(VLOOKUP(D87,'Portfolio List'!$B$4:$I$76,5,FALSE()),""))</f>
        <v/>
      </c>
      <c r="F87" s="68" t="str">
        <f>IF(D87="","",IFERROR(VLOOKUP(D87,'Portfolio List'!$B$4:$I$76,6,FALSE()),""))</f>
        <v/>
      </c>
      <c r="G87" s="68" t="str">
        <f>IF(D87="","",IFERROR(VLOOKUP(D87,'Portfolio List'!$B$4:$I$76,7,FALSE()),""))</f>
        <v/>
      </c>
      <c r="H87" s="71" t="str">
        <f>IF(D87="","",IFERROR(VLOOKUP(D87,'Portfolio List'!$B$4:$I$76,4,FALSE()),""))</f>
        <v/>
      </c>
      <c r="I87" s="91"/>
      <c r="J87" s="84" t="str">
        <f t="shared" si="23"/>
        <v/>
      </c>
      <c r="K87" s="91"/>
      <c r="L87" s="85"/>
      <c r="M87" s="97"/>
      <c r="N87" s="180"/>
      <c r="O87" s="92"/>
      <c r="P87" s="87">
        <f>IF(D87="",0,IF(I87="LED Lighting",M87*IF(AC87="Studio",Assumptions!$C$15,IF(AC87="1 Bedroom",Assumptions!$C$16,IF(AC87="2 Bedroom",Assumptions!$C$17,IF(AC87="3 Bedroom",Assumptions!$C$18,Assumptions!$C$16))))*N87*365/1000,IFERROR(VLOOKUP(I87,Assumptions!$B$40:$H$50,2,FALSE()),0)*M87))</f>
        <v>0</v>
      </c>
      <c r="Q87" s="87">
        <f>IF(D87="",0,IFERROR(VLOOKUP(I87,Assumptions!$B$40:$H$50,3,FALSE()),0)*M87)</f>
        <v>0</v>
      </c>
      <c r="R87" s="77">
        <f>IF(G87="",0.2161,IFERROR(VLOOKUP(G87,Assumptions!$B$53:$C$61,2,FALSE())/100,0.2161))</f>
        <v>0.21609999999999999</v>
      </c>
      <c r="S87" s="77">
        <f>IF(G87="",0,IFERROR(VLOOKUP(G87,Assumptions!$B$64:$C$72,2,FALSE())/1000,0.008))</f>
        <v>0</v>
      </c>
      <c r="T87" s="93" t="str">
        <f t="shared" si="16"/>
        <v/>
      </c>
      <c r="U87" s="93" t="str">
        <f t="shared" si="17"/>
        <v/>
      </c>
      <c r="V87" s="93" t="str">
        <f t="shared" si="18"/>
        <v/>
      </c>
      <c r="W87" s="94" t="str">
        <f t="shared" si="19"/>
        <v/>
      </c>
      <c r="X87" s="88"/>
      <c r="Y87" s="87" t="str">
        <f>IF(D87="","",IFERROR(VLOOKUP(I87,Assumptions!$B$40:$H$50,6,FALSE()),0)*M87)</f>
        <v/>
      </c>
      <c r="Z87" s="87" t="str">
        <f>IF(D87="","",IFERROR(VLOOKUP(I87,Assumptions!$B$40:$H$50,7,FALSE()),0)*M87)</f>
        <v/>
      </c>
      <c r="AA87" s="96" t="str">
        <f t="shared" si="20"/>
        <v/>
      </c>
      <c r="AB87" s="84" t="str">
        <f t="shared" si="21"/>
        <v/>
      </c>
      <c r="AC87" s="99"/>
      <c r="AD87" s="99"/>
      <c r="AE87" s="99"/>
      <c r="AF87" s="98" t="str">
        <f t="shared" si="22"/>
        <v>-</v>
      </c>
    </row>
    <row r="88" spans="2:32" ht="14.25" customHeight="1" thickBot="1" x14ac:dyDescent="0.4">
      <c r="B88" s="84" t="str">
        <f t="shared" si="24"/>
        <v/>
      </c>
      <c r="C88" s="85"/>
      <c r="D88" s="91"/>
      <c r="E88" s="68" t="str">
        <f>IF(D88="","",IFERROR(VLOOKUP(D88,'Portfolio List'!$B$4:$I$76,5,FALSE()),""))</f>
        <v/>
      </c>
      <c r="F88" s="68" t="str">
        <f>IF(D88="","",IFERROR(VLOOKUP(D88,'Portfolio List'!$B$4:$I$76,6,FALSE()),""))</f>
        <v/>
      </c>
      <c r="G88" s="68" t="str">
        <f>IF(D88="","",IFERROR(VLOOKUP(D88,'Portfolio List'!$B$4:$I$76,7,FALSE()),""))</f>
        <v/>
      </c>
      <c r="H88" s="71" t="str">
        <f>IF(D88="","",IFERROR(VLOOKUP(D88,'Portfolio List'!$B$4:$I$76,4,FALSE()),""))</f>
        <v/>
      </c>
      <c r="I88" s="91"/>
      <c r="J88" s="84" t="str">
        <f t="shared" si="23"/>
        <v/>
      </c>
      <c r="K88" s="91"/>
      <c r="L88" s="85"/>
      <c r="M88" s="97"/>
      <c r="N88" s="180"/>
      <c r="O88" s="92"/>
      <c r="P88" s="87">
        <f>IF(D88="",0,IF(I88="LED Lighting",M88*IF(AC88="Studio",Assumptions!$C$15,IF(AC88="1 Bedroom",Assumptions!$C$16,IF(AC88="2 Bedroom",Assumptions!$C$17,IF(AC88="3 Bedroom",Assumptions!$C$18,Assumptions!$C$16))))*N88*365/1000,IFERROR(VLOOKUP(I88,Assumptions!$B$40:$H$50,2,FALSE()),0)*M88))</f>
        <v>0</v>
      </c>
      <c r="Q88" s="87">
        <f>IF(D88="",0,IFERROR(VLOOKUP(I88,Assumptions!$B$40:$H$50,3,FALSE()),0)*M88)</f>
        <v>0</v>
      </c>
      <c r="R88" s="77">
        <f>IF(G88="",0.2161,IFERROR(VLOOKUP(G88,Assumptions!$B$53:$C$61,2,FALSE())/100,0.2161))</f>
        <v>0.21609999999999999</v>
      </c>
      <c r="S88" s="77">
        <f>IF(G88="",0,IFERROR(VLOOKUP(G88,Assumptions!$B$64:$C$72,2,FALSE())/1000,0.008))</f>
        <v>0</v>
      </c>
      <c r="T88" s="93" t="str">
        <f t="shared" si="16"/>
        <v/>
      </c>
      <c r="U88" s="93" t="str">
        <f t="shared" si="17"/>
        <v/>
      </c>
      <c r="V88" s="93" t="str">
        <f t="shared" si="18"/>
        <v/>
      </c>
      <c r="W88" s="94" t="str">
        <f t="shared" si="19"/>
        <v/>
      </c>
      <c r="X88" s="88"/>
      <c r="Y88" s="87" t="str">
        <f>IF(D88="","",IFERROR(VLOOKUP(I88,Assumptions!$B$40:$H$50,6,FALSE()),0)*M88)</f>
        <v/>
      </c>
      <c r="Z88" s="87" t="str">
        <f>IF(D88="","",IFERROR(VLOOKUP(I88,Assumptions!$B$40:$H$50,7,FALSE()),0)*M88)</f>
        <v/>
      </c>
      <c r="AA88" s="96" t="str">
        <f t="shared" si="20"/>
        <v/>
      </c>
      <c r="AB88" s="84" t="str">
        <f t="shared" si="21"/>
        <v/>
      </c>
      <c r="AC88" s="99"/>
      <c r="AD88" s="99"/>
      <c r="AE88" s="99"/>
      <c r="AF88" s="98" t="str">
        <f t="shared" si="22"/>
        <v>-</v>
      </c>
    </row>
    <row r="89" spans="2:32" ht="14.25" customHeight="1" thickBot="1" x14ac:dyDescent="0.4">
      <c r="B89" s="84" t="str">
        <f t="shared" si="24"/>
        <v/>
      </c>
      <c r="C89" s="85"/>
      <c r="D89" s="91"/>
      <c r="E89" s="68" t="str">
        <f>IF(D89="","",IFERROR(VLOOKUP(D89,'Portfolio List'!$B$4:$I$76,5,FALSE()),""))</f>
        <v/>
      </c>
      <c r="F89" s="68" t="str">
        <f>IF(D89="","",IFERROR(VLOOKUP(D89,'Portfolio List'!$B$4:$I$76,6,FALSE()),""))</f>
        <v/>
      </c>
      <c r="G89" s="68" t="str">
        <f>IF(D89="","",IFERROR(VLOOKUP(D89,'Portfolio List'!$B$4:$I$76,7,FALSE()),""))</f>
        <v/>
      </c>
      <c r="H89" s="71" t="str">
        <f>IF(D89="","",IFERROR(VLOOKUP(D89,'Portfolio List'!$B$4:$I$76,4,FALSE()),""))</f>
        <v/>
      </c>
      <c r="I89" s="91"/>
      <c r="J89" s="84" t="str">
        <f t="shared" si="23"/>
        <v/>
      </c>
      <c r="K89" s="91"/>
      <c r="L89" s="85"/>
      <c r="M89" s="97"/>
      <c r="N89" s="180"/>
      <c r="O89" s="92"/>
      <c r="P89" s="87">
        <f>IF(D89="",0,IF(I89="LED Lighting",M89*IF(AC89="Studio",Assumptions!$C$15,IF(AC89="1 Bedroom",Assumptions!$C$16,IF(AC89="2 Bedroom",Assumptions!$C$17,IF(AC89="3 Bedroom",Assumptions!$C$18,Assumptions!$C$16))))*N89*365/1000,IFERROR(VLOOKUP(I89,Assumptions!$B$40:$H$50,2,FALSE()),0)*M89))</f>
        <v>0</v>
      </c>
      <c r="Q89" s="87">
        <f>IF(D89="",0,IFERROR(VLOOKUP(I89,Assumptions!$B$40:$H$50,3,FALSE()),0)*M89)</f>
        <v>0</v>
      </c>
      <c r="R89" s="77">
        <f>IF(G89="",0.2161,IFERROR(VLOOKUP(G89,Assumptions!$B$53:$C$61,2,FALSE())/100,0.2161))</f>
        <v>0.21609999999999999</v>
      </c>
      <c r="S89" s="77">
        <f>IF(G89="",0,IFERROR(VLOOKUP(G89,Assumptions!$B$64:$C$72,2,FALSE())/1000,0.008))</f>
        <v>0</v>
      </c>
      <c r="T89" s="93" t="str">
        <f t="shared" si="16"/>
        <v/>
      </c>
      <c r="U89" s="93" t="str">
        <f t="shared" si="17"/>
        <v/>
      </c>
      <c r="V89" s="93" t="str">
        <f t="shared" si="18"/>
        <v/>
      </c>
      <c r="W89" s="94" t="str">
        <f t="shared" si="19"/>
        <v/>
      </c>
      <c r="X89" s="88"/>
      <c r="Y89" s="87" t="str">
        <f>IF(D89="","",IFERROR(VLOOKUP(I89,Assumptions!$B$40:$H$50,6,FALSE()),0)*M89)</f>
        <v/>
      </c>
      <c r="Z89" s="87" t="str">
        <f>IF(D89="","",IFERROR(VLOOKUP(I89,Assumptions!$B$40:$H$50,7,FALSE()),0)*M89)</f>
        <v/>
      </c>
      <c r="AA89" s="96" t="str">
        <f t="shared" si="20"/>
        <v/>
      </c>
      <c r="AB89" s="84" t="str">
        <f t="shared" si="21"/>
        <v/>
      </c>
      <c r="AC89" s="99"/>
      <c r="AD89" s="99"/>
      <c r="AE89" s="99"/>
      <c r="AF89" s="98" t="str">
        <f t="shared" si="22"/>
        <v>-</v>
      </c>
    </row>
    <row r="90" spans="2:32" ht="14.25" customHeight="1" thickBot="1" x14ac:dyDescent="0.4">
      <c r="B90" s="84" t="str">
        <f t="shared" si="24"/>
        <v/>
      </c>
      <c r="C90" s="85"/>
      <c r="D90" s="91"/>
      <c r="E90" s="68" t="str">
        <f>IF(D90="","",IFERROR(VLOOKUP(D90,'Portfolio List'!$B$4:$I$76,5,FALSE()),""))</f>
        <v/>
      </c>
      <c r="F90" s="68" t="str">
        <f>IF(D90="","",IFERROR(VLOOKUP(D90,'Portfolio List'!$B$4:$I$76,6,FALSE()),""))</f>
        <v/>
      </c>
      <c r="G90" s="68" t="str">
        <f>IF(D90="","",IFERROR(VLOOKUP(D90,'Portfolio List'!$B$4:$I$76,7,FALSE()),""))</f>
        <v/>
      </c>
      <c r="H90" s="71" t="str">
        <f>IF(D90="","",IFERROR(VLOOKUP(D90,'Portfolio List'!$B$4:$I$76,4,FALSE()),""))</f>
        <v/>
      </c>
      <c r="I90" s="91"/>
      <c r="J90" s="84" t="str">
        <f t="shared" si="23"/>
        <v/>
      </c>
      <c r="K90" s="91"/>
      <c r="L90" s="85"/>
      <c r="M90" s="97"/>
      <c r="N90" s="180"/>
      <c r="O90" s="92"/>
      <c r="P90" s="87">
        <f>IF(D90="",0,IF(I90="LED Lighting",M90*IF(AC90="Studio",Assumptions!$C$15,IF(AC90="1 Bedroom",Assumptions!$C$16,IF(AC90="2 Bedroom",Assumptions!$C$17,IF(AC90="3 Bedroom",Assumptions!$C$18,Assumptions!$C$16))))*N90*365/1000,IFERROR(VLOOKUP(I90,Assumptions!$B$40:$H$50,2,FALSE()),0)*M90))</f>
        <v>0</v>
      </c>
      <c r="Q90" s="87">
        <f>IF(D90="",0,IFERROR(VLOOKUP(I90,Assumptions!$B$40:$H$50,3,FALSE()),0)*M90)</f>
        <v>0</v>
      </c>
      <c r="R90" s="77">
        <f>IF(G90="",0.2161,IFERROR(VLOOKUP(G90,Assumptions!$B$53:$C$61,2,FALSE())/100,0.2161))</f>
        <v>0.21609999999999999</v>
      </c>
      <c r="S90" s="77">
        <f>IF(G90="",0,IFERROR(VLOOKUP(G90,Assumptions!$B$64:$C$72,2,FALSE())/1000,0.008))</f>
        <v>0</v>
      </c>
      <c r="T90" s="93" t="str">
        <f t="shared" si="16"/>
        <v/>
      </c>
      <c r="U90" s="93" t="str">
        <f t="shared" si="17"/>
        <v/>
      </c>
      <c r="V90" s="93" t="str">
        <f t="shared" si="18"/>
        <v/>
      </c>
      <c r="W90" s="94" t="str">
        <f t="shared" si="19"/>
        <v/>
      </c>
      <c r="X90" s="88"/>
      <c r="Y90" s="87" t="str">
        <f>IF(D90="","",IFERROR(VLOOKUP(I90,Assumptions!$B$40:$H$50,6,FALSE()),0)*M90)</f>
        <v/>
      </c>
      <c r="Z90" s="87" t="str">
        <f>IF(D90="","",IFERROR(VLOOKUP(I90,Assumptions!$B$40:$H$50,7,FALSE()),0)*M90)</f>
        <v/>
      </c>
      <c r="AA90" s="96" t="str">
        <f t="shared" si="20"/>
        <v/>
      </c>
      <c r="AB90" s="84" t="str">
        <f t="shared" si="21"/>
        <v/>
      </c>
      <c r="AC90" s="99"/>
      <c r="AD90" s="99"/>
      <c r="AE90" s="99"/>
      <c r="AF90" s="98" t="str">
        <f t="shared" si="22"/>
        <v>-</v>
      </c>
    </row>
    <row r="91" spans="2:32" ht="14.25" customHeight="1" thickBot="1" x14ac:dyDescent="0.4">
      <c r="B91" s="84" t="str">
        <f t="shared" si="24"/>
        <v/>
      </c>
      <c r="C91" s="85"/>
      <c r="D91" s="91"/>
      <c r="E91" s="68" t="str">
        <f>IF(D91="","",IFERROR(VLOOKUP(D91,'Portfolio List'!$B$4:$I$76,5,FALSE()),""))</f>
        <v/>
      </c>
      <c r="F91" s="68" t="str">
        <f>IF(D91="","",IFERROR(VLOOKUP(D91,'Portfolio List'!$B$4:$I$76,6,FALSE()),""))</f>
        <v/>
      </c>
      <c r="G91" s="68" t="str">
        <f>IF(D91="","",IFERROR(VLOOKUP(D91,'Portfolio List'!$B$4:$I$76,7,FALSE()),""))</f>
        <v/>
      </c>
      <c r="H91" s="71" t="str">
        <f>IF(D91="","",IFERROR(VLOOKUP(D91,'Portfolio List'!$B$4:$I$76,4,FALSE()),""))</f>
        <v/>
      </c>
      <c r="I91" s="91"/>
      <c r="J91" s="84" t="str">
        <f t="shared" si="23"/>
        <v/>
      </c>
      <c r="K91" s="91"/>
      <c r="L91" s="85"/>
      <c r="M91" s="97"/>
      <c r="N91" s="180"/>
      <c r="O91" s="92"/>
      <c r="P91" s="87">
        <f>IF(D91="",0,IF(I91="LED Lighting",M91*IF(AC91="Studio",Assumptions!$C$15,IF(AC91="1 Bedroom",Assumptions!$C$16,IF(AC91="2 Bedroom",Assumptions!$C$17,IF(AC91="3 Bedroom",Assumptions!$C$18,Assumptions!$C$16))))*N91*365/1000,IFERROR(VLOOKUP(I91,Assumptions!$B$40:$H$50,2,FALSE()),0)*M91))</f>
        <v>0</v>
      </c>
      <c r="Q91" s="87">
        <f>IF(D91="",0,IFERROR(VLOOKUP(I91,Assumptions!$B$40:$H$50,3,FALSE()),0)*M91)</f>
        <v>0</v>
      </c>
      <c r="R91" s="77">
        <f>IF(G91="",0.2161,IFERROR(VLOOKUP(G91,Assumptions!$B$53:$C$61,2,FALSE())/100,0.2161))</f>
        <v>0.21609999999999999</v>
      </c>
      <c r="S91" s="77">
        <f>IF(G91="",0,IFERROR(VLOOKUP(G91,Assumptions!$B$64:$C$72,2,FALSE())/1000,0.008))</f>
        <v>0</v>
      </c>
      <c r="T91" s="93" t="str">
        <f t="shared" si="16"/>
        <v/>
      </c>
      <c r="U91" s="93" t="str">
        <f t="shared" si="17"/>
        <v/>
      </c>
      <c r="V91" s="93" t="str">
        <f t="shared" si="18"/>
        <v/>
      </c>
      <c r="W91" s="94" t="str">
        <f t="shared" si="19"/>
        <v/>
      </c>
      <c r="X91" s="88"/>
      <c r="Y91" s="87" t="str">
        <f>IF(D91="","",IFERROR(VLOOKUP(I91,Assumptions!$B$40:$H$50,6,FALSE()),0)*M91)</f>
        <v/>
      </c>
      <c r="Z91" s="87" t="str">
        <f>IF(D91="","",IFERROR(VLOOKUP(I91,Assumptions!$B$40:$H$50,7,FALSE()),0)*M91)</f>
        <v/>
      </c>
      <c r="AA91" s="96" t="str">
        <f t="shared" si="20"/>
        <v/>
      </c>
      <c r="AB91" s="84" t="str">
        <f t="shared" si="21"/>
        <v/>
      </c>
      <c r="AC91" s="99"/>
      <c r="AD91" s="99"/>
      <c r="AE91" s="99"/>
      <c r="AF91" s="98" t="str">
        <f t="shared" si="22"/>
        <v>-</v>
      </c>
    </row>
    <row r="92" spans="2:32" ht="14.25" customHeight="1" thickBot="1" x14ac:dyDescent="0.4">
      <c r="B92" s="84" t="str">
        <f t="shared" si="24"/>
        <v/>
      </c>
      <c r="C92" s="85"/>
      <c r="D92" s="91"/>
      <c r="E92" s="68" t="str">
        <f>IF(D92="","",IFERROR(VLOOKUP(D92,'Portfolio List'!$B$4:$I$76,5,FALSE()),""))</f>
        <v/>
      </c>
      <c r="F92" s="68" t="str">
        <f>IF(D92="","",IFERROR(VLOOKUP(D92,'Portfolio List'!$B$4:$I$76,6,FALSE()),""))</f>
        <v/>
      </c>
      <c r="G92" s="68" t="str">
        <f>IF(D92="","",IFERROR(VLOOKUP(D92,'Portfolio List'!$B$4:$I$76,7,FALSE()),""))</f>
        <v/>
      </c>
      <c r="H92" s="71" t="str">
        <f>IF(D92="","",IFERROR(VLOOKUP(D92,'Portfolio List'!$B$4:$I$76,4,FALSE()),""))</f>
        <v/>
      </c>
      <c r="I92" s="91"/>
      <c r="J92" s="84" t="str">
        <f t="shared" si="23"/>
        <v/>
      </c>
      <c r="K92" s="91"/>
      <c r="L92" s="85"/>
      <c r="M92" s="97"/>
      <c r="N92" s="180"/>
      <c r="O92" s="92"/>
      <c r="P92" s="87">
        <f>IF(D92="",0,IF(I92="LED Lighting",M92*IF(AC92="Studio",Assumptions!$C$15,IF(AC92="1 Bedroom",Assumptions!$C$16,IF(AC92="2 Bedroom",Assumptions!$C$17,IF(AC92="3 Bedroom",Assumptions!$C$18,Assumptions!$C$16))))*N92*365/1000,IFERROR(VLOOKUP(I92,Assumptions!$B$40:$H$50,2,FALSE()),0)*M92))</f>
        <v>0</v>
      </c>
      <c r="Q92" s="87">
        <f>IF(D92="",0,IFERROR(VLOOKUP(I92,Assumptions!$B$40:$H$50,3,FALSE()),0)*M92)</f>
        <v>0</v>
      </c>
      <c r="R92" s="77">
        <f>IF(G92="",0.2161,IFERROR(VLOOKUP(G92,Assumptions!$B$53:$C$61,2,FALSE())/100,0.2161))</f>
        <v>0.21609999999999999</v>
      </c>
      <c r="S92" s="77">
        <f>IF(G92="",0,IFERROR(VLOOKUP(G92,Assumptions!$B$64:$C$72,2,FALSE())/1000,0.008))</f>
        <v>0</v>
      </c>
      <c r="T92" s="93" t="str">
        <f t="shared" si="16"/>
        <v/>
      </c>
      <c r="U92" s="93" t="str">
        <f t="shared" si="17"/>
        <v/>
      </c>
      <c r="V92" s="93" t="str">
        <f t="shared" si="18"/>
        <v/>
      </c>
      <c r="W92" s="94" t="str">
        <f t="shared" si="19"/>
        <v/>
      </c>
      <c r="X92" s="88"/>
      <c r="Y92" s="87" t="str">
        <f>IF(D92="","",IFERROR(VLOOKUP(I92,Assumptions!$B$40:$H$50,6,FALSE()),0)*M92)</f>
        <v/>
      </c>
      <c r="Z92" s="87" t="str">
        <f>IF(D92="","",IFERROR(VLOOKUP(I92,Assumptions!$B$40:$H$50,7,FALSE()),0)*M92)</f>
        <v/>
      </c>
      <c r="AA92" s="96" t="str">
        <f t="shared" si="20"/>
        <v/>
      </c>
      <c r="AB92" s="84" t="str">
        <f t="shared" si="21"/>
        <v/>
      </c>
      <c r="AC92" s="99"/>
      <c r="AD92" s="99"/>
      <c r="AE92" s="99"/>
      <c r="AF92" s="98" t="str">
        <f t="shared" si="22"/>
        <v>-</v>
      </c>
    </row>
    <row r="93" spans="2:32" ht="14.25" customHeight="1" thickBot="1" x14ac:dyDescent="0.4">
      <c r="B93" s="84" t="str">
        <f t="shared" si="24"/>
        <v/>
      </c>
      <c r="C93" s="85"/>
      <c r="D93" s="91"/>
      <c r="E93" s="68" t="str">
        <f>IF(D93="","",IFERROR(VLOOKUP(D93,'Portfolio List'!$B$4:$I$76,5,FALSE()),""))</f>
        <v/>
      </c>
      <c r="F93" s="68" t="str">
        <f>IF(D93="","",IFERROR(VLOOKUP(D93,'Portfolio List'!$B$4:$I$76,6,FALSE()),""))</f>
        <v/>
      </c>
      <c r="G93" s="68" t="str">
        <f>IF(D93="","",IFERROR(VLOOKUP(D93,'Portfolio List'!$B$4:$I$76,7,FALSE()),""))</f>
        <v/>
      </c>
      <c r="H93" s="71" t="str">
        <f>IF(D93="","",IFERROR(VLOOKUP(D93,'Portfolio List'!$B$4:$I$76,4,FALSE()),""))</f>
        <v/>
      </c>
      <c r="I93" s="91"/>
      <c r="J93" s="84" t="str">
        <f t="shared" si="23"/>
        <v/>
      </c>
      <c r="K93" s="91"/>
      <c r="L93" s="85"/>
      <c r="M93" s="97"/>
      <c r="N93" s="180"/>
      <c r="O93" s="92"/>
      <c r="P93" s="87">
        <f>IF(D93="",0,IF(I93="LED Lighting",M93*IF(AC93="Studio",Assumptions!$C$15,IF(AC93="1 Bedroom",Assumptions!$C$16,IF(AC93="2 Bedroom",Assumptions!$C$17,IF(AC93="3 Bedroom",Assumptions!$C$18,Assumptions!$C$16))))*N93*365/1000,IFERROR(VLOOKUP(I93,Assumptions!$B$40:$H$50,2,FALSE()),0)*M93))</f>
        <v>0</v>
      </c>
      <c r="Q93" s="87">
        <f>IF(D93="",0,IFERROR(VLOOKUP(I93,Assumptions!$B$40:$H$50,3,FALSE()),0)*M93)</f>
        <v>0</v>
      </c>
      <c r="R93" s="77">
        <f>IF(G93="",0.2161,IFERROR(VLOOKUP(G93,Assumptions!$B$53:$C$61,2,FALSE())/100,0.2161))</f>
        <v>0.21609999999999999</v>
      </c>
      <c r="S93" s="77">
        <f>IF(G93="",0,IFERROR(VLOOKUP(G93,Assumptions!$B$64:$C$72,2,FALSE())/1000,0.008))</f>
        <v>0</v>
      </c>
      <c r="T93" s="93" t="str">
        <f t="shared" si="16"/>
        <v/>
      </c>
      <c r="U93" s="93" t="str">
        <f t="shared" si="17"/>
        <v/>
      </c>
      <c r="V93" s="93" t="str">
        <f t="shared" si="18"/>
        <v/>
      </c>
      <c r="W93" s="94" t="str">
        <f t="shared" si="19"/>
        <v/>
      </c>
      <c r="X93" s="88"/>
      <c r="Y93" s="87" t="str">
        <f>IF(D93="","",IFERROR(VLOOKUP(I93,Assumptions!$B$40:$H$50,6,FALSE()),0)*M93)</f>
        <v/>
      </c>
      <c r="Z93" s="87" t="str">
        <f>IF(D93="","",IFERROR(VLOOKUP(I93,Assumptions!$B$40:$H$50,7,FALSE()),0)*M93)</f>
        <v/>
      </c>
      <c r="AA93" s="96" t="str">
        <f t="shared" si="20"/>
        <v/>
      </c>
      <c r="AB93" s="84" t="str">
        <f t="shared" si="21"/>
        <v/>
      </c>
      <c r="AC93" s="99"/>
      <c r="AD93" s="99"/>
      <c r="AE93" s="99"/>
      <c r="AF93" s="98" t="str">
        <f t="shared" si="22"/>
        <v>-</v>
      </c>
    </row>
    <row r="94" spans="2:32" ht="14.25" customHeight="1" thickBot="1" x14ac:dyDescent="0.4">
      <c r="B94" s="84" t="str">
        <f t="shared" si="24"/>
        <v/>
      </c>
      <c r="C94" s="85"/>
      <c r="D94" s="91"/>
      <c r="E94" s="68" t="str">
        <f>IF(D94="","",IFERROR(VLOOKUP(D94,'Portfolio List'!$B$4:$I$76,5,FALSE()),""))</f>
        <v/>
      </c>
      <c r="F94" s="68" t="str">
        <f>IF(D94="","",IFERROR(VLOOKUP(D94,'Portfolio List'!$B$4:$I$76,6,FALSE()),""))</f>
        <v/>
      </c>
      <c r="G94" s="68" t="str">
        <f>IF(D94="","",IFERROR(VLOOKUP(D94,'Portfolio List'!$B$4:$I$76,7,FALSE()),""))</f>
        <v/>
      </c>
      <c r="H94" s="71" t="str">
        <f>IF(D94="","",IFERROR(VLOOKUP(D94,'Portfolio List'!$B$4:$I$76,4,FALSE()),""))</f>
        <v/>
      </c>
      <c r="I94" s="91"/>
      <c r="J94" s="84" t="str">
        <f t="shared" si="23"/>
        <v/>
      </c>
      <c r="K94" s="91"/>
      <c r="L94" s="85"/>
      <c r="M94" s="97"/>
      <c r="N94" s="180"/>
      <c r="O94" s="92"/>
      <c r="P94" s="87">
        <f>IF(D94="",0,IF(I94="LED Lighting",M94*IF(AC94="Studio",Assumptions!$C$15,IF(AC94="1 Bedroom",Assumptions!$C$16,IF(AC94="2 Bedroom",Assumptions!$C$17,IF(AC94="3 Bedroom",Assumptions!$C$18,Assumptions!$C$16))))*N94*365/1000,IFERROR(VLOOKUP(I94,Assumptions!$B$40:$H$50,2,FALSE()),0)*M94))</f>
        <v>0</v>
      </c>
      <c r="Q94" s="87">
        <f>IF(D94="",0,IFERROR(VLOOKUP(I94,Assumptions!$B$40:$H$50,3,FALSE()),0)*M94)</f>
        <v>0</v>
      </c>
      <c r="R94" s="77">
        <f>IF(G94="",0.2161,IFERROR(VLOOKUP(G94,Assumptions!$B$53:$C$61,2,FALSE())/100,0.2161))</f>
        <v>0.21609999999999999</v>
      </c>
      <c r="S94" s="77">
        <f>IF(G94="",0,IFERROR(VLOOKUP(G94,Assumptions!$B$64:$C$72,2,FALSE())/1000,0.008))</f>
        <v>0</v>
      </c>
      <c r="T94" s="93" t="str">
        <f t="shared" si="16"/>
        <v/>
      </c>
      <c r="U94" s="93" t="str">
        <f t="shared" si="17"/>
        <v/>
      </c>
      <c r="V94" s="93" t="str">
        <f t="shared" si="18"/>
        <v/>
      </c>
      <c r="W94" s="94" t="str">
        <f t="shared" si="19"/>
        <v/>
      </c>
      <c r="X94" s="88"/>
      <c r="Y94" s="87" t="str">
        <f>IF(D94="","",IFERROR(VLOOKUP(I94,Assumptions!$B$40:$H$50,6,FALSE()),0)*M94)</f>
        <v/>
      </c>
      <c r="Z94" s="87" t="str">
        <f>IF(D94="","",IFERROR(VLOOKUP(I94,Assumptions!$B$40:$H$50,7,FALSE()),0)*M94)</f>
        <v/>
      </c>
      <c r="AA94" s="96" t="str">
        <f t="shared" si="20"/>
        <v/>
      </c>
      <c r="AB94" s="84" t="str">
        <f t="shared" si="21"/>
        <v/>
      </c>
      <c r="AC94" s="99"/>
      <c r="AD94" s="99"/>
      <c r="AE94" s="99"/>
      <c r="AF94" s="98" t="str">
        <f t="shared" si="22"/>
        <v>-</v>
      </c>
    </row>
    <row r="95" spans="2:32" ht="14.25" customHeight="1" thickBot="1" x14ac:dyDescent="0.4">
      <c r="B95" s="84" t="str">
        <f t="shared" si="24"/>
        <v/>
      </c>
      <c r="C95" s="85"/>
      <c r="D95" s="91"/>
      <c r="E95" s="68" t="str">
        <f>IF(D95="","",IFERROR(VLOOKUP(D95,'Portfolio List'!$B$4:$I$76,5,FALSE()),""))</f>
        <v/>
      </c>
      <c r="F95" s="68" t="str">
        <f>IF(D95="","",IFERROR(VLOOKUP(D95,'Portfolio List'!$B$4:$I$76,6,FALSE()),""))</f>
        <v/>
      </c>
      <c r="G95" s="68" t="str">
        <f>IF(D95="","",IFERROR(VLOOKUP(D95,'Portfolio List'!$B$4:$I$76,7,FALSE()),""))</f>
        <v/>
      </c>
      <c r="H95" s="71" t="str">
        <f>IF(D95="","",IFERROR(VLOOKUP(D95,'Portfolio List'!$B$4:$I$76,4,FALSE()),""))</f>
        <v/>
      </c>
      <c r="I95" s="91"/>
      <c r="J95" s="84" t="str">
        <f t="shared" si="23"/>
        <v/>
      </c>
      <c r="K95" s="91"/>
      <c r="L95" s="85"/>
      <c r="M95" s="97"/>
      <c r="N95" s="180"/>
      <c r="O95" s="92"/>
      <c r="P95" s="87">
        <f>IF(D95="",0,IF(I95="LED Lighting",M95*IF(AC95="Studio",Assumptions!$C$15,IF(AC95="1 Bedroom",Assumptions!$C$16,IF(AC95="2 Bedroom",Assumptions!$C$17,IF(AC95="3 Bedroom",Assumptions!$C$18,Assumptions!$C$16))))*N95*365/1000,IFERROR(VLOOKUP(I95,Assumptions!$B$40:$H$50,2,FALSE()),0)*M95))</f>
        <v>0</v>
      </c>
      <c r="Q95" s="87">
        <f>IF(D95="",0,IFERROR(VLOOKUP(I95,Assumptions!$B$40:$H$50,3,FALSE()),0)*M95)</f>
        <v>0</v>
      </c>
      <c r="R95" s="77">
        <f>IF(G95="",0.2161,IFERROR(VLOOKUP(G95,Assumptions!$B$53:$C$61,2,FALSE())/100,0.2161))</f>
        <v>0.21609999999999999</v>
      </c>
      <c r="S95" s="77">
        <f>IF(G95="",0,IFERROR(VLOOKUP(G95,Assumptions!$B$64:$C$72,2,FALSE())/1000,0.008))</f>
        <v>0</v>
      </c>
      <c r="T95" s="93" t="str">
        <f t="shared" si="16"/>
        <v/>
      </c>
      <c r="U95" s="93" t="str">
        <f t="shared" si="17"/>
        <v/>
      </c>
      <c r="V95" s="93" t="str">
        <f t="shared" si="18"/>
        <v/>
      </c>
      <c r="W95" s="94" t="str">
        <f t="shared" si="19"/>
        <v/>
      </c>
      <c r="X95" s="88"/>
      <c r="Y95" s="87" t="str">
        <f>IF(D95="","",IFERROR(VLOOKUP(I95,Assumptions!$B$40:$H$50,6,FALSE()),0)*M95)</f>
        <v/>
      </c>
      <c r="Z95" s="87" t="str">
        <f>IF(D95="","",IFERROR(VLOOKUP(I95,Assumptions!$B$40:$H$50,7,FALSE()),0)*M95)</f>
        <v/>
      </c>
      <c r="AA95" s="96" t="str">
        <f t="shared" si="20"/>
        <v/>
      </c>
      <c r="AB95" s="84" t="str">
        <f t="shared" si="21"/>
        <v/>
      </c>
      <c r="AC95" s="99"/>
      <c r="AD95" s="99"/>
      <c r="AE95" s="99"/>
      <c r="AF95" s="98" t="str">
        <f t="shared" si="22"/>
        <v>-</v>
      </c>
    </row>
    <row r="96" spans="2:32" ht="14.25" customHeight="1" thickBot="1" x14ac:dyDescent="0.4">
      <c r="B96" s="84" t="str">
        <f t="shared" si="24"/>
        <v/>
      </c>
      <c r="C96" s="85"/>
      <c r="D96" s="91"/>
      <c r="E96" s="68" t="str">
        <f>IF(D96="","",IFERROR(VLOOKUP(D96,'Portfolio List'!$B$4:$I$76,5,FALSE()),""))</f>
        <v/>
      </c>
      <c r="F96" s="68" t="str">
        <f>IF(D96="","",IFERROR(VLOOKUP(D96,'Portfolio List'!$B$4:$I$76,6,FALSE()),""))</f>
        <v/>
      </c>
      <c r="G96" s="68" t="str">
        <f>IF(D96="","",IFERROR(VLOOKUP(D96,'Portfolio List'!$B$4:$I$76,7,FALSE()),""))</f>
        <v/>
      </c>
      <c r="H96" s="71" t="str">
        <f>IF(D96="","",IFERROR(VLOOKUP(D96,'Portfolio List'!$B$4:$I$76,4,FALSE()),""))</f>
        <v/>
      </c>
      <c r="I96" s="91"/>
      <c r="J96" s="84" t="str">
        <f t="shared" si="23"/>
        <v/>
      </c>
      <c r="K96" s="91"/>
      <c r="L96" s="85"/>
      <c r="M96" s="97"/>
      <c r="N96" s="180"/>
      <c r="O96" s="92"/>
      <c r="P96" s="87">
        <f>IF(D96="",0,IF(I96="LED Lighting",M96*IF(AC96="Studio",Assumptions!$C$15,IF(AC96="1 Bedroom",Assumptions!$C$16,IF(AC96="2 Bedroom",Assumptions!$C$17,IF(AC96="3 Bedroom",Assumptions!$C$18,Assumptions!$C$16))))*N96*365/1000,IFERROR(VLOOKUP(I96,Assumptions!$B$40:$H$50,2,FALSE()),0)*M96))</f>
        <v>0</v>
      </c>
      <c r="Q96" s="87">
        <f>IF(D96="",0,IFERROR(VLOOKUP(I96,Assumptions!$B$40:$H$50,3,FALSE()),0)*M96)</f>
        <v>0</v>
      </c>
      <c r="R96" s="77">
        <f>IF(G96="",0.2161,IFERROR(VLOOKUP(G96,Assumptions!$B$53:$C$61,2,FALSE())/100,0.2161))</f>
        <v>0.21609999999999999</v>
      </c>
      <c r="S96" s="77">
        <f>IF(G96="",0,IFERROR(VLOOKUP(G96,Assumptions!$B$64:$C$72,2,FALSE())/1000,0.008))</f>
        <v>0</v>
      </c>
      <c r="T96" s="93" t="str">
        <f t="shared" si="16"/>
        <v/>
      </c>
      <c r="U96" s="93" t="str">
        <f t="shared" si="17"/>
        <v/>
      </c>
      <c r="V96" s="93" t="str">
        <f t="shared" si="18"/>
        <v/>
      </c>
      <c r="W96" s="94" t="str">
        <f t="shared" si="19"/>
        <v/>
      </c>
      <c r="X96" s="88"/>
      <c r="Y96" s="87" t="str">
        <f>IF(D96="","",IFERROR(VLOOKUP(I96,Assumptions!$B$40:$H$50,6,FALSE()),0)*M96)</f>
        <v/>
      </c>
      <c r="Z96" s="87" t="str">
        <f>IF(D96="","",IFERROR(VLOOKUP(I96,Assumptions!$B$40:$H$50,7,FALSE()),0)*M96)</f>
        <v/>
      </c>
      <c r="AA96" s="96" t="str">
        <f t="shared" si="20"/>
        <v/>
      </c>
      <c r="AB96" s="84" t="str">
        <f t="shared" si="21"/>
        <v/>
      </c>
      <c r="AC96" s="99"/>
      <c r="AD96" s="99"/>
      <c r="AE96" s="99"/>
      <c r="AF96" s="98" t="str">
        <f t="shared" si="22"/>
        <v>-</v>
      </c>
    </row>
    <row r="97" spans="2:32" ht="14.25" customHeight="1" thickBot="1" x14ac:dyDescent="0.4">
      <c r="B97" s="84" t="str">
        <f t="shared" si="24"/>
        <v/>
      </c>
      <c r="C97" s="85"/>
      <c r="D97" s="91"/>
      <c r="E97" s="68" t="str">
        <f>IF(D97="","",IFERROR(VLOOKUP(D97,'Portfolio List'!$B$4:$I$76,5,FALSE()),""))</f>
        <v/>
      </c>
      <c r="F97" s="68" t="str">
        <f>IF(D97="","",IFERROR(VLOOKUP(D97,'Portfolio List'!$B$4:$I$76,6,FALSE()),""))</f>
        <v/>
      </c>
      <c r="G97" s="68" t="str">
        <f>IF(D97="","",IFERROR(VLOOKUP(D97,'Portfolio List'!$B$4:$I$76,7,FALSE()),""))</f>
        <v/>
      </c>
      <c r="H97" s="71" t="str">
        <f>IF(D97="","",IFERROR(VLOOKUP(D97,'Portfolio List'!$B$4:$I$76,4,FALSE()),""))</f>
        <v/>
      </c>
      <c r="I97" s="91"/>
      <c r="J97" s="84" t="str">
        <f t="shared" si="23"/>
        <v/>
      </c>
      <c r="K97" s="91"/>
      <c r="L97" s="85"/>
      <c r="M97" s="97"/>
      <c r="N97" s="180"/>
      <c r="O97" s="92"/>
      <c r="P97" s="87">
        <f>IF(D97="",0,IF(I97="LED Lighting",M97*IF(AC97="Studio",Assumptions!$C$15,IF(AC97="1 Bedroom",Assumptions!$C$16,IF(AC97="2 Bedroom",Assumptions!$C$17,IF(AC97="3 Bedroom",Assumptions!$C$18,Assumptions!$C$16))))*N97*365/1000,IFERROR(VLOOKUP(I97,Assumptions!$B$40:$H$50,2,FALSE()),0)*M97))</f>
        <v>0</v>
      </c>
      <c r="Q97" s="87">
        <f>IF(D97="",0,IFERROR(VLOOKUP(I97,Assumptions!$B$40:$H$50,3,FALSE()),0)*M97)</f>
        <v>0</v>
      </c>
      <c r="R97" s="77">
        <f>IF(G97="",0.2161,IFERROR(VLOOKUP(G97,Assumptions!$B$53:$C$61,2,FALSE())/100,0.2161))</f>
        <v>0.21609999999999999</v>
      </c>
      <c r="S97" s="77">
        <f>IF(G97="",0,IFERROR(VLOOKUP(G97,Assumptions!$B$64:$C$72,2,FALSE())/1000,0.008))</f>
        <v>0</v>
      </c>
      <c r="T97" s="93" t="str">
        <f t="shared" si="16"/>
        <v/>
      </c>
      <c r="U97" s="93" t="str">
        <f t="shared" si="17"/>
        <v/>
      </c>
      <c r="V97" s="93" t="str">
        <f t="shared" si="18"/>
        <v/>
      </c>
      <c r="W97" s="94" t="str">
        <f t="shared" si="19"/>
        <v/>
      </c>
      <c r="X97" s="88"/>
      <c r="Y97" s="87" t="str">
        <f>IF(D97="","",IFERROR(VLOOKUP(I97,Assumptions!$B$40:$H$50,6,FALSE()),0)*M97)</f>
        <v/>
      </c>
      <c r="Z97" s="87" t="str">
        <f>IF(D97="","",IFERROR(VLOOKUP(I97,Assumptions!$B$40:$H$50,7,FALSE()),0)*M97)</f>
        <v/>
      </c>
      <c r="AA97" s="96" t="str">
        <f t="shared" si="20"/>
        <v/>
      </c>
      <c r="AB97" s="84" t="str">
        <f t="shared" si="21"/>
        <v/>
      </c>
      <c r="AC97" s="99"/>
      <c r="AD97" s="99"/>
      <c r="AE97" s="99"/>
      <c r="AF97" s="98" t="str">
        <f t="shared" si="22"/>
        <v>-</v>
      </c>
    </row>
    <row r="98" spans="2:32" ht="14.25" customHeight="1" thickBot="1" x14ac:dyDescent="0.4">
      <c r="B98" s="84" t="str">
        <f t="shared" si="24"/>
        <v/>
      </c>
      <c r="C98" s="85"/>
      <c r="D98" s="91"/>
      <c r="E98" s="68" t="str">
        <f>IF(D98="","",IFERROR(VLOOKUP(D98,'Portfolio List'!$B$4:$I$76,5,FALSE()),""))</f>
        <v/>
      </c>
      <c r="F98" s="68" t="str">
        <f>IF(D98="","",IFERROR(VLOOKUP(D98,'Portfolio List'!$B$4:$I$76,6,FALSE()),""))</f>
        <v/>
      </c>
      <c r="G98" s="68" t="str">
        <f>IF(D98="","",IFERROR(VLOOKUP(D98,'Portfolio List'!$B$4:$I$76,7,FALSE()),""))</f>
        <v/>
      </c>
      <c r="H98" s="71" t="str">
        <f>IF(D98="","",IFERROR(VLOOKUP(D98,'Portfolio List'!$B$4:$I$76,4,FALSE()),""))</f>
        <v/>
      </c>
      <c r="I98" s="91"/>
      <c r="J98" s="84" t="str">
        <f t="shared" si="23"/>
        <v/>
      </c>
      <c r="K98" s="91"/>
      <c r="L98" s="85"/>
      <c r="M98" s="97"/>
      <c r="N98" s="180"/>
      <c r="O98" s="92"/>
      <c r="P98" s="87">
        <f>IF(D98="",0,IF(I98="LED Lighting",M98*IF(AC98="Studio",Assumptions!$C$15,IF(AC98="1 Bedroom",Assumptions!$C$16,IF(AC98="2 Bedroom",Assumptions!$C$17,IF(AC98="3 Bedroom",Assumptions!$C$18,Assumptions!$C$16))))*N98*365/1000,IFERROR(VLOOKUP(I98,Assumptions!$B$40:$H$50,2,FALSE()),0)*M98))</f>
        <v>0</v>
      </c>
      <c r="Q98" s="87">
        <f>IF(D98="",0,IFERROR(VLOOKUP(I98,Assumptions!$B$40:$H$50,3,FALSE()),0)*M98)</f>
        <v>0</v>
      </c>
      <c r="R98" s="77">
        <f>IF(G98="",0.2161,IFERROR(VLOOKUP(G98,Assumptions!$B$53:$C$61,2,FALSE())/100,0.2161))</f>
        <v>0.21609999999999999</v>
      </c>
      <c r="S98" s="77">
        <f>IF(G98="",0,IFERROR(VLOOKUP(G98,Assumptions!$B$64:$C$72,2,FALSE())/1000,0.008))</f>
        <v>0</v>
      </c>
      <c r="T98" s="93" t="str">
        <f t="shared" si="16"/>
        <v/>
      </c>
      <c r="U98" s="93" t="str">
        <f t="shared" si="17"/>
        <v/>
      </c>
      <c r="V98" s="93" t="str">
        <f t="shared" si="18"/>
        <v/>
      </c>
      <c r="W98" s="94" t="str">
        <f t="shared" si="19"/>
        <v/>
      </c>
      <c r="X98" s="88"/>
      <c r="Y98" s="87" t="str">
        <f>IF(D98="","",IFERROR(VLOOKUP(I98,Assumptions!$B$40:$H$50,6,FALSE()),0)*M98)</f>
        <v/>
      </c>
      <c r="Z98" s="87" t="str">
        <f>IF(D98="","",IFERROR(VLOOKUP(I98,Assumptions!$B$40:$H$50,7,FALSE()),0)*M98)</f>
        <v/>
      </c>
      <c r="AA98" s="96" t="str">
        <f t="shared" si="20"/>
        <v/>
      </c>
      <c r="AB98" s="84" t="str">
        <f t="shared" si="21"/>
        <v/>
      </c>
      <c r="AC98" s="99"/>
      <c r="AD98" s="99"/>
      <c r="AE98" s="99"/>
      <c r="AF98" s="98" t="str">
        <f t="shared" si="22"/>
        <v>-</v>
      </c>
    </row>
    <row r="99" spans="2:32" ht="14.25" customHeight="1" thickBot="1" x14ac:dyDescent="0.4">
      <c r="B99" s="84" t="str">
        <f t="shared" si="24"/>
        <v/>
      </c>
      <c r="C99" s="85"/>
      <c r="D99" s="91"/>
      <c r="E99" s="68" t="str">
        <f>IF(D99="","",IFERROR(VLOOKUP(D99,'Portfolio List'!$B$4:$I$76,5,FALSE()),""))</f>
        <v/>
      </c>
      <c r="F99" s="68" t="str">
        <f>IF(D99="","",IFERROR(VLOOKUP(D99,'Portfolio List'!$B$4:$I$76,6,FALSE()),""))</f>
        <v/>
      </c>
      <c r="G99" s="68" t="str">
        <f>IF(D99="","",IFERROR(VLOOKUP(D99,'Portfolio List'!$B$4:$I$76,7,FALSE()),""))</f>
        <v/>
      </c>
      <c r="H99" s="71" t="str">
        <f>IF(D99="","",IFERROR(VLOOKUP(D99,'Portfolio List'!$B$4:$I$76,4,FALSE()),""))</f>
        <v/>
      </c>
      <c r="I99" s="91"/>
      <c r="J99" s="84" t="str">
        <f t="shared" si="23"/>
        <v/>
      </c>
      <c r="K99" s="91"/>
      <c r="L99" s="85"/>
      <c r="M99" s="97"/>
      <c r="N99" s="180"/>
      <c r="O99" s="92"/>
      <c r="P99" s="87">
        <f>IF(D99="",0,IF(I99="LED Lighting",M99*IF(AC99="Studio",Assumptions!$C$15,IF(AC99="1 Bedroom",Assumptions!$C$16,IF(AC99="2 Bedroom",Assumptions!$C$17,IF(AC99="3 Bedroom",Assumptions!$C$18,Assumptions!$C$16))))*N99*365/1000,IFERROR(VLOOKUP(I99,Assumptions!$B$40:$H$50,2,FALSE()),0)*M99))</f>
        <v>0</v>
      </c>
      <c r="Q99" s="87">
        <f>IF(D99="",0,IFERROR(VLOOKUP(I99,Assumptions!$B$40:$H$50,3,FALSE()),0)*M99)</f>
        <v>0</v>
      </c>
      <c r="R99" s="77">
        <f>IF(G99="",0.2161,IFERROR(VLOOKUP(G99,Assumptions!$B$53:$C$61,2,FALSE())/100,0.2161))</f>
        <v>0.21609999999999999</v>
      </c>
      <c r="S99" s="77">
        <f>IF(G99="",0,IFERROR(VLOOKUP(G99,Assumptions!$B$64:$C$72,2,FALSE())/1000,0.008))</f>
        <v>0</v>
      </c>
      <c r="T99" s="93" t="str">
        <f t="shared" si="16"/>
        <v/>
      </c>
      <c r="U99" s="93" t="str">
        <f t="shared" si="17"/>
        <v/>
      </c>
      <c r="V99" s="93" t="str">
        <f t="shared" si="18"/>
        <v/>
      </c>
      <c r="W99" s="94" t="str">
        <f t="shared" si="19"/>
        <v/>
      </c>
      <c r="X99" s="88"/>
      <c r="Y99" s="87" t="str">
        <f>IF(D99="","",IFERROR(VLOOKUP(I99,Assumptions!$B$40:$H$50,6,FALSE()),0)*M99)</f>
        <v/>
      </c>
      <c r="Z99" s="87" t="str">
        <f>IF(D99="","",IFERROR(VLOOKUP(I99,Assumptions!$B$40:$H$50,7,FALSE()),0)*M99)</f>
        <v/>
      </c>
      <c r="AA99" s="96" t="str">
        <f t="shared" si="20"/>
        <v/>
      </c>
      <c r="AB99" s="84" t="str">
        <f t="shared" si="21"/>
        <v/>
      </c>
      <c r="AC99" s="99"/>
      <c r="AD99" s="99"/>
      <c r="AE99" s="99"/>
      <c r="AF99" s="98" t="str">
        <f t="shared" si="22"/>
        <v>-</v>
      </c>
    </row>
    <row r="100" spans="2:32" ht="14.25" customHeight="1" thickBot="1" x14ac:dyDescent="0.4">
      <c r="B100" s="84" t="str">
        <f t="shared" si="24"/>
        <v/>
      </c>
      <c r="C100" s="85"/>
      <c r="D100" s="91"/>
      <c r="E100" s="68" t="str">
        <f>IF(D100="","",IFERROR(VLOOKUP(D100,'Portfolio List'!$B$4:$I$76,5,FALSE()),""))</f>
        <v/>
      </c>
      <c r="F100" s="68" t="str">
        <f>IF(D100="","",IFERROR(VLOOKUP(D100,'Portfolio List'!$B$4:$I$76,6,FALSE()),""))</f>
        <v/>
      </c>
      <c r="G100" s="68" t="str">
        <f>IF(D100="","",IFERROR(VLOOKUP(D100,'Portfolio List'!$B$4:$I$76,7,FALSE()),""))</f>
        <v/>
      </c>
      <c r="H100" s="71" t="str">
        <f>IF(D100="","",IFERROR(VLOOKUP(D100,'Portfolio List'!$B$4:$I$76,4,FALSE()),""))</f>
        <v/>
      </c>
      <c r="I100" s="91"/>
      <c r="J100" s="84" t="str">
        <f t="shared" si="23"/>
        <v/>
      </c>
      <c r="K100" s="91"/>
      <c r="L100" s="85"/>
      <c r="M100" s="97"/>
      <c r="N100" s="180"/>
      <c r="O100" s="92"/>
      <c r="P100" s="87">
        <f>IF(D100="",0,IF(I100="LED Lighting",M100*IF(AC100="Studio",Assumptions!$C$15,IF(AC100="1 Bedroom",Assumptions!$C$16,IF(AC100="2 Bedroom",Assumptions!$C$17,IF(AC100="3 Bedroom",Assumptions!$C$18,Assumptions!$C$16))))*N100*365/1000,IFERROR(VLOOKUP(I100,Assumptions!$B$40:$H$50,2,FALSE()),0)*M100))</f>
        <v>0</v>
      </c>
      <c r="Q100" s="87">
        <f>IF(D100="",0,IFERROR(VLOOKUP(I100,Assumptions!$B$40:$H$50,3,FALSE()),0)*M100)</f>
        <v>0</v>
      </c>
      <c r="R100" s="77">
        <f>IF(G100="",0.2161,IFERROR(VLOOKUP(G100,Assumptions!$B$53:$C$61,2,FALSE())/100,0.2161))</f>
        <v>0.21609999999999999</v>
      </c>
      <c r="S100" s="77">
        <f>IF(G100="",0,IFERROR(VLOOKUP(G100,Assumptions!$B$64:$C$72,2,FALSE())/1000,0.008))</f>
        <v>0</v>
      </c>
      <c r="T100" s="93" t="str">
        <f t="shared" si="16"/>
        <v/>
      </c>
      <c r="U100" s="93" t="str">
        <f t="shared" si="17"/>
        <v/>
      </c>
      <c r="V100" s="93" t="str">
        <f t="shared" si="18"/>
        <v/>
      </c>
      <c r="W100" s="94" t="str">
        <f t="shared" si="19"/>
        <v/>
      </c>
      <c r="X100" s="88"/>
      <c r="Y100" s="87" t="str">
        <f>IF(D100="","",IFERROR(VLOOKUP(I100,Assumptions!$B$40:$H$50,6,FALSE()),0)*M100)</f>
        <v/>
      </c>
      <c r="Z100" s="87" t="str">
        <f>IF(D100="","",IFERROR(VLOOKUP(I100,Assumptions!$B$40:$H$50,7,FALSE()),0)*M100)</f>
        <v/>
      </c>
      <c r="AA100" s="96" t="str">
        <f t="shared" si="20"/>
        <v/>
      </c>
      <c r="AB100" s="84" t="str">
        <f t="shared" si="21"/>
        <v/>
      </c>
      <c r="AC100" s="99"/>
      <c r="AD100" s="99"/>
      <c r="AE100" s="99"/>
      <c r="AF100" s="98" t="str">
        <f t="shared" si="22"/>
        <v>-</v>
      </c>
    </row>
    <row r="101" spans="2:32" ht="14.25" customHeight="1" thickBot="1" x14ac:dyDescent="0.4">
      <c r="B101" s="84" t="str">
        <f t="shared" si="24"/>
        <v/>
      </c>
      <c r="C101" s="85"/>
      <c r="D101" s="91"/>
      <c r="E101" s="68" t="str">
        <f>IF(D101="","",IFERROR(VLOOKUP(D101,'Portfolio List'!$B$4:$I$76,5,FALSE()),""))</f>
        <v/>
      </c>
      <c r="F101" s="68" t="str">
        <f>IF(D101="","",IFERROR(VLOOKUP(D101,'Portfolio List'!$B$4:$I$76,6,FALSE()),""))</f>
        <v/>
      </c>
      <c r="G101" s="68" t="str">
        <f>IF(D101="","",IFERROR(VLOOKUP(D101,'Portfolio List'!$B$4:$I$76,7,FALSE()),""))</f>
        <v/>
      </c>
      <c r="H101" s="71" t="str">
        <f>IF(D101="","",IFERROR(VLOOKUP(D101,'Portfolio List'!$B$4:$I$76,4,FALSE()),""))</f>
        <v/>
      </c>
      <c r="I101" s="91"/>
      <c r="J101" s="84" t="str">
        <f t="shared" si="23"/>
        <v/>
      </c>
      <c r="K101" s="91"/>
      <c r="L101" s="85"/>
      <c r="M101" s="97"/>
      <c r="N101" s="180"/>
      <c r="O101" s="92"/>
      <c r="P101" s="87">
        <f>IF(D101="",0,IF(I101="LED Lighting",M101*IF(AC101="Studio",Assumptions!$C$15,IF(AC101="1 Bedroom",Assumptions!$C$16,IF(AC101="2 Bedroom",Assumptions!$C$17,IF(AC101="3 Bedroom",Assumptions!$C$18,Assumptions!$C$16))))*N101*365/1000,IFERROR(VLOOKUP(I101,Assumptions!$B$40:$H$50,2,FALSE()),0)*M101))</f>
        <v>0</v>
      </c>
      <c r="Q101" s="87">
        <f>IF(D101="",0,IFERROR(VLOOKUP(I101,Assumptions!$B$40:$H$50,3,FALSE()),0)*M101)</f>
        <v>0</v>
      </c>
      <c r="R101" s="77">
        <f>IF(G101="",0.2161,IFERROR(VLOOKUP(G101,Assumptions!$B$53:$C$61,2,FALSE())/100,0.2161))</f>
        <v>0.21609999999999999</v>
      </c>
      <c r="S101" s="77">
        <f>IF(G101="",0,IFERROR(VLOOKUP(G101,Assumptions!$B$64:$C$72,2,FALSE())/1000,0.008))</f>
        <v>0</v>
      </c>
      <c r="T101" s="93" t="str">
        <f t="shared" si="16"/>
        <v/>
      </c>
      <c r="U101" s="93" t="str">
        <f t="shared" si="17"/>
        <v/>
      </c>
      <c r="V101" s="93" t="str">
        <f t="shared" si="18"/>
        <v/>
      </c>
      <c r="W101" s="94" t="str">
        <f t="shared" si="19"/>
        <v/>
      </c>
      <c r="X101" s="88"/>
      <c r="Y101" s="87" t="str">
        <f>IF(D101="","",IFERROR(VLOOKUP(I101,Assumptions!$B$40:$H$50,6,FALSE()),0)*M101)</f>
        <v/>
      </c>
      <c r="Z101" s="87" t="str">
        <f>IF(D101="","",IFERROR(VLOOKUP(I101,Assumptions!$B$40:$H$50,7,FALSE()),0)*M101)</f>
        <v/>
      </c>
      <c r="AA101" s="96" t="str">
        <f t="shared" si="20"/>
        <v/>
      </c>
      <c r="AB101" s="84" t="str">
        <f t="shared" si="21"/>
        <v/>
      </c>
      <c r="AC101" s="99"/>
      <c r="AD101" s="99"/>
      <c r="AE101" s="99"/>
      <c r="AF101" s="98" t="str">
        <f t="shared" si="22"/>
        <v>-</v>
      </c>
    </row>
    <row r="102" spans="2:32" ht="14.25" customHeight="1" thickBot="1" x14ac:dyDescent="0.4">
      <c r="B102" s="84" t="str">
        <f t="shared" si="24"/>
        <v/>
      </c>
      <c r="C102" s="85"/>
      <c r="D102" s="91"/>
      <c r="E102" s="68" t="str">
        <f>IF(D102="","",IFERROR(VLOOKUP(D102,'Portfolio List'!$B$4:$I$76,5,FALSE()),""))</f>
        <v/>
      </c>
      <c r="F102" s="68" t="str">
        <f>IF(D102="","",IFERROR(VLOOKUP(D102,'Portfolio List'!$B$4:$I$76,6,FALSE()),""))</f>
        <v/>
      </c>
      <c r="G102" s="68" t="str">
        <f>IF(D102="","",IFERROR(VLOOKUP(D102,'Portfolio List'!$B$4:$I$76,7,FALSE()),""))</f>
        <v/>
      </c>
      <c r="H102" s="71" t="str">
        <f>IF(D102="","",IFERROR(VLOOKUP(D102,'Portfolio List'!$B$4:$I$76,4,FALSE()),""))</f>
        <v/>
      </c>
      <c r="I102" s="91"/>
      <c r="J102" s="84" t="str">
        <f t="shared" si="23"/>
        <v/>
      </c>
      <c r="K102" s="91"/>
      <c r="L102" s="85"/>
      <c r="M102" s="97"/>
      <c r="N102" s="180"/>
      <c r="O102" s="92"/>
      <c r="P102" s="87">
        <f>IF(D102="",0,IF(I102="LED Lighting",M102*IF(AC102="Studio",Assumptions!$C$15,IF(AC102="1 Bedroom",Assumptions!$C$16,IF(AC102="2 Bedroom",Assumptions!$C$17,IF(AC102="3 Bedroom",Assumptions!$C$18,Assumptions!$C$16))))*N102*365/1000,IFERROR(VLOOKUP(I102,Assumptions!$B$40:$H$50,2,FALSE()),0)*M102))</f>
        <v>0</v>
      </c>
      <c r="Q102" s="87">
        <f>IF(D102="",0,IFERROR(VLOOKUP(I102,Assumptions!$B$40:$H$50,3,FALSE()),0)*M102)</f>
        <v>0</v>
      </c>
      <c r="R102" s="77">
        <f>IF(G102="",0.2161,IFERROR(VLOOKUP(G102,Assumptions!$B$53:$C$61,2,FALSE())/100,0.2161))</f>
        <v>0.21609999999999999</v>
      </c>
      <c r="S102" s="77">
        <f>IF(G102="",0,IFERROR(VLOOKUP(G102,Assumptions!$B$64:$C$72,2,FALSE())/1000,0.008))</f>
        <v>0</v>
      </c>
      <c r="T102" s="93" t="str">
        <f t="shared" ref="T102:T133" si="25">IF(D102="","",P102*R102)</f>
        <v/>
      </c>
      <c r="U102" s="93" t="str">
        <f t="shared" ref="U102:U133" si="26">IF(D102="","",Q102*S102)</f>
        <v/>
      </c>
      <c r="V102" s="93" t="str">
        <f t="shared" ref="V102:V133" si="27">IF(D102="","",T102+U102)</f>
        <v/>
      </c>
      <c r="W102" s="94" t="str">
        <f t="shared" ref="W102:W133" si="28">IF(OR(D102="",O102="",O102&lt;=0,V102="",V102&lt;=0),"",IFERROR(O102/V102,""))</f>
        <v/>
      </c>
      <c r="X102" s="88"/>
      <c r="Y102" s="87" t="str">
        <f>IF(D102="","",IFERROR(VLOOKUP(I102,Assumptions!$B$40:$H$50,6,FALSE()),0)*M102)</f>
        <v/>
      </c>
      <c r="Z102" s="87" t="str">
        <f>IF(D102="","",IFERROR(VLOOKUP(I102,Assumptions!$B$40:$H$50,7,FALSE()),0)*M102)</f>
        <v/>
      </c>
      <c r="AA102" s="96" t="str">
        <f t="shared" ref="AA102:AA133" si="29">IF(L102="","",YEAR(L102))</f>
        <v/>
      </c>
      <c r="AB102" s="84" t="str">
        <f t="shared" ref="AB102:AB133" si="30">IF(L102="","","Q"&amp;INT((MONTH(L102)+2)/3))</f>
        <v/>
      </c>
      <c r="AC102" s="99"/>
      <c r="AD102" s="99"/>
      <c r="AE102" s="99"/>
      <c r="AF102" s="98" t="str">
        <f t="shared" ref="AF102:AF133" si="31">IFERROR(AE102/AD102,"-")</f>
        <v>-</v>
      </c>
    </row>
    <row r="103" spans="2:32" ht="14.25" customHeight="1" thickBot="1" x14ac:dyDescent="0.4">
      <c r="B103" s="84" t="str">
        <f t="shared" si="24"/>
        <v/>
      </c>
      <c r="C103" s="85"/>
      <c r="D103" s="91"/>
      <c r="E103" s="68" t="str">
        <f>IF(D103="","",IFERROR(VLOOKUP(D103,'Portfolio List'!$B$4:$I$76,5,FALSE()),""))</f>
        <v/>
      </c>
      <c r="F103" s="68" t="str">
        <f>IF(D103="","",IFERROR(VLOOKUP(D103,'Portfolio List'!$B$4:$I$76,6,FALSE()),""))</f>
        <v/>
      </c>
      <c r="G103" s="68" t="str">
        <f>IF(D103="","",IFERROR(VLOOKUP(D103,'Portfolio List'!$B$4:$I$76,7,FALSE()),""))</f>
        <v/>
      </c>
      <c r="H103" s="71" t="str">
        <f>IF(D103="","",IFERROR(VLOOKUP(D103,'Portfolio List'!$B$4:$I$76,4,FALSE()),""))</f>
        <v/>
      </c>
      <c r="I103" s="91"/>
      <c r="J103" s="84" t="str">
        <f t="shared" si="23"/>
        <v/>
      </c>
      <c r="K103" s="91"/>
      <c r="L103" s="85"/>
      <c r="M103" s="97"/>
      <c r="N103" s="180"/>
      <c r="O103" s="92"/>
      <c r="P103" s="87">
        <f>IF(D103="",0,IF(I103="LED Lighting",M103*IF(AC103="Studio",Assumptions!$C$15,IF(AC103="1 Bedroom",Assumptions!$C$16,IF(AC103="2 Bedroom",Assumptions!$C$17,IF(AC103="3 Bedroom",Assumptions!$C$18,Assumptions!$C$16))))*N103*365/1000,IFERROR(VLOOKUP(I103,Assumptions!$B$40:$H$50,2,FALSE()),0)*M103))</f>
        <v>0</v>
      </c>
      <c r="Q103" s="87">
        <f>IF(D103="",0,IFERROR(VLOOKUP(I103,Assumptions!$B$40:$H$50,3,FALSE()),0)*M103)</f>
        <v>0</v>
      </c>
      <c r="R103" s="77">
        <f>IF(G103="",0.2161,IFERROR(VLOOKUP(G103,Assumptions!$B$53:$C$61,2,FALSE())/100,0.2161))</f>
        <v>0.21609999999999999</v>
      </c>
      <c r="S103" s="77">
        <f>IF(G103="",0,IFERROR(VLOOKUP(G103,Assumptions!$B$64:$C$72,2,FALSE())/1000,0.008))</f>
        <v>0</v>
      </c>
      <c r="T103" s="93" t="str">
        <f t="shared" si="25"/>
        <v/>
      </c>
      <c r="U103" s="93" t="str">
        <f t="shared" si="26"/>
        <v/>
      </c>
      <c r="V103" s="93" t="str">
        <f t="shared" si="27"/>
        <v/>
      </c>
      <c r="W103" s="94" t="str">
        <f t="shared" si="28"/>
        <v/>
      </c>
      <c r="X103" s="88"/>
      <c r="Y103" s="87" t="str">
        <f>IF(D103="","",IFERROR(VLOOKUP(I103,Assumptions!$B$40:$H$50,6,FALSE()),0)*M103)</f>
        <v/>
      </c>
      <c r="Z103" s="87" t="str">
        <f>IF(D103="","",IFERROR(VLOOKUP(I103,Assumptions!$B$40:$H$50,7,FALSE()),0)*M103)</f>
        <v/>
      </c>
      <c r="AA103" s="96" t="str">
        <f t="shared" si="29"/>
        <v/>
      </c>
      <c r="AB103" s="84" t="str">
        <f t="shared" si="30"/>
        <v/>
      </c>
      <c r="AC103" s="99"/>
      <c r="AD103" s="99"/>
      <c r="AE103" s="99"/>
      <c r="AF103" s="98" t="str">
        <f t="shared" si="31"/>
        <v>-</v>
      </c>
    </row>
    <row r="104" spans="2:32" ht="14.25" customHeight="1" thickBot="1" x14ac:dyDescent="0.4">
      <c r="B104" s="84" t="str">
        <f t="shared" si="24"/>
        <v/>
      </c>
      <c r="C104" s="85"/>
      <c r="D104" s="91"/>
      <c r="E104" s="68" t="str">
        <f>IF(D104="","",IFERROR(VLOOKUP(D104,'Portfolio List'!$B$4:$I$76,5,FALSE()),""))</f>
        <v/>
      </c>
      <c r="F104" s="68" t="str">
        <f>IF(D104="","",IFERROR(VLOOKUP(D104,'Portfolio List'!$B$4:$I$76,6,FALSE()),""))</f>
        <v/>
      </c>
      <c r="G104" s="68" t="str">
        <f>IF(D104="","",IFERROR(VLOOKUP(D104,'Portfolio List'!$B$4:$I$76,7,FALSE()),""))</f>
        <v/>
      </c>
      <c r="H104" s="71" t="str">
        <f>IF(D104="","",IFERROR(VLOOKUP(D104,'Portfolio List'!$B$4:$I$76,4,FALSE()),""))</f>
        <v/>
      </c>
      <c r="I104" s="91"/>
      <c r="J104" s="84" t="str">
        <f t="shared" si="23"/>
        <v/>
      </c>
      <c r="K104" s="91"/>
      <c r="L104" s="85"/>
      <c r="M104" s="97"/>
      <c r="N104" s="180"/>
      <c r="O104" s="92"/>
      <c r="P104" s="87">
        <f>IF(D104="",0,IF(I104="LED Lighting",M104*IF(AC104="Studio",Assumptions!$C$15,IF(AC104="1 Bedroom",Assumptions!$C$16,IF(AC104="2 Bedroom",Assumptions!$C$17,IF(AC104="3 Bedroom",Assumptions!$C$18,Assumptions!$C$16))))*N104*365/1000,IFERROR(VLOOKUP(I104,Assumptions!$B$40:$H$50,2,FALSE()),0)*M104))</f>
        <v>0</v>
      </c>
      <c r="Q104" s="87">
        <f>IF(D104="",0,IFERROR(VLOOKUP(I104,Assumptions!$B$40:$H$50,3,FALSE()),0)*M104)</f>
        <v>0</v>
      </c>
      <c r="R104" s="77">
        <f>IF(G104="",0.2161,IFERROR(VLOOKUP(G104,Assumptions!$B$53:$C$61,2,FALSE())/100,0.2161))</f>
        <v>0.21609999999999999</v>
      </c>
      <c r="S104" s="77">
        <f>IF(G104="",0,IFERROR(VLOOKUP(G104,Assumptions!$B$64:$C$72,2,FALSE())/1000,0.008))</f>
        <v>0</v>
      </c>
      <c r="T104" s="93" t="str">
        <f t="shared" si="25"/>
        <v/>
      </c>
      <c r="U104" s="93" t="str">
        <f t="shared" si="26"/>
        <v/>
      </c>
      <c r="V104" s="93" t="str">
        <f t="shared" si="27"/>
        <v/>
      </c>
      <c r="W104" s="94" t="str">
        <f t="shared" si="28"/>
        <v/>
      </c>
      <c r="X104" s="88"/>
      <c r="Y104" s="87" t="str">
        <f>IF(D104="","",IFERROR(VLOOKUP(I104,Assumptions!$B$40:$H$50,6,FALSE()),0)*M104)</f>
        <v/>
      </c>
      <c r="Z104" s="87" t="str">
        <f>IF(D104="","",IFERROR(VLOOKUP(I104,Assumptions!$B$40:$H$50,7,FALSE()),0)*M104)</f>
        <v/>
      </c>
      <c r="AA104" s="96" t="str">
        <f t="shared" si="29"/>
        <v/>
      </c>
      <c r="AB104" s="84" t="str">
        <f t="shared" si="30"/>
        <v/>
      </c>
      <c r="AC104" s="99"/>
      <c r="AD104" s="99"/>
      <c r="AE104" s="99"/>
      <c r="AF104" s="98" t="str">
        <f t="shared" si="31"/>
        <v>-</v>
      </c>
    </row>
    <row r="105" spans="2:32" ht="14.25" customHeight="1" thickBot="1" x14ac:dyDescent="0.4">
      <c r="B105" s="84" t="str">
        <f t="shared" si="24"/>
        <v/>
      </c>
      <c r="C105" s="85"/>
      <c r="D105" s="91"/>
      <c r="E105" s="68" t="str">
        <f>IF(D105="","",IFERROR(VLOOKUP(D105,'Portfolio List'!$B$4:$I$76,5,FALSE()),""))</f>
        <v/>
      </c>
      <c r="F105" s="68" t="str">
        <f>IF(D105="","",IFERROR(VLOOKUP(D105,'Portfolio List'!$B$4:$I$76,6,FALSE()),""))</f>
        <v/>
      </c>
      <c r="G105" s="68" t="str">
        <f>IF(D105="","",IFERROR(VLOOKUP(D105,'Portfolio List'!$B$4:$I$76,7,FALSE()),""))</f>
        <v/>
      </c>
      <c r="H105" s="71" t="str">
        <f>IF(D105="","",IFERROR(VLOOKUP(D105,'Portfolio List'!$B$4:$I$76,4,FALSE()),""))</f>
        <v/>
      </c>
      <c r="I105" s="91"/>
      <c r="J105" s="84" t="str">
        <f t="shared" si="23"/>
        <v/>
      </c>
      <c r="K105" s="91"/>
      <c r="L105" s="85"/>
      <c r="M105" s="97"/>
      <c r="N105" s="180"/>
      <c r="O105" s="92"/>
      <c r="P105" s="87">
        <f>IF(D105="",0,IF(I105="LED Lighting",M105*IF(AC105="Studio",Assumptions!$C$15,IF(AC105="1 Bedroom",Assumptions!$C$16,IF(AC105="2 Bedroom",Assumptions!$C$17,IF(AC105="3 Bedroom",Assumptions!$C$18,Assumptions!$C$16))))*N105*365/1000,IFERROR(VLOOKUP(I105,Assumptions!$B$40:$H$50,2,FALSE()),0)*M105))</f>
        <v>0</v>
      </c>
      <c r="Q105" s="87">
        <f>IF(D105="",0,IFERROR(VLOOKUP(I105,Assumptions!$B$40:$H$50,3,FALSE()),0)*M105)</f>
        <v>0</v>
      </c>
      <c r="R105" s="77">
        <f>IF(G105="",0.2161,IFERROR(VLOOKUP(G105,Assumptions!$B$53:$C$61,2,FALSE())/100,0.2161))</f>
        <v>0.21609999999999999</v>
      </c>
      <c r="S105" s="77">
        <f>IF(G105="",0,IFERROR(VLOOKUP(G105,Assumptions!$B$64:$C$72,2,FALSE())/1000,0.008))</f>
        <v>0</v>
      </c>
      <c r="T105" s="93" t="str">
        <f t="shared" si="25"/>
        <v/>
      </c>
      <c r="U105" s="93" t="str">
        <f t="shared" si="26"/>
        <v/>
      </c>
      <c r="V105" s="93" t="str">
        <f t="shared" si="27"/>
        <v/>
      </c>
      <c r="W105" s="94" t="str">
        <f t="shared" si="28"/>
        <v/>
      </c>
      <c r="X105" s="88"/>
      <c r="Y105" s="87" t="str">
        <f>IF(D105="","",IFERROR(VLOOKUP(I105,Assumptions!$B$40:$H$50,6,FALSE()),0)*M105)</f>
        <v/>
      </c>
      <c r="Z105" s="87" t="str">
        <f>IF(D105="","",IFERROR(VLOOKUP(I105,Assumptions!$B$40:$H$50,7,FALSE()),0)*M105)</f>
        <v/>
      </c>
      <c r="AA105" s="96" t="str">
        <f t="shared" si="29"/>
        <v/>
      </c>
      <c r="AB105" s="84" t="str">
        <f t="shared" si="30"/>
        <v/>
      </c>
      <c r="AC105" s="99"/>
      <c r="AD105" s="99"/>
      <c r="AE105" s="99"/>
      <c r="AF105" s="98" t="str">
        <f t="shared" si="31"/>
        <v>-</v>
      </c>
    </row>
    <row r="106" spans="2:32" ht="14.25" customHeight="1" thickBot="1" x14ac:dyDescent="0.4">
      <c r="B106" s="84" t="str">
        <f t="shared" si="24"/>
        <v/>
      </c>
      <c r="C106" s="85"/>
      <c r="D106" s="91"/>
      <c r="E106" s="68" t="str">
        <f>IF(D106="","",IFERROR(VLOOKUP(D106,'Portfolio List'!$B$4:$I$76,5,FALSE()),""))</f>
        <v/>
      </c>
      <c r="F106" s="68" t="str">
        <f>IF(D106="","",IFERROR(VLOOKUP(D106,'Portfolio List'!$B$4:$I$76,6,FALSE()),""))</f>
        <v/>
      </c>
      <c r="G106" s="68" t="str">
        <f>IF(D106="","",IFERROR(VLOOKUP(D106,'Portfolio List'!$B$4:$I$76,7,FALSE()),""))</f>
        <v/>
      </c>
      <c r="H106" s="71" t="str">
        <f>IF(D106="","",IFERROR(VLOOKUP(D106,'Portfolio List'!$B$4:$I$76,4,FALSE()),""))</f>
        <v/>
      </c>
      <c r="I106" s="91"/>
      <c r="J106" s="84" t="str">
        <f t="shared" si="23"/>
        <v/>
      </c>
      <c r="K106" s="91"/>
      <c r="L106" s="85"/>
      <c r="M106" s="97"/>
      <c r="N106" s="180"/>
      <c r="O106" s="92"/>
      <c r="P106" s="87">
        <f>IF(D106="",0,IF(I106="LED Lighting",M106*IF(AC106="Studio",Assumptions!$C$15,IF(AC106="1 Bedroom",Assumptions!$C$16,IF(AC106="2 Bedroom",Assumptions!$C$17,IF(AC106="3 Bedroom",Assumptions!$C$18,Assumptions!$C$16))))*N106*365/1000,IFERROR(VLOOKUP(I106,Assumptions!$B$40:$H$50,2,FALSE()),0)*M106))</f>
        <v>0</v>
      </c>
      <c r="Q106" s="87">
        <f>IF(D106="",0,IFERROR(VLOOKUP(I106,Assumptions!$B$40:$H$50,3,FALSE()),0)*M106)</f>
        <v>0</v>
      </c>
      <c r="R106" s="77">
        <f>IF(G106="",0.2161,IFERROR(VLOOKUP(G106,Assumptions!$B$53:$C$61,2,FALSE())/100,0.2161))</f>
        <v>0.21609999999999999</v>
      </c>
      <c r="S106" s="77">
        <f>IF(G106="",0,IFERROR(VLOOKUP(G106,Assumptions!$B$64:$C$72,2,FALSE())/1000,0.008))</f>
        <v>0</v>
      </c>
      <c r="T106" s="93" t="str">
        <f t="shared" si="25"/>
        <v/>
      </c>
      <c r="U106" s="93" t="str">
        <f t="shared" si="26"/>
        <v/>
      </c>
      <c r="V106" s="93" t="str">
        <f t="shared" si="27"/>
        <v/>
      </c>
      <c r="W106" s="94" t="str">
        <f t="shared" si="28"/>
        <v/>
      </c>
      <c r="X106" s="88"/>
      <c r="Y106" s="87" t="str">
        <f>IF(D106="","",IFERROR(VLOOKUP(I106,Assumptions!$B$40:$H$50,6,FALSE()),0)*M106)</f>
        <v/>
      </c>
      <c r="Z106" s="87" t="str">
        <f>IF(D106="","",IFERROR(VLOOKUP(I106,Assumptions!$B$40:$H$50,7,FALSE()),0)*M106)</f>
        <v/>
      </c>
      <c r="AA106" s="96" t="str">
        <f t="shared" si="29"/>
        <v/>
      </c>
      <c r="AB106" s="84" t="str">
        <f t="shared" si="30"/>
        <v/>
      </c>
      <c r="AC106" s="99"/>
      <c r="AD106" s="99"/>
      <c r="AE106" s="99"/>
      <c r="AF106" s="98" t="str">
        <f t="shared" si="31"/>
        <v>-</v>
      </c>
    </row>
    <row r="107" spans="2:32" ht="14.25" customHeight="1" thickBot="1" x14ac:dyDescent="0.4">
      <c r="B107" s="84" t="str">
        <f t="shared" si="24"/>
        <v/>
      </c>
      <c r="C107" s="85"/>
      <c r="D107" s="91"/>
      <c r="E107" s="68" t="str">
        <f>IF(D107="","",IFERROR(VLOOKUP(D107,'Portfolio List'!$B$4:$I$76,5,FALSE()),""))</f>
        <v/>
      </c>
      <c r="F107" s="68" t="str">
        <f>IF(D107="","",IFERROR(VLOOKUP(D107,'Portfolio List'!$B$4:$I$76,6,FALSE()),""))</f>
        <v/>
      </c>
      <c r="G107" s="68" t="str">
        <f>IF(D107="","",IFERROR(VLOOKUP(D107,'Portfolio List'!$B$4:$I$76,7,FALSE()),""))</f>
        <v/>
      </c>
      <c r="H107" s="71" t="str">
        <f>IF(D107="","",IFERROR(VLOOKUP(D107,'Portfolio List'!$B$4:$I$76,4,FALSE()),""))</f>
        <v/>
      </c>
      <c r="I107" s="91"/>
      <c r="J107" s="84" t="str">
        <f t="shared" si="23"/>
        <v/>
      </c>
      <c r="K107" s="91"/>
      <c r="L107" s="85"/>
      <c r="M107" s="97"/>
      <c r="N107" s="180"/>
      <c r="O107" s="92"/>
      <c r="P107" s="87">
        <f>IF(D107="",0,IF(I107="LED Lighting",M107*IF(AC107="Studio",Assumptions!$C$15,IF(AC107="1 Bedroom",Assumptions!$C$16,IF(AC107="2 Bedroom",Assumptions!$C$17,IF(AC107="3 Bedroom",Assumptions!$C$18,Assumptions!$C$16))))*N107*365/1000,IFERROR(VLOOKUP(I107,Assumptions!$B$40:$H$50,2,FALSE()),0)*M107))</f>
        <v>0</v>
      </c>
      <c r="Q107" s="87">
        <f>IF(D107="",0,IFERROR(VLOOKUP(I107,Assumptions!$B$40:$H$50,3,FALSE()),0)*M107)</f>
        <v>0</v>
      </c>
      <c r="R107" s="77">
        <f>IF(G107="",0.2161,IFERROR(VLOOKUP(G107,Assumptions!$B$53:$C$61,2,FALSE())/100,0.2161))</f>
        <v>0.21609999999999999</v>
      </c>
      <c r="S107" s="77">
        <f>IF(G107="",0,IFERROR(VLOOKUP(G107,Assumptions!$B$64:$C$72,2,FALSE())/1000,0.008))</f>
        <v>0</v>
      </c>
      <c r="T107" s="93" t="str">
        <f t="shared" si="25"/>
        <v/>
      </c>
      <c r="U107" s="93" t="str">
        <f t="shared" si="26"/>
        <v/>
      </c>
      <c r="V107" s="93" t="str">
        <f t="shared" si="27"/>
        <v/>
      </c>
      <c r="W107" s="94" t="str">
        <f t="shared" si="28"/>
        <v/>
      </c>
      <c r="X107" s="88"/>
      <c r="Y107" s="87" t="str">
        <f>IF(D107="","",IFERROR(VLOOKUP(I107,Assumptions!$B$40:$H$50,6,FALSE()),0)*M107)</f>
        <v/>
      </c>
      <c r="Z107" s="87" t="str">
        <f>IF(D107="","",IFERROR(VLOOKUP(I107,Assumptions!$B$40:$H$50,7,FALSE()),0)*M107)</f>
        <v/>
      </c>
      <c r="AA107" s="96" t="str">
        <f t="shared" si="29"/>
        <v/>
      </c>
      <c r="AB107" s="84" t="str">
        <f t="shared" si="30"/>
        <v/>
      </c>
      <c r="AC107" s="99"/>
      <c r="AD107" s="99"/>
      <c r="AE107" s="99"/>
      <c r="AF107" s="98" t="str">
        <f t="shared" si="31"/>
        <v>-</v>
      </c>
    </row>
    <row r="108" spans="2:32" ht="14.25" customHeight="1" thickBot="1" x14ac:dyDescent="0.4">
      <c r="B108" s="84" t="str">
        <f t="shared" si="24"/>
        <v/>
      </c>
      <c r="C108" s="85"/>
      <c r="D108" s="91"/>
      <c r="E108" s="68" t="str">
        <f>IF(D108="","",IFERROR(VLOOKUP(D108,'Portfolio List'!$B$4:$I$76,5,FALSE()),""))</f>
        <v/>
      </c>
      <c r="F108" s="68" t="str">
        <f>IF(D108="","",IFERROR(VLOOKUP(D108,'Portfolio List'!$B$4:$I$76,6,FALSE()),""))</f>
        <v/>
      </c>
      <c r="G108" s="68" t="str">
        <f>IF(D108="","",IFERROR(VLOOKUP(D108,'Portfolio List'!$B$4:$I$76,7,FALSE()),""))</f>
        <v/>
      </c>
      <c r="H108" s="71" t="str">
        <f>IF(D108="","",IFERROR(VLOOKUP(D108,'Portfolio List'!$B$4:$I$76,4,FALSE()),""))</f>
        <v/>
      </c>
      <c r="I108" s="91"/>
      <c r="J108" s="84" t="str">
        <f t="shared" si="23"/>
        <v/>
      </c>
      <c r="K108" s="91"/>
      <c r="L108" s="85"/>
      <c r="M108" s="97"/>
      <c r="N108" s="180"/>
      <c r="O108" s="92"/>
      <c r="P108" s="87">
        <f>IF(D108="",0,IF(I108="LED Lighting",M108*IF(AC108="Studio",Assumptions!$C$15,IF(AC108="1 Bedroom",Assumptions!$C$16,IF(AC108="2 Bedroom",Assumptions!$C$17,IF(AC108="3 Bedroom",Assumptions!$C$18,Assumptions!$C$16))))*N108*365/1000,IFERROR(VLOOKUP(I108,Assumptions!$B$40:$H$50,2,FALSE()),0)*M108))</f>
        <v>0</v>
      </c>
      <c r="Q108" s="87">
        <f>IF(D108="",0,IFERROR(VLOOKUP(I108,Assumptions!$B$40:$H$50,3,FALSE()),0)*M108)</f>
        <v>0</v>
      </c>
      <c r="R108" s="77">
        <f>IF(G108="",0.2161,IFERROR(VLOOKUP(G108,Assumptions!$B$53:$C$61,2,FALSE())/100,0.2161))</f>
        <v>0.21609999999999999</v>
      </c>
      <c r="S108" s="77">
        <f>IF(G108="",0,IFERROR(VLOOKUP(G108,Assumptions!$B$64:$C$72,2,FALSE())/1000,0.008))</f>
        <v>0</v>
      </c>
      <c r="T108" s="93" t="str">
        <f t="shared" si="25"/>
        <v/>
      </c>
      <c r="U108" s="93" t="str">
        <f t="shared" si="26"/>
        <v/>
      </c>
      <c r="V108" s="93" t="str">
        <f t="shared" si="27"/>
        <v/>
      </c>
      <c r="W108" s="94" t="str">
        <f t="shared" si="28"/>
        <v/>
      </c>
      <c r="X108" s="88"/>
      <c r="Y108" s="87" t="str">
        <f>IF(D108="","",IFERROR(VLOOKUP(I108,Assumptions!$B$40:$H$50,6,FALSE()),0)*M108)</f>
        <v/>
      </c>
      <c r="Z108" s="87" t="str">
        <f>IF(D108="","",IFERROR(VLOOKUP(I108,Assumptions!$B$40:$H$50,7,FALSE()),0)*M108)</f>
        <v/>
      </c>
      <c r="AA108" s="96" t="str">
        <f t="shared" si="29"/>
        <v/>
      </c>
      <c r="AB108" s="84" t="str">
        <f t="shared" si="30"/>
        <v/>
      </c>
      <c r="AC108" s="99"/>
      <c r="AD108" s="99"/>
      <c r="AE108" s="99"/>
      <c r="AF108" s="98" t="str">
        <f t="shared" si="31"/>
        <v>-</v>
      </c>
    </row>
    <row r="109" spans="2:32" ht="14.25" customHeight="1" thickBot="1" x14ac:dyDescent="0.4">
      <c r="B109" s="84" t="str">
        <f t="shared" si="24"/>
        <v/>
      </c>
      <c r="C109" s="85"/>
      <c r="D109" s="91"/>
      <c r="E109" s="68" t="str">
        <f>IF(D109="","",IFERROR(VLOOKUP(D109,'Portfolio List'!$B$4:$I$76,5,FALSE()),""))</f>
        <v/>
      </c>
      <c r="F109" s="68" t="str">
        <f>IF(D109="","",IFERROR(VLOOKUP(D109,'Portfolio List'!$B$4:$I$76,6,FALSE()),""))</f>
        <v/>
      </c>
      <c r="G109" s="68" t="str">
        <f>IF(D109="","",IFERROR(VLOOKUP(D109,'Portfolio List'!$B$4:$I$76,7,FALSE()),""))</f>
        <v/>
      </c>
      <c r="H109" s="71" t="str">
        <f>IF(D109="","",IFERROR(VLOOKUP(D109,'Portfolio List'!$B$4:$I$76,4,FALSE()),""))</f>
        <v/>
      </c>
      <c r="I109" s="91"/>
      <c r="J109" s="84" t="str">
        <f t="shared" si="23"/>
        <v/>
      </c>
      <c r="K109" s="91"/>
      <c r="L109" s="85"/>
      <c r="M109" s="97"/>
      <c r="N109" s="180"/>
      <c r="O109" s="92"/>
      <c r="P109" s="87">
        <f>IF(D109="",0,IF(I109="LED Lighting",M109*IF(AC109="Studio",Assumptions!$C$15,IF(AC109="1 Bedroom",Assumptions!$C$16,IF(AC109="2 Bedroom",Assumptions!$C$17,IF(AC109="3 Bedroom",Assumptions!$C$18,Assumptions!$C$16))))*N109*365/1000,IFERROR(VLOOKUP(I109,Assumptions!$B$40:$H$50,2,FALSE()),0)*M109))</f>
        <v>0</v>
      </c>
      <c r="Q109" s="87">
        <f>IF(D109="",0,IFERROR(VLOOKUP(I109,Assumptions!$B$40:$H$50,3,FALSE()),0)*M109)</f>
        <v>0</v>
      </c>
      <c r="R109" s="77">
        <f>IF(G109="",0.2161,IFERROR(VLOOKUP(G109,Assumptions!$B$53:$C$61,2,FALSE())/100,0.2161))</f>
        <v>0.21609999999999999</v>
      </c>
      <c r="S109" s="77">
        <f>IF(G109="",0,IFERROR(VLOOKUP(G109,Assumptions!$B$64:$C$72,2,FALSE())/1000,0.008))</f>
        <v>0</v>
      </c>
      <c r="T109" s="93" t="str">
        <f t="shared" si="25"/>
        <v/>
      </c>
      <c r="U109" s="93" t="str">
        <f t="shared" si="26"/>
        <v/>
      </c>
      <c r="V109" s="93" t="str">
        <f t="shared" si="27"/>
        <v/>
      </c>
      <c r="W109" s="94" t="str">
        <f t="shared" si="28"/>
        <v/>
      </c>
      <c r="X109" s="88"/>
      <c r="Y109" s="87" t="str">
        <f>IF(D109="","",IFERROR(VLOOKUP(I109,Assumptions!$B$40:$H$50,6,FALSE()),0)*M109)</f>
        <v/>
      </c>
      <c r="Z109" s="87" t="str">
        <f>IF(D109="","",IFERROR(VLOOKUP(I109,Assumptions!$B$40:$H$50,7,FALSE()),0)*M109)</f>
        <v/>
      </c>
      <c r="AA109" s="96" t="str">
        <f t="shared" si="29"/>
        <v/>
      </c>
      <c r="AB109" s="84" t="str">
        <f t="shared" si="30"/>
        <v/>
      </c>
      <c r="AC109" s="99"/>
      <c r="AD109" s="99"/>
      <c r="AE109" s="99"/>
      <c r="AF109" s="98" t="str">
        <f t="shared" si="31"/>
        <v>-</v>
      </c>
    </row>
    <row r="110" spans="2:32" ht="14.25" customHeight="1" thickBot="1" x14ac:dyDescent="0.4">
      <c r="B110" s="84" t="str">
        <f t="shared" si="24"/>
        <v/>
      </c>
      <c r="C110" s="85"/>
      <c r="D110" s="91"/>
      <c r="E110" s="68" t="str">
        <f>IF(D110="","",IFERROR(VLOOKUP(D110,'Portfolio List'!$B$4:$I$76,5,FALSE()),""))</f>
        <v/>
      </c>
      <c r="F110" s="68" t="str">
        <f>IF(D110="","",IFERROR(VLOOKUP(D110,'Portfolio List'!$B$4:$I$76,6,FALSE()),""))</f>
        <v/>
      </c>
      <c r="G110" s="68" t="str">
        <f>IF(D110="","",IFERROR(VLOOKUP(D110,'Portfolio List'!$B$4:$I$76,7,FALSE()),""))</f>
        <v/>
      </c>
      <c r="H110" s="71" t="str">
        <f>IF(D110="","",IFERROR(VLOOKUP(D110,'Portfolio List'!$B$4:$I$76,4,FALSE()),""))</f>
        <v/>
      </c>
      <c r="I110" s="91"/>
      <c r="J110" s="84" t="str">
        <f t="shared" si="23"/>
        <v/>
      </c>
      <c r="K110" s="91"/>
      <c r="L110" s="85"/>
      <c r="M110" s="97"/>
      <c r="N110" s="180"/>
      <c r="O110" s="92"/>
      <c r="P110" s="87">
        <f>IF(D110="",0,IF(I110="LED Lighting",M110*IF(AC110="Studio",Assumptions!$C$15,IF(AC110="1 Bedroom",Assumptions!$C$16,IF(AC110="2 Bedroom",Assumptions!$C$17,IF(AC110="3 Bedroom",Assumptions!$C$18,Assumptions!$C$16))))*N110*365/1000,IFERROR(VLOOKUP(I110,Assumptions!$B$40:$H$50,2,FALSE()),0)*M110))</f>
        <v>0</v>
      </c>
      <c r="Q110" s="87">
        <f>IF(D110="",0,IFERROR(VLOOKUP(I110,Assumptions!$B$40:$H$50,3,FALSE()),0)*M110)</f>
        <v>0</v>
      </c>
      <c r="R110" s="77">
        <f>IF(G110="",0.2161,IFERROR(VLOOKUP(G110,Assumptions!$B$53:$C$61,2,FALSE())/100,0.2161))</f>
        <v>0.21609999999999999</v>
      </c>
      <c r="S110" s="77">
        <f>IF(G110="",0,IFERROR(VLOOKUP(G110,Assumptions!$B$64:$C$72,2,FALSE())/1000,0.008))</f>
        <v>0</v>
      </c>
      <c r="T110" s="93" t="str">
        <f t="shared" si="25"/>
        <v/>
      </c>
      <c r="U110" s="93" t="str">
        <f t="shared" si="26"/>
        <v/>
      </c>
      <c r="V110" s="93" t="str">
        <f t="shared" si="27"/>
        <v/>
      </c>
      <c r="W110" s="94" t="str">
        <f t="shared" si="28"/>
        <v/>
      </c>
      <c r="X110" s="88"/>
      <c r="Y110" s="87" t="str">
        <f>IF(D110="","",IFERROR(VLOOKUP(I110,Assumptions!$B$40:$H$50,6,FALSE()),0)*M110)</f>
        <v/>
      </c>
      <c r="Z110" s="87" t="str">
        <f>IF(D110="","",IFERROR(VLOOKUP(I110,Assumptions!$B$40:$H$50,7,FALSE()),0)*M110)</f>
        <v/>
      </c>
      <c r="AA110" s="96" t="str">
        <f t="shared" si="29"/>
        <v/>
      </c>
      <c r="AB110" s="84" t="str">
        <f t="shared" si="30"/>
        <v/>
      </c>
      <c r="AC110" s="99"/>
      <c r="AD110" s="99"/>
      <c r="AE110" s="99"/>
      <c r="AF110" s="98" t="str">
        <f t="shared" si="31"/>
        <v>-</v>
      </c>
    </row>
    <row r="111" spans="2:32" ht="14.25" customHeight="1" thickBot="1" x14ac:dyDescent="0.4">
      <c r="B111" s="84" t="str">
        <f t="shared" si="24"/>
        <v/>
      </c>
      <c r="C111" s="85"/>
      <c r="D111" s="91"/>
      <c r="E111" s="68" t="str">
        <f>IF(D111="","",IFERROR(VLOOKUP(D111,'Portfolio List'!$B$4:$I$76,5,FALSE()),""))</f>
        <v/>
      </c>
      <c r="F111" s="68" t="str">
        <f>IF(D111="","",IFERROR(VLOOKUP(D111,'Portfolio List'!$B$4:$I$76,6,FALSE()),""))</f>
        <v/>
      </c>
      <c r="G111" s="68" t="str">
        <f>IF(D111="","",IFERROR(VLOOKUP(D111,'Portfolio List'!$B$4:$I$76,7,FALSE()),""))</f>
        <v/>
      </c>
      <c r="H111" s="71" t="str">
        <f>IF(D111="","",IFERROR(VLOOKUP(D111,'Portfolio List'!$B$4:$I$76,4,FALSE()),""))</f>
        <v/>
      </c>
      <c r="I111" s="91"/>
      <c r="J111" s="84" t="str">
        <f t="shared" si="23"/>
        <v/>
      </c>
      <c r="K111" s="91"/>
      <c r="L111" s="85"/>
      <c r="M111" s="97"/>
      <c r="N111" s="180"/>
      <c r="O111" s="92"/>
      <c r="P111" s="87">
        <f>IF(D111="",0,IF(I111="LED Lighting",M111*IF(AC111="Studio",Assumptions!$C$15,IF(AC111="1 Bedroom",Assumptions!$C$16,IF(AC111="2 Bedroom",Assumptions!$C$17,IF(AC111="3 Bedroom",Assumptions!$C$18,Assumptions!$C$16))))*N111*365/1000,IFERROR(VLOOKUP(I111,Assumptions!$B$40:$H$50,2,FALSE()),0)*M111))</f>
        <v>0</v>
      </c>
      <c r="Q111" s="87">
        <f>IF(D111="",0,IFERROR(VLOOKUP(I111,Assumptions!$B$40:$H$50,3,FALSE()),0)*M111)</f>
        <v>0</v>
      </c>
      <c r="R111" s="77">
        <f>IF(G111="",0.2161,IFERROR(VLOOKUP(G111,Assumptions!$B$53:$C$61,2,FALSE())/100,0.2161))</f>
        <v>0.21609999999999999</v>
      </c>
      <c r="S111" s="77">
        <f>IF(G111="",0,IFERROR(VLOOKUP(G111,Assumptions!$B$64:$C$72,2,FALSE())/1000,0.008))</f>
        <v>0</v>
      </c>
      <c r="T111" s="93" t="str">
        <f t="shared" si="25"/>
        <v/>
      </c>
      <c r="U111" s="93" t="str">
        <f t="shared" si="26"/>
        <v/>
      </c>
      <c r="V111" s="93" t="str">
        <f t="shared" si="27"/>
        <v/>
      </c>
      <c r="W111" s="94" t="str">
        <f t="shared" si="28"/>
        <v/>
      </c>
      <c r="X111" s="88"/>
      <c r="Y111" s="87" t="str">
        <f>IF(D111="","",IFERROR(VLOOKUP(I111,Assumptions!$B$40:$H$50,6,FALSE()),0)*M111)</f>
        <v/>
      </c>
      <c r="Z111" s="87" t="str">
        <f>IF(D111="","",IFERROR(VLOOKUP(I111,Assumptions!$B$40:$H$50,7,FALSE()),0)*M111)</f>
        <v/>
      </c>
      <c r="AA111" s="96" t="str">
        <f t="shared" si="29"/>
        <v/>
      </c>
      <c r="AB111" s="84" t="str">
        <f t="shared" si="30"/>
        <v/>
      </c>
      <c r="AC111" s="99"/>
      <c r="AD111" s="99"/>
      <c r="AE111" s="99"/>
      <c r="AF111" s="98" t="str">
        <f t="shared" si="31"/>
        <v>-</v>
      </c>
    </row>
    <row r="112" spans="2:32" ht="14.25" customHeight="1" thickBot="1" x14ac:dyDescent="0.4">
      <c r="B112" s="84" t="str">
        <f t="shared" si="24"/>
        <v/>
      </c>
      <c r="C112" s="85"/>
      <c r="D112" s="91"/>
      <c r="E112" s="68" t="str">
        <f>IF(D112="","",IFERROR(VLOOKUP(D112,'Portfolio List'!$B$4:$I$76,5,FALSE()),""))</f>
        <v/>
      </c>
      <c r="F112" s="68" t="str">
        <f>IF(D112="","",IFERROR(VLOOKUP(D112,'Portfolio List'!$B$4:$I$76,6,FALSE()),""))</f>
        <v/>
      </c>
      <c r="G112" s="68" t="str">
        <f>IF(D112="","",IFERROR(VLOOKUP(D112,'Portfolio List'!$B$4:$I$76,7,FALSE()),""))</f>
        <v/>
      </c>
      <c r="H112" s="71" t="str">
        <f>IF(D112="","",IFERROR(VLOOKUP(D112,'Portfolio List'!$B$4:$I$76,4,FALSE()),""))</f>
        <v/>
      </c>
      <c r="I112" s="91"/>
      <c r="J112" s="84" t="str">
        <f t="shared" si="23"/>
        <v/>
      </c>
      <c r="K112" s="91"/>
      <c r="L112" s="85"/>
      <c r="M112" s="97"/>
      <c r="N112" s="180"/>
      <c r="O112" s="92"/>
      <c r="P112" s="87">
        <f>IF(D112="",0,IF(I112="LED Lighting",M112*IF(AC112="Studio",Assumptions!$C$15,IF(AC112="1 Bedroom",Assumptions!$C$16,IF(AC112="2 Bedroom",Assumptions!$C$17,IF(AC112="3 Bedroom",Assumptions!$C$18,Assumptions!$C$16))))*N112*365/1000,IFERROR(VLOOKUP(I112,Assumptions!$B$40:$H$50,2,FALSE()),0)*M112))</f>
        <v>0</v>
      </c>
      <c r="Q112" s="87">
        <f>IF(D112="",0,IFERROR(VLOOKUP(I112,Assumptions!$B$40:$H$50,3,FALSE()),0)*M112)</f>
        <v>0</v>
      </c>
      <c r="R112" s="77">
        <f>IF(G112="",0.2161,IFERROR(VLOOKUP(G112,Assumptions!$B$53:$C$61,2,FALSE())/100,0.2161))</f>
        <v>0.21609999999999999</v>
      </c>
      <c r="S112" s="77">
        <f>IF(G112="",0,IFERROR(VLOOKUP(G112,Assumptions!$B$64:$C$72,2,FALSE())/1000,0.008))</f>
        <v>0</v>
      </c>
      <c r="T112" s="93" t="str">
        <f t="shared" si="25"/>
        <v/>
      </c>
      <c r="U112" s="93" t="str">
        <f t="shared" si="26"/>
        <v/>
      </c>
      <c r="V112" s="93" t="str">
        <f t="shared" si="27"/>
        <v/>
      </c>
      <c r="W112" s="94" t="str">
        <f t="shared" si="28"/>
        <v/>
      </c>
      <c r="X112" s="88"/>
      <c r="Y112" s="87" t="str">
        <f>IF(D112="","",IFERROR(VLOOKUP(I112,Assumptions!$B$40:$H$50,6,FALSE()),0)*M112)</f>
        <v/>
      </c>
      <c r="Z112" s="87" t="str">
        <f>IF(D112="","",IFERROR(VLOOKUP(I112,Assumptions!$B$40:$H$50,7,FALSE()),0)*M112)</f>
        <v/>
      </c>
      <c r="AA112" s="96" t="str">
        <f t="shared" si="29"/>
        <v/>
      </c>
      <c r="AB112" s="84" t="str">
        <f t="shared" si="30"/>
        <v/>
      </c>
      <c r="AC112" s="99"/>
      <c r="AD112" s="99"/>
      <c r="AE112" s="99"/>
      <c r="AF112" s="98" t="str">
        <f t="shared" si="31"/>
        <v>-</v>
      </c>
    </row>
    <row r="113" spans="2:32" ht="14.25" customHeight="1" thickBot="1" x14ac:dyDescent="0.4">
      <c r="B113" s="84" t="str">
        <f t="shared" si="24"/>
        <v/>
      </c>
      <c r="C113" s="85"/>
      <c r="D113" s="91"/>
      <c r="E113" s="68" t="str">
        <f>IF(D113="","",IFERROR(VLOOKUP(D113,'Portfolio List'!$B$4:$I$76,5,FALSE()),""))</f>
        <v/>
      </c>
      <c r="F113" s="68" t="str">
        <f>IF(D113="","",IFERROR(VLOOKUP(D113,'Portfolio List'!$B$4:$I$76,6,FALSE()),""))</f>
        <v/>
      </c>
      <c r="G113" s="68" t="str">
        <f>IF(D113="","",IFERROR(VLOOKUP(D113,'Portfolio List'!$B$4:$I$76,7,FALSE()),""))</f>
        <v/>
      </c>
      <c r="H113" s="71" t="str">
        <f>IF(D113="","",IFERROR(VLOOKUP(D113,'Portfolio List'!$B$4:$I$76,4,FALSE()),""))</f>
        <v/>
      </c>
      <c r="I113" s="91"/>
      <c r="J113" s="84" t="str">
        <f t="shared" si="23"/>
        <v/>
      </c>
      <c r="K113" s="91"/>
      <c r="L113" s="85"/>
      <c r="M113" s="97"/>
      <c r="N113" s="180"/>
      <c r="O113" s="92"/>
      <c r="P113" s="87">
        <f>IF(D113="",0,IF(I113="LED Lighting",M113*IF(AC113="Studio",Assumptions!$C$15,IF(AC113="1 Bedroom",Assumptions!$C$16,IF(AC113="2 Bedroom",Assumptions!$C$17,IF(AC113="3 Bedroom",Assumptions!$C$18,Assumptions!$C$16))))*N113*365/1000,IFERROR(VLOOKUP(I113,Assumptions!$B$40:$H$50,2,FALSE()),0)*M113))</f>
        <v>0</v>
      </c>
      <c r="Q113" s="87">
        <f>IF(D113="",0,IFERROR(VLOOKUP(I113,Assumptions!$B$40:$H$50,3,FALSE()),0)*M113)</f>
        <v>0</v>
      </c>
      <c r="R113" s="77">
        <f>IF(G113="",0.2161,IFERROR(VLOOKUP(G113,Assumptions!$B$53:$C$61,2,FALSE())/100,0.2161))</f>
        <v>0.21609999999999999</v>
      </c>
      <c r="S113" s="77">
        <f>IF(G113="",0,IFERROR(VLOOKUP(G113,Assumptions!$B$64:$C$72,2,FALSE())/1000,0.008))</f>
        <v>0</v>
      </c>
      <c r="T113" s="93" t="str">
        <f t="shared" si="25"/>
        <v/>
      </c>
      <c r="U113" s="93" t="str">
        <f t="shared" si="26"/>
        <v/>
      </c>
      <c r="V113" s="93" t="str">
        <f t="shared" si="27"/>
        <v/>
      </c>
      <c r="W113" s="94" t="str">
        <f t="shared" si="28"/>
        <v/>
      </c>
      <c r="X113" s="88"/>
      <c r="Y113" s="87" t="str">
        <f>IF(D113="","",IFERROR(VLOOKUP(I113,Assumptions!$B$40:$H$50,6,FALSE()),0)*M113)</f>
        <v/>
      </c>
      <c r="Z113" s="87" t="str">
        <f>IF(D113="","",IFERROR(VLOOKUP(I113,Assumptions!$B$40:$H$50,7,FALSE()),0)*M113)</f>
        <v/>
      </c>
      <c r="AA113" s="96" t="str">
        <f t="shared" si="29"/>
        <v/>
      </c>
      <c r="AB113" s="84" t="str">
        <f t="shared" si="30"/>
        <v/>
      </c>
      <c r="AC113" s="99"/>
      <c r="AD113" s="99"/>
      <c r="AE113" s="99"/>
      <c r="AF113" s="98" t="str">
        <f t="shared" si="31"/>
        <v>-</v>
      </c>
    </row>
    <row r="114" spans="2:32" ht="14.25" customHeight="1" thickBot="1" x14ac:dyDescent="0.4">
      <c r="B114" s="84" t="str">
        <f t="shared" si="24"/>
        <v/>
      </c>
      <c r="C114" s="85"/>
      <c r="D114" s="91"/>
      <c r="E114" s="68" t="str">
        <f>IF(D114="","",IFERROR(VLOOKUP(D114,'Portfolio List'!$B$4:$I$76,5,FALSE()),""))</f>
        <v/>
      </c>
      <c r="F114" s="68" t="str">
        <f>IF(D114="","",IFERROR(VLOOKUP(D114,'Portfolio List'!$B$4:$I$76,6,FALSE()),""))</f>
        <v/>
      </c>
      <c r="G114" s="68" t="str">
        <f>IF(D114="","",IFERROR(VLOOKUP(D114,'Portfolio List'!$B$4:$I$76,7,FALSE()),""))</f>
        <v/>
      </c>
      <c r="H114" s="71" t="str">
        <f>IF(D114="","",IFERROR(VLOOKUP(D114,'Portfolio List'!$B$4:$I$76,4,FALSE()),""))</f>
        <v/>
      </c>
      <c r="I114" s="91"/>
      <c r="J114" s="84" t="str">
        <f t="shared" si="23"/>
        <v/>
      </c>
      <c r="K114" s="91"/>
      <c r="L114" s="85"/>
      <c r="M114" s="97"/>
      <c r="N114" s="180"/>
      <c r="O114" s="92"/>
      <c r="P114" s="87">
        <f>IF(D114="",0,IF(I114="LED Lighting",M114*IF(AC114="Studio",Assumptions!$C$15,IF(AC114="1 Bedroom",Assumptions!$C$16,IF(AC114="2 Bedroom",Assumptions!$C$17,IF(AC114="3 Bedroom",Assumptions!$C$18,Assumptions!$C$16))))*N114*365/1000,IFERROR(VLOOKUP(I114,Assumptions!$B$40:$H$50,2,FALSE()),0)*M114))</f>
        <v>0</v>
      </c>
      <c r="Q114" s="87">
        <f>IF(D114="",0,IFERROR(VLOOKUP(I114,Assumptions!$B$40:$H$50,3,FALSE()),0)*M114)</f>
        <v>0</v>
      </c>
      <c r="R114" s="77">
        <f>IF(G114="",0.2161,IFERROR(VLOOKUP(G114,Assumptions!$B$53:$C$61,2,FALSE())/100,0.2161))</f>
        <v>0.21609999999999999</v>
      </c>
      <c r="S114" s="77">
        <f>IF(G114="",0,IFERROR(VLOOKUP(G114,Assumptions!$B$64:$C$72,2,FALSE())/1000,0.008))</f>
        <v>0</v>
      </c>
      <c r="T114" s="93" t="str">
        <f t="shared" si="25"/>
        <v/>
      </c>
      <c r="U114" s="93" t="str">
        <f t="shared" si="26"/>
        <v/>
      </c>
      <c r="V114" s="93" t="str">
        <f t="shared" si="27"/>
        <v/>
      </c>
      <c r="W114" s="94" t="str">
        <f t="shared" si="28"/>
        <v/>
      </c>
      <c r="X114" s="88"/>
      <c r="Y114" s="87" t="str">
        <f>IF(D114="","",IFERROR(VLOOKUP(I114,Assumptions!$B$40:$H$50,6,FALSE()),0)*M114)</f>
        <v/>
      </c>
      <c r="Z114" s="87" t="str">
        <f>IF(D114="","",IFERROR(VLOOKUP(I114,Assumptions!$B$40:$H$50,7,FALSE()),0)*M114)</f>
        <v/>
      </c>
      <c r="AA114" s="96" t="str">
        <f t="shared" si="29"/>
        <v/>
      </c>
      <c r="AB114" s="84" t="str">
        <f t="shared" si="30"/>
        <v/>
      </c>
      <c r="AC114" s="99"/>
      <c r="AD114" s="99"/>
      <c r="AE114" s="99"/>
      <c r="AF114" s="98" t="str">
        <f t="shared" si="31"/>
        <v>-</v>
      </c>
    </row>
    <row r="115" spans="2:32" ht="14.25" customHeight="1" thickBot="1" x14ac:dyDescent="0.4">
      <c r="B115" s="84" t="str">
        <f t="shared" si="24"/>
        <v/>
      </c>
      <c r="C115" s="85"/>
      <c r="D115" s="91"/>
      <c r="E115" s="68" t="str">
        <f>IF(D115="","",IFERROR(VLOOKUP(D115,'Portfolio List'!$B$4:$I$76,5,FALSE()),""))</f>
        <v/>
      </c>
      <c r="F115" s="68" t="str">
        <f>IF(D115="","",IFERROR(VLOOKUP(D115,'Portfolio List'!$B$4:$I$76,6,FALSE()),""))</f>
        <v/>
      </c>
      <c r="G115" s="68" t="str">
        <f>IF(D115="","",IFERROR(VLOOKUP(D115,'Portfolio List'!$B$4:$I$76,7,FALSE()),""))</f>
        <v/>
      </c>
      <c r="H115" s="71" t="str">
        <f>IF(D115="","",IFERROR(VLOOKUP(D115,'Portfolio List'!$B$4:$I$76,4,FALSE()),""))</f>
        <v/>
      </c>
      <c r="I115" s="91"/>
      <c r="J115" s="84" t="str">
        <f t="shared" si="23"/>
        <v/>
      </c>
      <c r="K115" s="91"/>
      <c r="L115" s="85"/>
      <c r="M115" s="97"/>
      <c r="N115" s="180"/>
      <c r="O115" s="92"/>
      <c r="P115" s="87">
        <f>IF(D115="",0,IF(I115="LED Lighting",M115*IF(AC115="Studio",Assumptions!$C$15,IF(AC115="1 Bedroom",Assumptions!$C$16,IF(AC115="2 Bedroom",Assumptions!$C$17,IF(AC115="3 Bedroom",Assumptions!$C$18,Assumptions!$C$16))))*N115*365/1000,IFERROR(VLOOKUP(I115,Assumptions!$B$40:$H$50,2,FALSE()),0)*M115))</f>
        <v>0</v>
      </c>
      <c r="Q115" s="87">
        <f>IF(D115="",0,IFERROR(VLOOKUP(I115,Assumptions!$B$40:$H$50,3,FALSE()),0)*M115)</f>
        <v>0</v>
      </c>
      <c r="R115" s="77">
        <f>IF(G115="",0.2161,IFERROR(VLOOKUP(G115,Assumptions!$B$53:$C$61,2,FALSE())/100,0.2161))</f>
        <v>0.21609999999999999</v>
      </c>
      <c r="S115" s="77">
        <f>IF(G115="",0,IFERROR(VLOOKUP(G115,Assumptions!$B$64:$C$72,2,FALSE())/1000,0.008))</f>
        <v>0</v>
      </c>
      <c r="T115" s="93" t="str">
        <f t="shared" si="25"/>
        <v/>
      </c>
      <c r="U115" s="93" t="str">
        <f t="shared" si="26"/>
        <v/>
      </c>
      <c r="V115" s="93" t="str">
        <f t="shared" si="27"/>
        <v/>
      </c>
      <c r="W115" s="94" t="str">
        <f t="shared" si="28"/>
        <v/>
      </c>
      <c r="X115" s="88"/>
      <c r="Y115" s="87" t="str">
        <f>IF(D115="","",IFERROR(VLOOKUP(I115,Assumptions!$B$40:$H$50,6,FALSE()),0)*M115)</f>
        <v/>
      </c>
      <c r="Z115" s="87" t="str">
        <f>IF(D115="","",IFERROR(VLOOKUP(I115,Assumptions!$B$40:$H$50,7,FALSE()),0)*M115)</f>
        <v/>
      </c>
      <c r="AA115" s="96" t="str">
        <f t="shared" si="29"/>
        <v/>
      </c>
      <c r="AB115" s="84" t="str">
        <f t="shared" si="30"/>
        <v/>
      </c>
      <c r="AC115" s="99"/>
      <c r="AD115" s="99"/>
      <c r="AE115" s="99"/>
      <c r="AF115" s="98" t="str">
        <f t="shared" si="31"/>
        <v>-</v>
      </c>
    </row>
    <row r="116" spans="2:32" ht="14.25" customHeight="1" thickBot="1" x14ac:dyDescent="0.4">
      <c r="B116" s="84" t="str">
        <f t="shared" si="24"/>
        <v/>
      </c>
      <c r="C116" s="85"/>
      <c r="D116" s="91"/>
      <c r="E116" s="68" t="str">
        <f>IF(D116="","",IFERROR(VLOOKUP(D116,'Portfolio List'!$B$4:$I$76,5,FALSE()),""))</f>
        <v/>
      </c>
      <c r="F116" s="68" t="str">
        <f>IF(D116="","",IFERROR(VLOOKUP(D116,'Portfolio List'!$B$4:$I$76,6,FALSE()),""))</f>
        <v/>
      </c>
      <c r="G116" s="68" t="str">
        <f>IF(D116="","",IFERROR(VLOOKUP(D116,'Portfolio List'!$B$4:$I$76,7,FALSE()),""))</f>
        <v/>
      </c>
      <c r="H116" s="71" t="str">
        <f>IF(D116="","",IFERROR(VLOOKUP(D116,'Portfolio List'!$B$4:$I$76,4,FALSE()),""))</f>
        <v/>
      </c>
      <c r="I116" s="91"/>
      <c r="J116" s="84" t="str">
        <f t="shared" si="23"/>
        <v/>
      </c>
      <c r="K116" s="91"/>
      <c r="L116" s="85"/>
      <c r="M116" s="97"/>
      <c r="N116" s="180"/>
      <c r="O116" s="92"/>
      <c r="P116" s="87">
        <f>IF(D116="",0,IF(I116="LED Lighting",M116*IF(AC116="Studio",Assumptions!$C$15,IF(AC116="1 Bedroom",Assumptions!$C$16,IF(AC116="2 Bedroom",Assumptions!$C$17,IF(AC116="3 Bedroom",Assumptions!$C$18,Assumptions!$C$16))))*N116*365/1000,IFERROR(VLOOKUP(I116,Assumptions!$B$40:$H$50,2,FALSE()),0)*M116))</f>
        <v>0</v>
      </c>
      <c r="Q116" s="87">
        <f>IF(D116="",0,IFERROR(VLOOKUP(I116,Assumptions!$B$40:$H$50,3,FALSE()),0)*M116)</f>
        <v>0</v>
      </c>
      <c r="R116" s="77">
        <f>IF(G116="",0.2161,IFERROR(VLOOKUP(G116,Assumptions!$B$53:$C$61,2,FALSE())/100,0.2161))</f>
        <v>0.21609999999999999</v>
      </c>
      <c r="S116" s="77">
        <f>IF(G116="",0,IFERROR(VLOOKUP(G116,Assumptions!$B$64:$C$72,2,FALSE())/1000,0.008))</f>
        <v>0</v>
      </c>
      <c r="T116" s="93" t="str">
        <f t="shared" si="25"/>
        <v/>
      </c>
      <c r="U116" s="93" t="str">
        <f t="shared" si="26"/>
        <v/>
      </c>
      <c r="V116" s="93" t="str">
        <f t="shared" si="27"/>
        <v/>
      </c>
      <c r="W116" s="94" t="str">
        <f t="shared" si="28"/>
        <v/>
      </c>
      <c r="X116" s="88"/>
      <c r="Y116" s="87" t="str">
        <f>IF(D116="","",IFERROR(VLOOKUP(I116,Assumptions!$B$40:$H$50,6,FALSE()),0)*M116)</f>
        <v/>
      </c>
      <c r="Z116" s="87" t="str">
        <f>IF(D116="","",IFERROR(VLOOKUP(I116,Assumptions!$B$40:$H$50,7,FALSE()),0)*M116)</f>
        <v/>
      </c>
      <c r="AA116" s="96" t="str">
        <f t="shared" si="29"/>
        <v/>
      </c>
      <c r="AB116" s="84" t="str">
        <f t="shared" si="30"/>
        <v/>
      </c>
      <c r="AC116" s="99"/>
      <c r="AD116" s="99"/>
      <c r="AE116" s="99"/>
      <c r="AF116" s="98" t="str">
        <f t="shared" si="31"/>
        <v>-</v>
      </c>
    </row>
    <row r="117" spans="2:32" ht="14.25" customHeight="1" thickBot="1" x14ac:dyDescent="0.4">
      <c r="B117" s="84" t="str">
        <f t="shared" si="24"/>
        <v/>
      </c>
      <c r="C117" s="85"/>
      <c r="D117" s="91"/>
      <c r="E117" s="68" t="str">
        <f>IF(D117="","",IFERROR(VLOOKUP(D117,'Portfolio List'!$B$4:$I$76,5,FALSE()),""))</f>
        <v/>
      </c>
      <c r="F117" s="68" t="str">
        <f>IF(D117="","",IFERROR(VLOOKUP(D117,'Portfolio List'!$B$4:$I$76,6,FALSE()),""))</f>
        <v/>
      </c>
      <c r="G117" s="68" t="str">
        <f>IF(D117="","",IFERROR(VLOOKUP(D117,'Portfolio List'!$B$4:$I$76,7,FALSE()),""))</f>
        <v/>
      </c>
      <c r="H117" s="71" t="str">
        <f>IF(D117="","",IFERROR(VLOOKUP(D117,'Portfolio List'!$B$4:$I$76,4,FALSE()),""))</f>
        <v/>
      </c>
      <c r="I117" s="91"/>
      <c r="J117" s="84" t="str">
        <f t="shared" si="23"/>
        <v/>
      </c>
      <c r="K117" s="91"/>
      <c r="L117" s="85"/>
      <c r="M117" s="97"/>
      <c r="N117" s="180"/>
      <c r="O117" s="92"/>
      <c r="P117" s="87">
        <f>IF(D117="",0,IF(I117="LED Lighting",M117*IF(AC117="Studio",Assumptions!$C$15,IF(AC117="1 Bedroom",Assumptions!$C$16,IF(AC117="2 Bedroom",Assumptions!$C$17,IF(AC117="3 Bedroom",Assumptions!$C$18,Assumptions!$C$16))))*N117*365/1000,IFERROR(VLOOKUP(I117,Assumptions!$B$40:$H$50,2,FALSE()),0)*M117))</f>
        <v>0</v>
      </c>
      <c r="Q117" s="87">
        <f>IF(D117="",0,IFERROR(VLOOKUP(I117,Assumptions!$B$40:$H$50,3,FALSE()),0)*M117)</f>
        <v>0</v>
      </c>
      <c r="R117" s="77">
        <f>IF(G117="",0.2161,IFERROR(VLOOKUP(G117,Assumptions!$B$53:$C$61,2,FALSE())/100,0.2161))</f>
        <v>0.21609999999999999</v>
      </c>
      <c r="S117" s="77">
        <f>IF(G117="",0,IFERROR(VLOOKUP(G117,Assumptions!$B$64:$C$72,2,FALSE())/1000,0.008))</f>
        <v>0</v>
      </c>
      <c r="T117" s="93" t="str">
        <f t="shared" si="25"/>
        <v/>
      </c>
      <c r="U117" s="93" t="str">
        <f t="shared" si="26"/>
        <v/>
      </c>
      <c r="V117" s="93" t="str">
        <f t="shared" si="27"/>
        <v/>
      </c>
      <c r="W117" s="94" t="str">
        <f t="shared" si="28"/>
        <v/>
      </c>
      <c r="X117" s="88"/>
      <c r="Y117" s="87" t="str">
        <f>IF(D117="","",IFERROR(VLOOKUP(I117,Assumptions!$B$40:$H$50,6,FALSE()),0)*M117)</f>
        <v/>
      </c>
      <c r="Z117" s="87" t="str">
        <f>IF(D117="","",IFERROR(VLOOKUP(I117,Assumptions!$B$40:$H$50,7,FALSE()),0)*M117)</f>
        <v/>
      </c>
      <c r="AA117" s="96" t="str">
        <f t="shared" si="29"/>
        <v/>
      </c>
      <c r="AB117" s="84" t="str">
        <f t="shared" si="30"/>
        <v/>
      </c>
      <c r="AC117" s="99"/>
      <c r="AD117" s="99"/>
      <c r="AE117" s="99"/>
      <c r="AF117" s="98" t="str">
        <f t="shared" si="31"/>
        <v>-</v>
      </c>
    </row>
    <row r="118" spans="2:32" ht="14.25" customHeight="1" thickBot="1" x14ac:dyDescent="0.4">
      <c r="B118" s="84" t="str">
        <f t="shared" si="24"/>
        <v/>
      </c>
      <c r="C118" s="85"/>
      <c r="D118" s="91"/>
      <c r="E118" s="68" t="str">
        <f>IF(D118="","",IFERROR(VLOOKUP(D118,'Portfolio List'!$B$4:$I$76,5,FALSE()),""))</f>
        <v/>
      </c>
      <c r="F118" s="68" t="str">
        <f>IF(D118="","",IFERROR(VLOOKUP(D118,'Portfolio List'!$B$4:$I$76,6,FALSE()),""))</f>
        <v/>
      </c>
      <c r="G118" s="68" t="str">
        <f>IF(D118="","",IFERROR(VLOOKUP(D118,'Portfolio List'!$B$4:$I$76,7,FALSE()),""))</f>
        <v/>
      </c>
      <c r="H118" s="71" t="str">
        <f>IF(D118="","",IFERROR(VLOOKUP(D118,'Portfolio List'!$B$4:$I$76,4,FALSE()),""))</f>
        <v/>
      </c>
      <c r="I118" s="91"/>
      <c r="J118" s="84" t="str">
        <f t="shared" si="23"/>
        <v/>
      </c>
      <c r="K118" s="91"/>
      <c r="L118" s="85"/>
      <c r="M118" s="97"/>
      <c r="N118" s="180"/>
      <c r="O118" s="92"/>
      <c r="P118" s="87">
        <f>IF(D118="",0,IF(I118="LED Lighting",M118*IF(AC118="Studio",Assumptions!$C$15,IF(AC118="1 Bedroom",Assumptions!$C$16,IF(AC118="2 Bedroom",Assumptions!$C$17,IF(AC118="3 Bedroom",Assumptions!$C$18,Assumptions!$C$16))))*N118*365/1000,IFERROR(VLOOKUP(I118,Assumptions!$B$40:$H$50,2,FALSE()),0)*M118))</f>
        <v>0</v>
      </c>
      <c r="Q118" s="87">
        <f>IF(D118="",0,IFERROR(VLOOKUP(I118,Assumptions!$B$40:$H$50,3,FALSE()),0)*M118)</f>
        <v>0</v>
      </c>
      <c r="R118" s="77">
        <f>IF(G118="",0.2161,IFERROR(VLOOKUP(G118,Assumptions!$B$53:$C$61,2,FALSE())/100,0.2161))</f>
        <v>0.21609999999999999</v>
      </c>
      <c r="S118" s="77">
        <f>IF(G118="",0,IFERROR(VLOOKUP(G118,Assumptions!$B$64:$C$72,2,FALSE())/1000,0.008))</f>
        <v>0</v>
      </c>
      <c r="T118" s="93" t="str">
        <f t="shared" si="25"/>
        <v/>
      </c>
      <c r="U118" s="93" t="str">
        <f t="shared" si="26"/>
        <v/>
      </c>
      <c r="V118" s="93" t="str">
        <f t="shared" si="27"/>
        <v/>
      </c>
      <c r="W118" s="94" t="str">
        <f t="shared" si="28"/>
        <v/>
      </c>
      <c r="X118" s="88"/>
      <c r="Y118" s="87" t="str">
        <f>IF(D118="","",IFERROR(VLOOKUP(I118,Assumptions!$B$40:$H$50,6,FALSE()),0)*M118)</f>
        <v/>
      </c>
      <c r="Z118" s="87" t="str">
        <f>IF(D118="","",IFERROR(VLOOKUP(I118,Assumptions!$B$40:$H$50,7,FALSE()),0)*M118)</f>
        <v/>
      </c>
      <c r="AA118" s="96" t="str">
        <f t="shared" si="29"/>
        <v/>
      </c>
      <c r="AB118" s="84" t="str">
        <f t="shared" si="30"/>
        <v/>
      </c>
      <c r="AC118" s="99"/>
      <c r="AD118" s="99"/>
      <c r="AE118" s="99"/>
      <c r="AF118" s="98" t="str">
        <f t="shared" si="31"/>
        <v>-</v>
      </c>
    </row>
    <row r="119" spans="2:32" ht="14.25" customHeight="1" thickBot="1" x14ac:dyDescent="0.4">
      <c r="B119" s="84" t="str">
        <f t="shared" si="24"/>
        <v/>
      </c>
      <c r="C119" s="85"/>
      <c r="D119" s="91"/>
      <c r="E119" s="68" t="str">
        <f>IF(D119="","",IFERROR(VLOOKUP(D119,'Portfolio List'!$B$4:$I$76,5,FALSE()),""))</f>
        <v/>
      </c>
      <c r="F119" s="68" t="str">
        <f>IF(D119="","",IFERROR(VLOOKUP(D119,'Portfolio List'!$B$4:$I$76,6,FALSE()),""))</f>
        <v/>
      </c>
      <c r="G119" s="68" t="str">
        <f>IF(D119="","",IFERROR(VLOOKUP(D119,'Portfolio List'!$B$4:$I$76,7,FALSE()),""))</f>
        <v/>
      </c>
      <c r="H119" s="71" t="str">
        <f>IF(D119="","",IFERROR(VLOOKUP(D119,'Portfolio List'!$B$4:$I$76,4,FALSE()),""))</f>
        <v/>
      </c>
      <c r="I119" s="91"/>
      <c r="J119" s="84" t="str">
        <f t="shared" si="23"/>
        <v/>
      </c>
      <c r="K119" s="91"/>
      <c r="L119" s="85"/>
      <c r="M119" s="97"/>
      <c r="N119" s="180"/>
      <c r="O119" s="92"/>
      <c r="P119" s="87">
        <f>IF(D119="",0,IF(I119="LED Lighting",M119*IF(AC119="Studio",Assumptions!$C$15,IF(AC119="1 Bedroom",Assumptions!$C$16,IF(AC119="2 Bedroom",Assumptions!$C$17,IF(AC119="3 Bedroom",Assumptions!$C$18,Assumptions!$C$16))))*N119*365/1000,IFERROR(VLOOKUP(I119,Assumptions!$B$40:$H$50,2,FALSE()),0)*M119))</f>
        <v>0</v>
      </c>
      <c r="Q119" s="87">
        <f>IF(D119="",0,IFERROR(VLOOKUP(I119,Assumptions!$B$40:$H$50,3,FALSE()),0)*M119)</f>
        <v>0</v>
      </c>
      <c r="R119" s="77">
        <f>IF(G119="",0.2161,IFERROR(VLOOKUP(G119,Assumptions!$B$53:$C$61,2,FALSE())/100,0.2161))</f>
        <v>0.21609999999999999</v>
      </c>
      <c r="S119" s="77">
        <f>IF(G119="",0,IFERROR(VLOOKUP(G119,Assumptions!$B$64:$C$72,2,FALSE())/1000,0.008))</f>
        <v>0</v>
      </c>
      <c r="T119" s="93" t="str">
        <f t="shared" si="25"/>
        <v/>
      </c>
      <c r="U119" s="93" t="str">
        <f t="shared" si="26"/>
        <v/>
      </c>
      <c r="V119" s="93" t="str">
        <f t="shared" si="27"/>
        <v/>
      </c>
      <c r="W119" s="94" t="str">
        <f t="shared" si="28"/>
        <v/>
      </c>
      <c r="X119" s="88"/>
      <c r="Y119" s="87" t="str">
        <f>IF(D119="","",IFERROR(VLOOKUP(I119,Assumptions!$B$40:$H$50,6,FALSE()),0)*M119)</f>
        <v/>
      </c>
      <c r="Z119" s="87" t="str">
        <f>IF(D119="","",IFERROR(VLOOKUP(I119,Assumptions!$B$40:$H$50,7,FALSE()),0)*M119)</f>
        <v/>
      </c>
      <c r="AA119" s="96" t="str">
        <f t="shared" si="29"/>
        <v/>
      </c>
      <c r="AB119" s="84" t="str">
        <f t="shared" si="30"/>
        <v/>
      </c>
      <c r="AC119" s="99"/>
      <c r="AD119" s="99"/>
      <c r="AE119" s="99"/>
      <c r="AF119" s="98" t="str">
        <f t="shared" si="31"/>
        <v>-</v>
      </c>
    </row>
    <row r="120" spans="2:32" ht="14.25" customHeight="1" thickBot="1" x14ac:dyDescent="0.4">
      <c r="B120" s="84" t="str">
        <f t="shared" si="24"/>
        <v/>
      </c>
      <c r="C120" s="85"/>
      <c r="D120" s="91"/>
      <c r="E120" s="68" t="str">
        <f>IF(D120="","",IFERROR(VLOOKUP(D120,'Portfolio List'!$B$4:$I$76,5,FALSE()),""))</f>
        <v/>
      </c>
      <c r="F120" s="68" t="str">
        <f>IF(D120="","",IFERROR(VLOOKUP(D120,'Portfolio List'!$B$4:$I$76,6,FALSE()),""))</f>
        <v/>
      </c>
      <c r="G120" s="68" t="str">
        <f>IF(D120="","",IFERROR(VLOOKUP(D120,'Portfolio List'!$B$4:$I$76,7,FALSE()),""))</f>
        <v/>
      </c>
      <c r="H120" s="71" t="str">
        <f>IF(D120="","",IFERROR(VLOOKUP(D120,'Portfolio List'!$B$4:$I$76,4,FALSE()),""))</f>
        <v/>
      </c>
      <c r="I120" s="91"/>
      <c r="J120" s="84" t="str">
        <f t="shared" si="23"/>
        <v/>
      </c>
      <c r="K120" s="91"/>
      <c r="L120" s="85"/>
      <c r="M120" s="97"/>
      <c r="N120" s="180"/>
      <c r="O120" s="92"/>
      <c r="P120" s="87">
        <f>IF(D120="",0,IF(I120="LED Lighting",M120*IF(AC120="Studio",Assumptions!$C$15,IF(AC120="1 Bedroom",Assumptions!$C$16,IF(AC120="2 Bedroom",Assumptions!$C$17,IF(AC120="3 Bedroom",Assumptions!$C$18,Assumptions!$C$16))))*N120*365/1000,IFERROR(VLOOKUP(I120,Assumptions!$B$40:$H$50,2,FALSE()),0)*M120))</f>
        <v>0</v>
      </c>
      <c r="Q120" s="87">
        <f>IF(D120="",0,IFERROR(VLOOKUP(I120,Assumptions!$B$40:$H$50,3,FALSE()),0)*M120)</f>
        <v>0</v>
      </c>
      <c r="R120" s="77">
        <f>IF(G120="",0.2161,IFERROR(VLOOKUP(G120,Assumptions!$B$53:$C$61,2,FALSE())/100,0.2161))</f>
        <v>0.21609999999999999</v>
      </c>
      <c r="S120" s="77">
        <f>IF(G120="",0,IFERROR(VLOOKUP(G120,Assumptions!$B$64:$C$72,2,FALSE())/1000,0.008))</f>
        <v>0</v>
      </c>
      <c r="T120" s="93" t="str">
        <f t="shared" si="25"/>
        <v/>
      </c>
      <c r="U120" s="93" t="str">
        <f t="shared" si="26"/>
        <v/>
      </c>
      <c r="V120" s="93" t="str">
        <f t="shared" si="27"/>
        <v/>
      </c>
      <c r="W120" s="94" t="str">
        <f t="shared" si="28"/>
        <v/>
      </c>
      <c r="X120" s="88"/>
      <c r="Y120" s="87" t="str">
        <f>IF(D120="","",IFERROR(VLOOKUP(I120,Assumptions!$B$40:$H$50,6,FALSE()),0)*M120)</f>
        <v/>
      </c>
      <c r="Z120" s="87" t="str">
        <f>IF(D120="","",IFERROR(VLOOKUP(I120,Assumptions!$B$40:$H$50,7,FALSE()),0)*M120)</f>
        <v/>
      </c>
      <c r="AA120" s="96" t="str">
        <f t="shared" si="29"/>
        <v/>
      </c>
      <c r="AB120" s="84" t="str">
        <f t="shared" si="30"/>
        <v/>
      </c>
      <c r="AC120" s="99"/>
      <c r="AD120" s="99"/>
      <c r="AE120" s="99"/>
      <c r="AF120" s="98" t="str">
        <f t="shared" si="31"/>
        <v>-</v>
      </c>
    </row>
    <row r="121" spans="2:32" ht="14.25" customHeight="1" thickBot="1" x14ac:dyDescent="0.4">
      <c r="B121" s="84" t="str">
        <f t="shared" si="24"/>
        <v/>
      </c>
      <c r="C121" s="85"/>
      <c r="D121" s="91"/>
      <c r="E121" s="68" t="str">
        <f>IF(D121="","",IFERROR(VLOOKUP(D121,'Portfolio List'!$B$4:$I$76,5,FALSE()),""))</f>
        <v/>
      </c>
      <c r="F121" s="68" t="str">
        <f>IF(D121="","",IFERROR(VLOOKUP(D121,'Portfolio List'!$B$4:$I$76,6,FALSE()),""))</f>
        <v/>
      </c>
      <c r="G121" s="68" t="str">
        <f>IF(D121="","",IFERROR(VLOOKUP(D121,'Portfolio List'!$B$4:$I$76,7,FALSE()),""))</f>
        <v/>
      </c>
      <c r="H121" s="71" t="str">
        <f>IF(D121="","",IFERROR(VLOOKUP(D121,'Portfolio List'!$B$4:$I$76,4,FALSE()),""))</f>
        <v/>
      </c>
      <c r="I121" s="91"/>
      <c r="J121" s="84" t="str">
        <f t="shared" si="23"/>
        <v/>
      </c>
      <c r="K121" s="91"/>
      <c r="L121" s="85"/>
      <c r="M121" s="97"/>
      <c r="N121" s="180"/>
      <c r="O121" s="92"/>
      <c r="P121" s="87">
        <f>IF(D121="",0,IF(I121="LED Lighting",M121*IF(AC121="Studio",Assumptions!$C$15,IF(AC121="1 Bedroom",Assumptions!$C$16,IF(AC121="2 Bedroom",Assumptions!$C$17,IF(AC121="3 Bedroom",Assumptions!$C$18,Assumptions!$C$16))))*N121*365/1000,IFERROR(VLOOKUP(I121,Assumptions!$B$40:$H$50,2,FALSE()),0)*M121))</f>
        <v>0</v>
      </c>
      <c r="Q121" s="87">
        <f>IF(D121="",0,IFERROR(VLOOKUP(I121,Assumptions!$B$40:$H$50,3,FALSE()),0)*M121)</f>
        <v>0</v>
      </c>
      <c r="R121" s="77">
        <f>IF(G121="",0.2161,IFERROR(VLOOKUP(G121,Assumptions!$B$53:$C$61,2,FALSE())/100,0.2161))</f>
        <v>0.21609999999999999</v>
      </c>
      <c r="S121" s="77">
        <f>IF(G121="",0,IFERROR(VLOOKUP(G121,Assumptions!$B$64:$C$72,2,FALSE())/1000,0.008))</f>
        <v>0</v>
      </c>
      <c r="T121" s="93" t="str">
        <f t="shared" si="25"/>
        <v/>
      </c>
      <c r="U121" s="93" t="str">
        <f t="shared" si="26"/>
        <v/>
      </c>
      <c r="V121" s="93" t="str">
        <f t="shared" si="27"/>
        <v/>
      </c>
      <c r="W121" s="94" t="str">
        <f t="shared" si="28"/>
        <v/>
      </c>
      <c r="X121" s="88"/>
      <c r="Y121" s="87" t="str">
        <f>IF(D121="","",IFERROR(VLOOKUP(I121,Assumptions!$B$40:$H$50,6,FALSE()),0)*M121)</f>
        <v/>
      </c>
      <c r="Z121" s="87" t="str">
        <f>IF(D121="","",IFERROR(VLOOKUP(I121,Assumptions!$B$40:$H$50,7,FALSE()),0)*M121)</f>
        <v/>
      </c>
      <c r="AA121" s="96" t="str">
        <f t="shared" si="29"/>
        <v/>
      </c>
      <c r="AB121" s="84" t="str">
        <f t="shared" si="30"/>
        <v/>
      </c>
      <c r="AC121" s="99"/>
      <c r="AD121" s="99"/>
      <c r="AE121" s="99"/>
      <c r="AF121" s="98" t="str">
        <f t="shared" si="31"/>
        <v>-</v>
      </c>
    </row>
    <row r="122" spans="2:32" ht="14.25" customHeight="1" thickBot="1" x14ac:dyDescent="0.4">
      <c r="B122" s="84" t="str">
        <f t="shared" si="24"/>
        <v/>
      </c>
      <c r="C122" s="85"/>
      <c r="D122" s="91"/>
      <c r="E122" s="68" t="str">
        <f>IF(D122="","",IFERROR(VLOOKUP(D122,'Portfolio List'!$B$4:$I$76,5,FALSE()),""))</f>
        <v/>
      </c>
      <c r="F122" s="68" t="str">
        <f>IF(D122="","",IFERROR(VLOOKUP(D122,'Portfolio List'!$B$4:$I$76,6,FALSE()),""))</f>
        <v/>
      </c>
      <c r="G122" s="68" t="str">
        <f>IF(D122="","",IFERROR(VLOOKUP(D122,'Portfolio List'!$B$4:$I$76,7,FALSE()),""))</f>
        <v/>
      </c>
      <c r="H122" s="71" t="str">
        <f>IF(D122="","",IFERROR(VLOOKUP(D122,'Portfolio List'!$B$4:$I$76,4,FALSE()),""))</f>
        <v/>
      </c>
      <c r="I122" s="91"/>
      <c r="J122" s="84" t="str">
        <f t="shared" si="23"/>
        <v/>
      </c>
      <c r="K122" s="91"/>
      <c r="L122" s="85"/>
      <c r="M122" s="97"/>
      <c r="N122" s="180"/>
      <c r="O122" s="92"/>
      <c r="P122" s="87">
        <f>IF(D122="",0,IF(I122="LED Lighting",M122*IF(AC122="Studio",Assumptions!$C$15,IF(AC122="1 Bedroom",Assumptions!$C$16,IF(AC122="2 Bedroom",Assumptions!$C$17,IF(AC122="3 Bedroom",Assumptions!$C$18,Assumptions!$C$16))))*N122*365/1000,IFERROR(VLOOKUP(I122,Assumptions!$B$40:$H$50,2,FALSE()),0)*M122))</f>
        <v>0</v>
      </c>
      <c r="Q122" s="87">
        <f>IF(D122="",0,IFERROR(VLOOKUP(I122,Assumptions!$B$40:$H$50,3,FALSE()),0)*M122)</f>
        <v>0</v>
      </c>
      <c r="R122" s="77">
        <f>IF(G122="",0.2161,IFERROR(VLOOKUP(G122,Assumptions!$B$53:$C$61,2,FALSE())/100,0.2161))</f>
        <v>0.21609999999999999</v>
      </c>
      <c r="S122" s="77">
        <f>IF(G122="",0,IFERROR(VLOOKUP(G122,Assumptions!$B$64:$C$72,2,FALSE())/1000,0.008))</f>
        <v>0</v>
      </c>
      <c r="T122" s="93" t="str">
        <f t="shared" si="25"/>
        <v/>
      </c>
      <c r="U122" s="93" t="str">
        <f t="shared" si="26"/>
        <v/>
      </c>
      <c r="V122" s="93" t="str">
        <f t="shared" si="27"/>
        <v/>
      </c>
      <c r="W122" s="94" t="str">
        <f t="shared" si="28"/>
        <v/>
      </c>
      <c r="X122" s="88"/>
      <c r="Y122" s="87" t="str">
        <f>IF(D122="","",IFERROR(VLOOKUP(I122,Assumptions!$B$40:$H$50,6,FALSE()),0)*M122)</f>
        <v/>
      </c>
      <c r="Z122" s="87" t="str">
        <f>IF(D122="","",IFERROR(VLOOKUP(I122,Assumptions!$B$40:$H$50,7,FALSE()),0)*M122)</f>
        <v/>
      </c>
      <c r="AA122" s="96" t="str">
        <f t="shared" si="29"/>
        <v/>
      </c>
      <c r="AB122" s="84" t="str">
        <f t="shared" si="30"/>
        <v/>
      </c>
      <c r="AC122" s="99"/>
      <c r="AD122" s="99"/>
      <c r="AE122" s="99"/>
      <c r="AF122" s="98" t="str">
        <f t="shared" si="31"/>
        <v>-</v>
      </c>
    </row>
    <row r="123" spans="2:32" ht="14.25" customHeight="1" thickBot="1" x14ac:dyDescent="0.4">
      <c r="B123" s="84" t="str">
        <f t="shared" si="24"/>
        <v/>
      </c>
      <c r="C123" s="85"/>
      <c r="D123" s="91"/>
      <c r="E123" s="68" t="str">
        <f>IF(D123="","",IFERROR(VLOOKUP(D123,'Portfolio List'!$B$4:$I$76,5,FALSE()),""))</f>
        <v/>
      </c>
      <c r="F123" s="68" t="str">
        <f>IF(D123="","",IFERROR(VLOOKUP(D123,'Portfolio List'!$B$4:$I$76,6,FALSE()),""))</f>
        <v/>
      </c>
      <c r="G123" s="68" t="str">
        <f>IF(D123="","",IFERROR(VLOOKUP(D123,'Portfolio List'!$B$4:$I$76,7,FALSE()),""))</f>
        <v/>
      </c>
      <c r="H123" s="71" t="str">
        <f>IF(D123="","",IFERROR(VLOOKUP(D123,'Portfolio List'!$B$4:$I$76,4,FALSE()),""))</f>
        <v/>
      </c>
      <c r="I123" s="91"/>
      <c r="J123" s="84" t="str">
        <f t="shared" si="23"/>
        <v/>
      </c>
      <c r="K123" s="91"/>
      <c r="L123" s="85"/>
      <c r="M123" s="97"/>
      <c r="N123" s="180"/>
      <c r="O123" s="92"/>
      <c r="P123" s="87">
        <f>IF(D123="",0,IF(I123="LED Lighting",M123*IF(AC123="Studio",Assumptions!$C$15,IF(AC123="1 Bedroom",Assumptions!$C$16,IF(AC123="2 Bedroom",Assumptions!$C$17,IF(AC123="3 Bedroom",Assumptions!$C$18,Assumptions!$C$16))))*N123*365/1000,IFERROR(VLOOKUP(I123,Assumptions!$B$40:$H$50,2,FALSE()),0)*M123))</f>
        <v>0</v>
      </c>
      <c r="Q123" s="87">
        <f>IF(D123="",0,IFERROR(VLOOKUP(I123,Assumptions!$B$40:$H$50,3,FALSE()),0)*M123)</f>
        <v>0</v>
      </c>
      <c r="R123" s="77">
        <f>IF(G123="",0.2161,IFERROR(VLOOKUP(G123,Assumptions!$B$53:$C$61,2,FALSE())/100,0.2161))</f>
        <v>0.21609999999999999</v>
      </c>
      <c r="S123" s="77">
        <f>IF(G123="",0,IFERROR(VLOOKUP(G123,Assumptions!$B$64:$C$72,2,FALSE())/1000,0.008))</f>
        <v>0</v>
      </c>
      <c r="T123" s="93" t="str">
        <f t="shared" si="25"/>
        <v/>
      </c>
      <c r="U123" s="93" t="str">
        <f t="shared" si="26"/>
        <v/>
      </c>
      <c r="V123" s="93" t="str">
        <f t="shared" si="27"/>
        <v/>
      </c>
      <c r="W123" s="94" t="str">
        <f t="shared" si="28"/>
        <v/>
      </c>
      <c r="X123" s="88"/>
      <c r="Y123" s="87" t="str">
        <f>IF(D123="","",IFERROR(VLOOKUP(I123,Assumptions!$B$40:$H$50,6,FALSE()),0)*M123)</f>
        <v/>
      </c>
      <c r="Z123" s="87" t="str">
        <f>IF(D123="","",IFERROR(VLOOKUP(I123,Assumptions!$B$40:$H$50,7,FALSE()),0)*M123)</f>
        <v/>
      </c>
      <c r="AA123" s="96" t="str">
        <f t="shared" si="29"/>
        <v/>
      </c>
      <c r="AB123" s="84" t="str">
        <f t="shared" si="30"/>
        <v/>
      </c>
      <c r="AC123" s="99"/>
      <c r="AD123" s="99"/>
      <c r="AE123" s="99"/>
      <c r="AF123" s="98" t="str">
        <f t="shared" si="31"/>
        <v>-</v>
      </c>
    </row>
    <row r="124" spans="2:32" ht="14.25" customHeight="1" thickBot="1" x14ac:dyDescent="0.4">
      <c r="B124" s="84" t="str">
        <f t="shared" si="24"/>
        <v/>
      </c>
      <c r="C124" s="85"/>
      <c r="D124" s="91"/>
      <c r="E124" s="68" t="str">
        <f>IF(D124="","",IFERROR(VLOOKUP(D124,'Portfolio List'!$B$4:$I$76,5,FALSE()),""))</f>
        <v/>
      </c>
      <c r="F124" s="68" t="str">
        <f>IF(D124="","",IFERROR(VLOOKUP(D124,'Portfolio List'!$B$4:$I$76,6,FALSE()),""))</f>
        <v/>
      </c>
      <c r="G124" s="68" t="str">
        <f>IF(D124="","",IFERROR(VLOOKUP(D124,'Portfolio List'!$B$4:$I$76,7,FALSE()),""))</f>
        <v/>
      </c>
      <c r="H124" s="71" t="str">
        <f>IF(D124="","",IFERROR(VLOOKUP(D124,'Portfolio List'!$B$4:$I$76,4,FALSE()),""))</f>
        <v/>
      </c>
      <c r="I124" s="91"/>
      <c r="J124" s="84" t="str">
        <f t="shared" si="23"/>
        <v/>
      </c>
      <c r="K124" s="91"/>
      <c r="L124" s="85"/>
      <c r="M124" s="97"/>
      <c r="N124" s="180"/>
      <c r="O124" s="92"/>
      <c r="P124" s="87">
        <f>IF(D124="",0,IF(I124="LED Lighting",M124*IF(AC124="Studio",Assumptions!$C$15,IF(AC124="1 Bedroom",Assumptions!$C$16,IF(AC124="2 Bedroom",Assumptions!$C$17,IF(AC124="3 Bedroom",Assumptions!$C$18,Assumptions!$C$16))))*N124*365/1000,IFERROR(VLOOKUP(I124,Assumptions!$B$40:$H$50,2,FALSE()),0)*M124))</f>
        <v>0</v>
      </c>
      <c r="Q124" s="87">
        <f>IF(D124="",0,IFERROR(VLOOKUP(I124,Assumptions!$B$40:$H$50,3,FALSE()),0)*M124)</f>
        <v>0</v>
      </c>
      <c r="R124" s="77">
        <f>IF(G124="",0.2161,IFERROR(VLOOKUP(G124,Assumptions!$B$53:$C$61,2,FALSE())/100,0.2161))</f>
        <v>0.21609999999999999</v>
      </c>
      <c r="S124" s="77">
        <f>IF(G124="",0,IFERROR(VLOOKUP(G124,Assumptions!$B$64:$C$72,2,FALSE())/1000,0.008))</f>
        <v>0</v>
      </c>
      <c r="T124" s="93" t="str">
        <f t="shared" si="25"/>
        <v/>
      </c>
      <c r="U124" s="93" t="str">
        <f t="shared" si="26"/>
        <v/>
      </c>
      <c r="V124" s="93" t="str">
        <f t="shared" si="27"/>
        <v/>
      </c>
      <c r="W124" s="94" t="str">
        <f t="shared" si="28"/>
        <v/>
      </c>
      <c r="X124" s="88"/>
      <c r="Y124" s="87" t="str">
        <f>IF(D124="","",IFERROR(VLOOKUP(I124,Assumptions!$B$40:$H$50,6,FALSE()),0)*M124)</f>
        <v/>
      </c>
      <c r="Z124" s="87" t="str">
        <f>IF(D124="","",IFERROR(VLOOKUP(I124,Assumptions!$B$40:$H$50,7,FALSE()),0)*M124)</f>
        <v/>
      </c>
      <c r="AA124" s="96" t="str">
        <f t="shared" si="29"/>
        <v/>
      </c>
      <c r="AB124" s="84" t="str">
        <f t="shared" si="30"/>
        <v/>
      </c>
      <c r="AC124" s="99"/>
      <c r="AD124" s="99"/>
      <c r="AE124" s="99"/>
      <c r="AF124" s="98" t="str">
        <f t="shared" si="31"/>
        <v>-</v>
      </c>
    </row>
    <row r="125" spans="2:32" ht="14.25" customHeight="1" thickBot="1" x14ac:dyDescent="0.4">
      <c r="B125" s="84" t="str">
        <f t="shared" si="24"/>
        <v/>
      </c>
      <c r="C125" s="85"/>
      <c r="D125" s="91"/>
      <c r="E125" s="68" t="str">
        <f>IF(D125="","",IFERROR(VLOOKUP(D125,'Portfolio List'!$B$4:$I$76,5,FALSE()),""))</f>
        <v/>
      </c>
      <c r="F125" s="68" t="str">
        <f>IF(D125="","",IFERROR(VLOOKUP(D125,'Portfolio List'!$B$4:$I$76,6,FALSE()),""))</f>
        <v/>
      </c>
      <c r="G125" s="68" t="str">
        <f>IF(D125="","",IFERROR(VLOOKUP(D125,'Portfolio List'!$B$4:$I$76,7,FALSE()),""))</f>
        <v/>
      </c>
      <c r="H125" s="71" t="str">
        <f>IF(D125="","",IFERROR(VLOOKUP(D125,'Portfolio List'!$B$4:$I$76,4,FALSE()),""))</f>
        <v/>
      </c>
      <c r="I125" s="91"/>
      <c r="J125" s="84" t="str">
        <f t="shared" si="23"/>
        <v/>
      </c>
      <c r="K125" s="91"/>
      <c r="L125" s="85"/>
      <c r="M125" s="97"/>
      <c r="N125" s="180"/>
      <c r="O125" s="92"/>
      <c r="P125" s="87">
        <f>IF(D125="",0,IF(I125="LED Lighting",M125*IF(AC125="Studio",Assumptions!$C$15,IF(AC125="1 Bedroom",Assumptions!$C$16,IF(AC125="2 Bedroom",Assumptions!$C$17,IF(AC125="3 Bedroom",Assumptions!$C$18,Assumptions!$C$16))))*N125*365/1000,IFERROR(VLOOKUP(I125,Assumptions!$B$40:$H$50,2,FALSE()),0)*M125))</f>
        <v>0</v>
      </c>
      <c r="Q125" s="87">
        <f>IF(D125="",0,IFERROR(VLOOKUP(I125,Assumptions!$B$40:$H$50,3,FALSE()),0)*M125)</f>
        <v>0</v>
      </c>
      <c r="R125" s="77">
        <f>IF(G125="",0.2161,IFERROR(VLOOKUP(G125,Assumptions!$B$53:$C$61,2,FALSE())/100,0.2161))</f>
        <v>0.21609999999999999</v>
      </c>
      <c r="S125" s="77">
        <f>IF(G125="",0,IFERROR(VLOOKUP(G125,Assumptions!$B$64:$C$72,2,FALSE())/1000,0.008))</f>
        <v>0</v>
      </c>
      <c r="T125" s="93" t="str">
        <f t="shared" si="25"/>
        <v/>
      </c>
      <c r="U125" s="93" t="str">
        <f t="shared" si="26"/>
        <v/>
      </c>
      <c r="V125" s="93" t="str">
        <f t="shared" si="27"/>
        <v/>
      </c>
      <c r="W125" s="94" t="str">
        <f t="shared" si="28"/>
        <v/>
      </c>
      <c r="X125" s="88"/>
      <c r="Y125" s="87" t="str">
        <f>IF(D125="","",IFERROR(VLOOKUP(I125,Assumptions!$B$40:$H$50,6,FALSE()),0)*M125)</f>
        <v/>
      </c>
      <c r="Z125" s="87" t="str">
        <f>IF(D125="","",IFERROR(VLOOKUP(I125,Assumptions!$B$40:$H$50,7,FALSE()),0)*M125)</f>
        <v/>
      </c>
      <c r="AA125" s="96" t="str">
        <f t="shared" si="29"/>
        <v/>
      </c>
      <c r="AB125" s="84" t="str">
        <f t="shared" si="30"/>
        <v/>
      </c>
      <c r="AC125" s="99"/>
      <c r="AD125" s="99"/>
      <c r="AE125" s="99"/>
      <c r="AF125" s="98" t="str">
        <f t="shared" si="31"/>
        <v>-</v>
      </c>
    </row>
    <row r="126" spans="2:32" ht="14.25" customHeight="1" thickBot="1" x14ac:dyDescent="0.4">
      <c r="B126" s="84" t="str">
        <f t="shared" si="24"/>
        <v/>
      </c>
      <c r="C126" s="85"/>
      <c r="D126" s="91"/>
      <c r="E126" s="68" t="str">
        <f>IF(D126="","",IFERROR(VLOOKUP(D126,'Portfolio List'!$B$4:$I$76,5,FALSE()),""))</f>
        <v/>
      </c>
      <c r="F126" s="68" t="str">
        <f>IF(D126="","",IFERROR(VLOOKUP(D126,'Portfolio List'!$B$4:$I$76,6,FALSE()),""))</f>
        <v/>
      </c>
      <c r="G126" s="68" t="str">
        <f>IF(D126="","",IFERROR(VLOOKUP(D126,'Portfolio List'!$B$4:$I$76,7,FALSE()),""))</f>
        <v/>
      </c>
      <c r="H126" s="71" t="str">
        <f>IF(D126="","",IFERROR(VLOOKUP(D126,'Portfolio List'!$B$4:$I$76,4,FALSE()),""))</f>
        <v/>
      </c>
      <c r="I126" s="91"/>
      <c r="J126" s="84" t="str">
        <f t="shared" si="23"/>
        <v/>
      </c>
      <c r="K126" s="91"/>
      <c r="L126" s="85"/>
      <c r="M126" s="97"/>
      <c r="N126" s="180"/>
      <c r="O126" s="92"/>
      <c r="P126" s="87">
        <f>IF(D126="",0,IF(I126="LED Lighting",M126*IF(AC126="Studio",Assumptions!$C$15,IF(AC126="1 Bedroom",Assumptions!$C$16,IF(AC126="2 Bedroom",Assumptions!$C$17,IF(AC126="3 Bedroom",Assumptions!$C$18,Assumptions!$C$16))))*N126*365/1000,IFERROR(VLOOKUP(I126,Assumptions!$B$40:$H$50,2,FALSE()),0)*M126))</f>
        <v>0</v>
      </c>
      <c r="Q126" s="87">
        <f>IF(D126="",0,IFERROR(VLOOKUP(I126,Assumptions!$B$40:$H$50,3,FALSE()),0)*M126)</f>
        <v>0</v>
      </c>
      <c r="R126" s="77">
        <f>IF(G126="",0.2161,IFERROR(VLOOKUP(G126,Assumptions!$B$53:$C$61,2,FALSE())/100,0.2161))</f>
        <v>0.21609999999999999</v>
      </c>
      <c r="S126" s="77">
        <f>IF(G126="",0,IFERROR(VLOOKUP(G126,Assumptions!$B$64:$C$72,2,FALSE())/1000,0.008))</f>
        <v>0</v>
      </c>
      <c r="T126" s="93" t="str">
        <f t="shared" si="25"/>
        <v/>
      </c>
      <c r="U126" s="93" t="str">
        <f t="shared" si="26"/>
        <v/>
      </c>
      <c r="V126" s="93" t="str">
        <f t="shared" si="27"/>
        <v/>
      </c>
      <c r="W126" s="94" t="str">
        <f t="shared" si="28"/>
        <v/>
      </c>
      <c r="X126" s="88"/>
      <c r="Y126" s="87" t="str">
        <f>IF(D126="","",IFERROR(VLOOKUP(I126,Assumptions!$B$40:$H$50,6,FALSE()),0)*M126)</f>
        <v/>
      </c>
      <c r="Z126" s="87" t="str">
        <f>IF(D126="","",IFERROR(VLOOKUP(I126,Assumptions!$B$40:$H$50,7,FALSE()),0)*M126)</f>
        <v/>
      </c>
      <c r="AA126" s="96" t="str">
        <f t="shared" si="29"/>
        <v/>
      </c>
      <c r="AB126" s="84" t="str">
        <f t="shared" si="30"/>
        <v/>
      </c>
      <c r="AC126" s="99"/>
      <c r="AD126" s="99"/>
      <c r="AE126" s="99"/>
      <c r="AF126" s="98" t="str">
        <f t="shared" si="31"/>
        <v>-</v>
      </c>
    </row>
    <row r="127" spans="2:32" ht="14.25" customHeight="1" thickBot="1" x14ac:dyDescent="0.4">
      <c r="B127" s="84" t="str">
        <f t="shared" si="24"/>
        <v/>
      </c>
      <c r="C127" s="85"/>
      <c r="D127" s="91"/>
      <c r="E127" s="68" t="str">
        <f>IF(D127="","",IFERROR(VLOOKUP(D127,'Portfolio List'!$B$4:$I$76,5,FALSE()),""))</f>
        <v/>
      </c>
      <c r="F127" s="68" t="str">
        <f>IF(D127="","",IFERROR(VLOOKUP(D127,'Portfolio List'!$B$4:$I$76,6,FALSE()),""))</f>
        <v/>
      </c>
      <c r="G127" s="68" t="str">
        <f>IF(D127="","",IFERROR(VLOOKUP(D127,'Portfolio List'!$B$4:$I$76,7,FALSE()),""))</f>
        <v/>
      </c>
      <c r="H127" s="71" t="str">
        <f>IF(D127="","",IFERROR(VLOOKUP(D127,'Portfolio List'!$B$4:$I$76,4,FALSE()),""))</f>
        <v/>
      </c>
      <c r="I127" s="91"/>
      <c r="J127" s="84" t="str">
        <f t="shared" si="23"/>
        <v/>
      </c>
      <c r="K127" s="91"/>
      <c r="L127" s="85"/>
      <c r="M127" s="97"/>
      <c r="N127" s="180"/>
      <c r="O127" s="92"/>
      <c r="P127" s="87">
        <f>IF(D127="",0,IF(I127="LED Lighting",M127*IF(AC127="Studio",Assumptions!$C$15,IF(AC127="1 Bedroom",Assumptions!$C$16,IF(AC127="2 Bedroom",Assumptions!$C$17,IF(AC127="3 Bedroom",Assumptions!$C$18,Assumptions!$C$16))))*N127*365/1000,IFERROR(VLOOKUP(I127,Assumptions!$B$40:$H$50,2,FALSE()),0)*M127))</f>
        <v>0</v>
      </c>
      <c r="Q127" s="87">
        <f>IF(D127="",0,IFERROR(VLOOKUP(I127,Assumptions!$B$40:$H$50,3,FALSE()),0)*M127)</f>
        <v>0</v>
      </c>
      <c r="R127" s="77">
        <f>IF(G127="",0.2161,IFERROR(VLOOKUP(G127,Assumptions!$B$53:$C$61,2,FALSE())/100,0.2161))</f>
        <v>0.21609999999999999</v>
      </c>
      <c r="S127" s="77">
        <f>IF(G127="",0,IFERROR(VLOOKUP(G127,Assumptions!$B$64:$C$72,2,FALSE())/1000,0.008))</f>
        <v>0</v>
      </c>
      <c r="T127" s="93" t="str">
        <f t="shared" si="25"/>
        <v/>
      </c>
      <c r="U127" s="93" t="str">
        <f t="shared" si="26"/>
        <v/>
      </c>
      <c r="V127" s="93" t="str">
        <f t="shared" si="27"/>
        <v/>
      </c>
      <c r="W127" s="94" t="str">
        <f t="shared" si="28"/>
        <v/>
      </c>
      <c r="X127" s="88"/>
      <c r="Y127" s="87" t="str">
        <f>IF(D127="","",IFERROR(VLOOKUP(I127,Assumptions!$B$40:$H$50,6,FALSE()),0)*M127)</f>
        <v/>
      </c>
      <c r="Z127" s="87" t="str">
        <f>IF(D127="","",IFERROR(VLOOKUP(I127,Assumptions!$B$40:$H$50,7,FALSE()),0)*M127)</f>
        <v/>
      </c>
      <c r="AA127" s="96" t="str">
        <f t="shared" si="29"/>
        <v/>
      </c>
      <c r="AB127" s="84" t="str">
        <f t="shared" si="30"/>
        <v/>
      </c>
      <c r="AC127" s="99"/>
      <c r="AD127" s="99"/>
      <c r="AE127" s="99"/>
      <c r="AF127" s="98" t="str">
        <f t="shared" si="31"/>
        <v>-</v>
      </c>
    </row>
    <row r="128" spans="2:32" ht="14.25" customHeight="1" thickBot="1" x14ac:dyDescent="0.4">
      <c r="B128" s="84" t="str">
        <f t="shared" si="24"/>
        <v/>
      </c>
      <c r="C128" s="85"/>
      <c r="D128" s="91"/>
      <c r="E128" s="68" t="str">
        <f>IF(D128="","",IFERROR(VLOOKUP(D128,'Portfolio List'!$B$4:$I$76,5,FALSE()),""))</f>
        <v/>
      </c>
      <c r="F128" s="68" t="str">
        <f>IF(D128="","",IFERROR(VLOOKUP(D128,'Portfolio List'!$B$4:$I$76,6,FALSE()),""))</f>
        <v/>
      </c>
      <c r="G128" s="68" t="str">
        <f>IF(D128="","",IFERROR(VLOOKUP(D128,'Portfolio List'!$B$4:$I$76,7,FALSE()),""))</f>
        <v/>
      </c>
      <c r="H128" s="71" t="str">
        <f>IF(D128="","",IFERROR(VLOOKUP(D128,'Portfolio List'!$B$4:$I$76,4,FALSE()),""))</f>
        <v/>
      </c>
      <c r="I128" s="91"/>
      <c r="J128" s="84" t="str">
        <f t="shared" si="23"/>
        <v/>
      </c>
      <c r="K128" s="91"/>
      <c r="L128" s="85"/>
      <c r="M128" s="97"/>
      <c r="N128" s="180"/>
      <c r="O128" s="92"/>
      <c r="P128" s="87">
        <f>IF(D128="",0,IF(I128="LED Lighting",M128*IF(AC128="Studio",Assumptions!$C$15,IF(AC128="1 Bedroom",Assumptions!$C$16,IF(AC128="2 Bedroom",Assumptions!$C$17,IF(AC128="3 Bedroom",Assumptions!$C$18,Assumptions!$C$16))))*N128*365/1000,IFERROR(VLOOKUP(I128,Assumptions!$B$40:$H$50,2,FALSE()),0)*M128))</f>
        <v>0</v>
      </c>
      <c r="Q128" s="87">
        <f>IF(D128="",0,IFERROR(VLOOKUP(I128,Assumptions!$B$40:$H$50,3,FALSE()),0)*M128)</f>
        <v>0</v>
      </c>
      <c r="R128" s="77">
        <f>IF(G128="",0.2161,IFERROR(VLOOKUP(G128,Assumptions!$B$53:$C$61,2,FALSE())/100,0.2161))</f>
        <v>0.21609999999999999</v>
      </c>
      <c r="S128" s="77">
        <f>IF(G128="",0,IFERROR(VLOOKUP(G128,Assumptions!$B$64:$C$72,2,FALSE())/1000,0.008))</f>
        <v>0</v>
      </c>
      <c r="T128" s="93" t="str">
        <f t="shared" si="25"/>
        <v/>
      </c>
      <c r="U128" s="93" t="str">
        <f t="shared" si="26"/>
        <v/>
      </c>
      <c r="V128" s="93" t="str">
        <f t="shared" si="27"/>
        <v/>
      </c>
      <c r="W128" s="94" t="str">
        <f t="shared" si="28"/>
        <v/>
      </c>
      <c r="X128" s="88"/>
      <c r="Y128" s="87" t="str">
        <f>IF(D128="","",IFERROR(VLOOKUP(I128,Assumptions!$B$40:$H$50,6,FALSE()),0)*M128)</f>
        <v/>
      </c>
      <c r="Z128" s="87" t="str">
        <f>IF(D128="","",IFERROR(VLOOKUP(I128,Assumptions!$B$40:$H$50,7,FALSE()),0)*M128)</f>
        <v/>
      </c>
      <c r="AA128" s="96" t="str">
        <f t="shared" si="29"/>
        <v/>
      </c>
      <c r="AB128" s="84" t="str">
        <f t="shared" si="30"/>
        <v/>
      </c>
      <c r="AC128" s="99"/>
      <c r="AD128" s="99"/>
      <c r="AE128" s="99"/>
      <c r="AF128" s="98" t="str">
        <f t="shared" si="31"/>
        <v>-</v>
      </c>
    </row>
    <row r="129" spans="2:32" ht="14.25" customHeight="1" thickBot="1" x14ac:dyDescent="0.4">
      <c r="B129" s="84" t="str">
        <f t="shared" si="24"/>
        <v/>
      </c>
      <c r="C129" s="85"/>
      <c r="D129" s="91"/>
      <c r="E129" s="68" t="str">
        <f>IF(D129="","",IFERROR(VLOOKUP(D129,'Portfolio List'!$B$4:$I$76,5,FALSE()),""))</f>
        <v/>
      </c>
      <c r="F129" s="68" t="str">
        <f>IF(D129="","",IFERROR(VLOOKUP(D129,'Portfolio List'!$B$4:$I$76,6,FALSE()),""))</f>
        <v/>
      </c>
      <c r="G129" s="68" t="str">
        <f>IF(D129="","",IFERROR(VLOOKUP(D129,'Portfolio List'!$B$4:$I$76,7,FALSE()),""))</f>
        <v/>
      </c>
      <c r="H129" s="71" t="str">
        <f>IF(D129="","",IFERROR(VLOOKUP(D129,'Portfolio List'!$B$4:$I$76,4,FALSE()),""))</f>
        <v/>
      </c>
      <c r="I129" s="91"/>
      <c r="J129" s="84" t="str">
        <f t="shared" si="23"/>
        <v/>
      </c>
      <c r="K129" s="91"/>
      <c r="L129" s="85"/>
      <c r="M129" s="97"/>
      <c r="N129" s="180"/>
      <c r="O129" s="92"/>
      <c r="P129" s="87">
        <f>IF(D129="",0,IF(I129="LED Lighting",M129*IF(AC129="Studio",Assumptions!$C$15,IF(AC129="1 Bedroom",Assumptions!$C$16,IF(AC129="2 Bedroom",Assumptions!$C$17,IF(AC129="3 Bedroom",Assumptions!$C$18,Assumptions!$C$16))))*N129*365/1000,IFERROR(VLOOKUP(I129,Assumptions!$B$40:$H$50,2,FALSE()),0)*M129))</f>
        <v>0</v>
      </c>
      <c r="Q129" s="87">
        <f>IF(D129="",0,IFERROR(VLOOKUP(I129,Assumptions!$B$40:$H$50,3,FALSE()),0)*M129)</f>
        <v>0</v>
      </c>
      <c r="R129" s="77">
        <f>IF(G129="",0.2161,IFERROR(VLOOKUP(G129,Assumptions!$B$53:$C$61,2,FALSE())/100,0.2161))</f>
        <v>0.21609999999999999</v>
      </c>
      <c r="S129" s="77">
        <f>IF(G129="",0,IFERROR(VLOOKUP(G129,Assumptions!$B$64:$C$72,2,FALSE())/1000,0.008))</f>
        <v>0</v>
      </c>
      <c r="T129" s="93" t="str">
        <f t="shared" si="25"/>
        <v/>
      </c>
      <c r="U129" s="93" t="str">
        <f t="shared" si="26"/>
        <v/>
      </c>
      <c r="V129" s="93" t="str">
        <f t="shared" si="27"/>
        <v/>
      </c>
      <c r="W129" s="94" t="str">
        <f t="shared" si="28"/>
        <v/>
      </c>
      <c r="X129" s="88"/>
      <c r="Y129" s="87" t="str">
        <f>IF(D129="","",IFERROR(VLOOKUP(I129,Assumptions!$B$40:$H$50,6,FALSE()),0)*M129)</f>
        <v/>
      </c>
      <c r="Z129" s="87" t="str">
        <f>IF(D129="","",IFERROR(VLOOKUP(I129,Assumptions!$B$40:$H$50,7,FALSE()),0)*M129)</f>
        <v/>
      </c>
      <c r="AA129" s="96" t="str">
        <f t="shared" si="29"/>
        <v/>
      </c>
      <c r="AB129" s="84" t="str">
        <f t="shared" si="30"/>
        <v/>
      </c>
      <c r="AC129" s="99"/>
      <c r="AD129" s="99"/>
      <c r="AE129" s="99"/>
      <c r="AF129" s="98" t="str">
        <f t="shared" si="31"/>
        <v>-</v>
      </c>
    </row>
    <row r="130" spans="2:32" ht="14.25" customHeight="1" thickBot="1" x14ac:dyDescent="0.4">
      <c r="B130" s="84" t="str">
        <f t="shared" si="24"/>
        <v/>
      </c>
      <c r="C130" s="85"/>
      <c r="D130" s="91"/>
      <c r="E130" s="68" t="str">
        <f>IF(D130="","",IFERROR(VLOOKUP(D130,'Portfolio List'!$B$4:$I$76,5,FALSE()),""))</f>
        <v/>
      </c>
      <c r="F130" s="68" t="str">
        <f>IF(D130="","",IFERROR(VLOOKUP(D130,'Portfolio List'!$B$4:$I$76,6,FALSE()),""))</f>
        <v/>
      </c>
      <c r="G130" s="68" t="str">
        <f>IF(D130="","",IFERROR(VLOOKUP(D130,'Portfolio List'!$B$4:$I$76,7,FALSE()),""))</f>
        <v/>
      </c>
      <c r="H130" s="71" t="str">
        <f>IF(D130="","",IFERROR(VLOOKUP(D130,'Portfolio List'!$B$4:$I$76,4,FALSE()),""))</f>
        <v/>
      </c>
      <c r="I130" s="91"/>
      <c r="J130" s="84" t="str">
        <f t="shared" si="23"/>
        <v/>
      </c>
      <c r="K130" s="91"/>
      <c r="L130" s="85"/>
      <c r="M130" s="97"/>
      <c r="N130" s="180"/>
      <c r="O130" s="92"/>
      <c r="P130" s="87">
        <f>IF(D130="",0,IF(I130="LED Lighting",M130*IF(AC130="Studio",Assumptions!$C$15,IF(AC130="1 Bedroom",Assumptions!$C$16,IF(AC130="2 Bedroom",Assumptions!$C$17,IF(AC130="3 Bedroom",Assumptions!$C$18,Assumptions!$C$16))))*N130*365/1000,IFERROR(VLOOKUP(I130,Assumptions!$B$40:$H$50,2,FALSE()),0)*M130))</f>
        <v>0</v>
      </c>
      <c r="Q130" s="87">
        <f>IF(D130="",0,IFERROR(VLOOKUP(I130,Assumptions!$B$40:$H$50,3,FALSE()),0)*M130)</f>
        <v>0</v>
      </c>
      <c r="R130" s="77">
        <f>IF(G130="",0.2161,IFERROR(VLOOKUP(G130,Assumptions!$B$53:$C$61,2,FALSE())/100,0.2161))</f>
        <v>0.21609999999999999</v>
      </c>
      <c r="S130" s="77">
        <f>IF(G130="",0,IFERROR(VLOOKUP(G130,Assumptions!$B$64:$C$72,2,FALSE())/1000,0.008))</f>
        <v>0</v>
      </c>
      <c r="T130" s="93" t="str">
        <f t="shared" si="25"/>
        <v/>
      </c>
      <c r="U130" s="93" t="str">
        <f t="shared" si="26"/>
        <v/>
      </c>
      <c r="V130" s="93" t="str">
        <f t="shared" si="27"/>
        <v/>
      </c>
      <c r="W130" s="94" t="str">
        <f t="shared" si="28"/>
        <v/>
      </c>
      <c r="X130" s="88"/>
      <c r="Y130" s="87" t="str">
        <f>IF(D130="","",IFERROR(VLOOKUP(I130,Assumptions!$B$40:$H$50,6,FALSE()),0)*M130)</f>
        <v/>
      </c>
      <c r="Z130" s="87" t="str">
        <f>IF(D130="","",IFERROR(VLOOKUP(I130,Assumptions!$B$40:$H$50,7,FALSE()),0)*M130)</f>
        <v/>
      </c>
      <c r="AA130" s="96" t="str">
        <f t="shared" si="29"/>
        <v/>
      </c>
      <c r="AB130" s="84" t="str">
        <f t="shared" si="30"/>
        <v/>
      </c>
      <c r="AC130" s="99"/>
      <c r="AD130" s="99"/>
      <c r="AE130" s="99"/>
      <c r="AF130" s="98" t="str">
        <f t="shared" si="31"/>
        <v>-</v>
      </c>
    </row>
    <row r="131" spans="2:32" ht="14.25" customHeight="1" thickBot="1" x14ac:dyDescent="0.4">
      <c r="B131" s="84" t="str">
        <f t="shared" si="24"/>
        <v/>
      </c>
      <c r="C131" s="85"/>
      <c r="D131" s="91"/>
      <c r="E131" s="68" t="str">
        <f>IF(D131="","",IFERROR(VLOOKUP(D131,'Portfolio List'!$B$4:$I$76,5,FALSE()),""))</f>
        <v/>
      </c>
      <c r="F131" s="68" t="str">
        <f>IF(D131="","",IFERROR(VLOOKUP(D131,'Portfolio List'!$B$4:$I$76,6,FALSE()),""))</f>
        <v/>
      </c>
      <c r="G131" s="68" t="str">
        <f>IF(D131="","",IFERROR(VLOOKUP(D131,'Portfolio List'!$B$4:$I$76,7,FALSE()),""))</f>
        <v/>
      </c>
      <c r="H131" s="71" t="str">
        <f>IF(D131="","",IFERROR(VLOOKUP(D131,'Portfolio List'!$B$4:$I$76,4,FALSE()),""))</f>
        <v/>
      </c>
      <c r="I131" s="91"/>
      <c r="J131" s="84" t="str">
        <f t="shared" si="23"/>
        <v/>
      </c>
      <c r="K131" s="91"/>
      <c r="L131" s="85"/>
      <c r="M131" s="97"/>
      <c r="N131" s="180"/>
      <c r="O131" s="92"/>
      <c r="P131" s="87">
        <f>IF(D131="",0,IF(I131="LED Lighting",M131*IF(AC131="Studio",Assumptions!$C$15,IF(AC131="1 Bedroom",Assumptions!$C$16,IF(AC131="2 Bedroom",Assumptions!$C$17,IF(AC131="3 Bedroom",Assumptions!$C$18,Assumptions!$C$16))))*N131*365/1000,IFERROR(VLOOKUP(I131,Assumptions!$B$40:$H$50,2,FALSE()),0)*M131))</f>
        <v>0</v>
      </c>
      <c r="Q131" s="87">
        <f>IF(D131="",0,IFERROR(VLOOKUP(I131,Assumptions!$B$40:$H$50,3,FALSE()),0)*M131)</f>
        <v>0</v>
      </c>
      <c r="R131" s="77">
        <f>IF(G131="",0.2161,IFERROR(VLOOKUP(G131,Assumptions!$B$53:$C$61,2,FALSE())/100,0.2161))</f>
        <v>0.21609999999999999</v>
      </c>
      <c r="S131" s="77">
        <f>IF(G131="",0,IFERROR(VLOOKUP(G131,Assumptions!$B$64:$C$72,2,FALSE())/1000,0.008))</f>
        <v>0</v>
      </c>
      <c r="T131" s="93" t="str">
        <f t="shared" si="25"/>
        <v/>
      </c>
      <c r="U131" s="93" t="str">
        <f t="shared" si="26"/>
        <v/>
      </c>
      <c r="V131" s="93" t="str">
        <f t="shared" si="27"/>
        <v/>
      </c>
      <c r="W131" s="94" t="str">
        <f t="shared" si="28"/>
        <v/>
      </c>
      <c r="X131" s="88"/>
      <c r="Y131" s="87" t="str">
        <f>IF(D131="","",IFERROR(VLOOKUP(I131,Assumptions!$B$40:$H$50,6,FALSE()),0)*M131)</f>
        <v/>
      </c>
      <c r="Z131" s="87" t="str">
        <f>IF(D131="","",IFERROR(VLOOKUP(I131,Assumptions!$B$40:$H$50,7,FALSE()),0)*M131)</f>
        <v/>
      </c>
      <c r="AA131" s="96" t="str">
        <f t="shared" si="29"/>
        <v/>
      </c>
      <c r="AB131" s="84" t="str">
        <f t="shared" si="30"/>
        <v/>
      </c>
      <c r="AC131" s="99"/>
      <c r="AD131" s="99"/>
      <c r="AE131" s="99"/>
      <c r="AF131" s="98" t="str">
        <f t="shared" si="31"/>
        <v>-</v>
      </c>
    </row>
    <row r="132" spans="2:32" ht="14.25" customHeight="1" thickBot="1" x14ac:dyDescent="0.4">
      <c r="B132" s="84" t="str">
        <f t="shared" si="24"/>
        <v/>
      </c>
      <c r="C132" s="85"/>
      <c r="D132" s="91"/>
      <c r="E132" s="68" t="str">
        <f>IF(D132="","",IFERROR(VLOOKUP(D132,'Portfolio List'!$B$4:$I$76,5,FALSE()),""))</f>
        <v/>
      </c>
      <c r="F132" s="68" t="str">
        <f>IF(D132="","",IFERROR(VLOOKUP(D132,'Portfolio List'!$B$4:$I$76,6,FALSE()),""))</f>
        <v/>
      </c>
      <c r="G132" s="68" t="str">
        <f>IF(D132="","",IFERROR(VLOOKUP(D132,'Portfolio List'!$B$4:$I$76,7,FALSE()),""))</f>
        <v/>
      </c>
      <c r="H132" s="71" t="str">
        <f>IF(D132="","",IFERROR(VLOOKUP(D132,'Portfolio List'!$B$4:$I$76,4,FALSE()),""))</f>
        <v/>
      </c>
      <c r="I132" s="91"/>
      <c r="J132" s="84" t="str">
        <f t="shared" si="23"/>
        <v/>
      </c>
      <c r="K132" s="91"/>
      <c r="L132" s="85"/>
      <c r="M132" s="97"/>
      <c r="N132" s="180"/>
      <c r="O132" s="92"/>
      <c r="P132" s="87">
        <f>IF(D132="",0,IF(I132="LED Lighting",M132*IF(AC132="Studio",Assumptions!$C$15,IF(AC132="1 Bedroom",Assumptions!$C$16,IF(AC132="2 Bedroom",Assumptions!$C$17,IF(AC132="3 Bedroom",Assumptions!$C$18,Assumptions!$C$16))))*N132*365/1000,IFERROR(VLOOKUP(I132,Assumptions!$B$40:$H$50,2,FALSE()),0)*M132))</f>
        <v>0</v>
      </c>
      <c r="Q132" s="87">
        <f>IF(D132="",0,IFERROR(VLOOKUP(I132,Assumptions!$B$40:$H$50,3,FALSE()),0)*M132)</f>
        <v>0</v>
      </c>
      <c r="R132" s="77">
        <f>IF(G132="",0.2161,IFERROR(VLOOKUP(G132,Assumptions!$B$53:$C$61,2,FALSE())/100,0.2161))</f>
        <v>0.21609999999999999</v>
      </c>
      <c r="S132" s="77">
        <f>IF(G132="",0,IFERROR(VLOOKUP(G132,Assumptions!$B$64:$C$72,2,FALSE())/1000,0.008))</f>
        <v>0</v>
      </c>
      <c r="T132" s="93" t="str">
        <f t="shared" si="25"/>
        <v/>
      </c>
      <c r="U132" s="93" t="str">
        <f t="shared" si="26"/>
        <v/>
      </c>
      <c r="V132" s="93" t="str">
        <f t="shared" si="27"/>
        <v/>
      </c>
      <c r="W132" s="94" t="str">
        <f t="shared" si="28"/>
        <v/>
      </c>
      <c r="X132" s="88"/>
      <c r="Y132" s="87" t="str">
        <f>IF(D132="","",IFERROR(VLOOKUP(I132,Assumptions!$B$40:$H$50,6,FALSE()),0)*M132)</f>
        <v/>
      </c>
      <c r="Z132" s="87" t="str">
        <f>IF(D132="","",IFERROR(VLOOKUP(I132,Assumptions!$B$40:$H$50,7,FALSE()),0)*M132)</f>
        <v/>
      </c>
      <c r="AA132" s="96" t="str">
        <f t="shared" si="29"/>
        <v/>
      </c>
      <c r="AB132" s="84" t="str">
        <f t="shared" si="30"/>
        <v/>
      </c>
      <c r="AC132" s="99"/>
      <c r="AD132" s="99"/>
      <c r="AE132" s="99"/>
      <c r="AF132" s="98" t="str">
        <f t="shared" si="31"/>
        <v>-</v>
      </c>
    </row>
    <row r="133" spans="2:32" ht="14.25" customHeight="1" thickBot="1" x14ac:dyDescent="0.4">
      <c r="B133" s="84" t="str">
        <f t="shared" si="24"/>
        <v/>
      </c>
      <c r="C133" s="85"/>
      <c r="D133" s="91"/>
      <c r="E133" s="68" t="str">
        <f>IF(D133="","",IFERROR(VLOOKUP(D133,'Portfolio List'!$B$4:$I$76,5,FALSE()),""))</f>
        <v/>
      </c>
      <c r="F133" s="68" t="str">
        <f>IF(D133="","",IFERROR(VLOOKUP(D133,'Portfolio List'!$B$4:$I$76,6,FALSE()),""))</f>
        <v/>
      </c>
      <c r="G133" s="68" t="str">
        <f>IF(D133="","",IFERROR(VLOOKUP(D133,'Portfolio List'!$B$4:$I$76,7,FALSE()),""))</f>
        <v/>
      </c>
      <c r="H133" s="71" t="str">
        <f>IF(D133="","",IFERROR(VLOOKUP(D133,'Portfolio List'!$B$4:$I$76,4,FALSE()),""))</f>
        <v/>
      </c>
      <c r="I133" s="91"/>
      <c r="J133" s="84" t="str">
        <f t="shared" si="23"/>
        <v/>
      </c>
      <c r="K133" s="91"/>
      <c r="L133" s="85"/>
      <c r="M133" s="97"/>
      <c r="N133" s="180"/>
      <c r="O133" s="92"/>
      <c r="P133" s="87">
        <f>IF(D133="",0,IF(I133="LED Lighting",M133*IF(AC133="Studio",Assumptions!$C$15,IF(AC133="1 Bedroom",Assumptions!$C$16,IF(AC133="2 Bedroom",Assumptions!$C$17,IF(AC133="3 Bedroom",Assumptions!$C$18,Assumptions!$C$16))))*N133*365/1000,IFERROR(VLOOKUP(I133,Assumptions!$B$40:$H$50,2,FALSE()),0)*M133))</f>
        <v>0</v>
      </c>
      <c r="Q133" s="87">
        <f>IF(D133="",0,IFERROR(VLOOKUP(I133,Assumptions!$B$40:$H$50,3,FALSE()),0)*M133)</f>
        <v>0</v>
      </c>
      <c r="R133" s="77">
        <f>IF(G133="",0.2161,IFERROR(VLOOKUP(G133,Assumptions!$B$53:$C$61,2,FALSE())/100,0.2161))</f>
        <v>0.21609999999999999</v>
      </c>
      <c r="S133" s="77">
        <f>IF(G133="",0,IFERROR(VLOOKUP(G133,Assumptions!$B$64:$C$72,2,FALSE())/1000,0.008))</f>
        <v>0</v>
      </c>
      <c r="T133" s="93" t="str">
        <f t="shared" si="25"/>
        <v/>
      </c>
      <c r="U133" s="93" t="str">
        <f t="shared" si="26"/>
        <v/>
      </c>
      <c r="V133" s="93" t="str">
        <f t="shared" si="27"/>
        <v/>
      </c>
      <c r="W133" s="94" t="str">
        <f t="shared" si="28"/>
        <v/>
      </c>
      <c r="X133" s="88"/>
      <c r="Y133" s="87" t="str">
        <f>IF(D133="","",IFERROR(VLOOKUP(I133,Assumptions!$B$40:$H$50,6,FALSE()),0)*M133)</f>
        <v/>
      </c>
      <c r="Z133" s="87" t="str">
        <f>IF(D133="","",IFERROR(VLOOKUP(I133,Assumptions!$B$40:$H$50,7,FALSE()),0)*M133)</f>
        <v/>
      </c>
      <c r="AA133" s="96" t="str">
        <f t="shared" si="29"/>
        <v/>
      </c>
      <c r="AB133" s="84" t="str">
        <f t="shared" si="30"/>
        <v/>
      </c>
      <c r="AC133" s="99"/>
      <c r="AD133" s="99"/>
      <c r="AE133" s="99"/>
      <c r="AF133" s="98" t="str">
        <f t="shared" si="31"/>
        <v>-</v>
      </c>
    </row>
    <row r="134" spans="2:32" ht="14.25" customHeight="1" thickBot="1" x14ac:dyDescent="0.4">
      <c r="B134" s="84" t="str">
        <f t="shared" si="24"/>
        <v/>
      </c>
      <c r="C134" s="85"/>
      <c r="D134" s="91"/>
      <c r="E134" s="68" t="str">
        <f>IF(D134="","",IFERROR(VLOOKUP(D134,'Portfolio List'!$B$4:$I$76,5,FALSE()),""))</f>
        <v/>
      </c>
      <c r="F134" s="68" t="str">
        <f>IF(D134="","",IFERROR(VLOOKUP(D134,'Portfolio List'!$B$4:$I$76,6,FALSE()),""))</f>
        <v/>
      </c>
      <c r="G134" s="68" t="str">
        <f>IF(D134="","",IFERROR(VLOOKUP(D134,'Portfolio List'!$B$4:$I$76,7,FALSE()),""))</f>
        <v/>
      </c>
      <c r="H134" s="71" t="str">
        <f>IF(D134="","",IFERROR(VLOOKUP(D134,'Portfolio List'!$B$4:$I$76,4,FALSE()),""))</f>
        <v/>
      </c>
      <c r="I134" s="91"/>
      <c r="J134" s="84" t="str">
        <f t="shared" si="23"/>
        <v/>
      </c>
      <c r="K134" s="91"/>
      <c r="L134" s="85"/>
      <c r="M134" s="97"/>
      <c r="N134" s="180"/>
      <c r="O134" s="92"/>
      <c r="P134" s="87">
        <f>IF(D134="",0,IF(I134="LED Lighting",M134*IF(AC134="Studio",Assumptions!$C$15,IF(AC134="1 Bedroom",Assumptions!$C$16,IF(AC134="2 Bedroom",Assumptions!$C$17,IF(AC134="3 Bedroom",Assumptions!$C$18,Assumptions!$C$16))))*N134*365/1000,IFERROR(VLOOKUP(I134,Assumptions!$B$40:$H$50,2,FALSE()),0)*M134))</f>
        <v>0</v>
      </c>
      <c r="Q134" s="87">
        <f>IF(D134="",0,IFERROR(VLOOKUP(I134,Assumptions!$B$40:$H$50,3,FALSE()),0)*M134)</f>
        <v>0</v>
      </c>
      <c r="R134" s="77">
        <f>IF(G134="",0.2161,IFERROR(VLOOKUP(G134,Assumptions!$B$53:$C$61,2,FALSE())/100,0.2161))</f>
        <v>0.21609999999999999</v>
      </c>
      <c r="S134" s="77">
        <f>IF(G134="",0,IFERROR(VLOOKUP(G134,Assumptions!$B$64:$C$72,2,FALSE())/1000,0.008))</f>
        <v>0</v>
      </c>
      <c r="T134" s="93" t="str">
        <f t="shared" ref="T134:T165" si="32">IF(D134="","",P134*R134)</f>
        <v/>
      </c>
      <c r="U134" s="93" t="str">
        <f t="shared" ref="U134:U165" si="33">IF(D134="","",Q134*S134)</f>
        <v/>
      </c>
      <c r="V134" s="93" t="str">
        <f t="shared" ref="V134:V165" si="34">IF(D134="","",T134+U134)</f>
        <v/>
      </c>
      <c r="W134" s="94" t="str">
        <f t="shared" ref="W134:W165" si="35">IF(OR(D134="",O134="",O134&lt;=0,V134="",V134&lt;=0),"",IFERROR(O134/V134,""))</f>
        <v/>
      </c>
      <c r="X134" s="88"/>
      <c r="Y134" s="87" t="str">
        <f>IF(D134="","",IFERROR(VLOOKUP(I134,Assumptions!$B$40:$H$50,6,FALSE()),0)*M134)</f>
        <v/>
      </c>
      <c r="Z134" s="87" t="str">
        <f>IF(D134="","",IFERROR(VLOOKUP(I134,Assumptions!$B$40:$H$50,7,FALSE()),0)*M134)</f>
        <v/>
      </c>
      <c r="AA134" s="96" t="str">
        <f t="shared" ref="AA134:AA165" si="36">IF(L134="","",YEAR(L134))</f>
        <v/>
      </c>
      <c r="AB134" s="84" t="str">
        <f t="shared" ref="AB134:AB165" si="37">IF(L134="","","Q"&amp;INT((MONTH(L134)+2)/3))</f>
        <v/>
      </c>
      <c r="AC134" s="99"/>
      <c r="AD134" s="99"/>
      <c r="AE134" s="99"/>
      <c r="AF134" s="98" t="str">
        <f t="shared" ref="AF134:AF165" si="38">IFERROR(AE134/AD134,"-")</f>
        <v>-</v>
      </c>
    </row>
    <row r="135" spans="2:32" ht="14.25" customHeight="1" thickBot="1" x14ac:dyDescent="0.4">
      <c r="B135" s="84" t="str">
        <f t="shared" si="24"/>
        <v/>
      </c>
      <c r="C135" s="85"/>
      <c r="D135" s="91"/>
      <c r="E135" s="68" t="str">
        <f>IF(D135="","",IFERROR(VLOOKUP(D135,'Portfolio List'!$B$4:$I$76,5,FALSE()),""))</f>
        <v/>
      </c>
      <c r="F135" s="68" t="str">
        <f>IF(D135="","",IFERROR(VLOOKUP(D135,'Portfolio List'!$B$4:$I$76,6,FALSE()),""))</f>
        <v/>
      </c>
      <c r="G135" s="68" t="str">
        <f>IF(D135="","",IFERROR(VLOOKUP(D135,'Portfolio List'!$B$4:$I$76,7,FALSE()),""))</f>
        <v/>
      </c>
      <c r="H135" s="71" t="str">
        <f>IF(D135="","",IFERROR(VLOOKUP(D135,'Portfolio List'!$B$4:$I$76,4,FALSE()),""))</f>
        <v/>
      </c>
      <c r="I135" s="91"/>
      <c r="J135" s="84" t="str">
        <f t="shared" ref="J135:J198" si="39">IF(I135="","",IF(OR(I135="LED Lighting",I135="Energy Star Refrigerator",I135="Energy Star Range",I135="Energy Star AC Unit"),"Energy",IF(OR(I135="Low-Flow Toilet",I135="Low-Flow Faucet (Bathroom)",I135="Low-Flow Faucet (Kitchen)",I135="Low-Flow Shower Head"),"Water",IF(OR(I135="Energy Star Dishwasher",I135="Energy Star Washer/Dryer"),"Both","Other"))))</f>
        <v/>
      </c>
      <c r="K135" s="91"/>
      <c r="L135" s="85"/>
      <c r="M135" s="97"/>
      <c r="N135" s="180"/>
      <c r="O135" s="92"/>
      <c r="P135" s="87">
        <f>IF(D135="",0,IF(I135="LED Lighting",M135*IF(AC135="Studio",Assumptions!$C$15,IF(AC135="1 Bedroom",Assumptions!$C$16,IF(AC135="2 Bedroom",Assumptions!$C$17,IF(AC135="3 Bedroom",Assumptions!$C$18,Assumptions!$C$16))))*N135*365/1000,IFERROR(VLOOKUP(I135,Assumptions!$B$40:$H$50,2,FALSE()),0)*M135))</f>
        <v>0</v>
      </c>
      <c r="Q135" s="87">
        <f>IF(D135="",0,IFERROR(VLOOKUP(I135,Assumptions!$B$40:$H$50,3,FALSE()),0)*M135)</f>
        <v>0</v>
      </c>
      <c r="R135" s="77">
        <f>IF(G135="",0.2161,IFERROR(VLOOKUP(G135,Assumptions!$B$53:$C$61,2,FALSE())/100,0.2161))</f>
        <v>0.21609999999999999</v>
      </c>
      <c r="S135" s="77">
        <f>IF(G135="",0,IFERROR(VLOOKUP(G135,Assumptions!$B$64:$C$72,2,FALSE())/1000,0.008))</f>
        <v>0</v>
      </c>
      <c r="T135" s="93" t="str">
        <f t="shared" si="32"/>
        <v/>
      </c>
      <c r="U135" s="93" t="str">
        <f t="shared" si="33"/>
        <v/>
      </c>
      <c r="V135" s="93" t="str">
        <f t="shared" si="34"/>
        <v/>
      </c>
      <c r="W135" s="94" t="str">
        <f t="shared" si="35"/>
        <v/>
      </c>
      <c r="X135" s="88"/>
      <c r="Y135" s="87" t="str">
        <f>IF(D135="","",IFERROR(VLOOKUP(I135,Assumptions!$B$40:$H$50,6,FALSE()),0)*M135)</f>
        <v/>
      </c>
      <c r="Z135" s="87" t="str">
        <f>IF(D135="","",IFERROR(VLOOKUP(I135,Assumptions!$B$40:$H$50,7,FALSE()),0)*M135)</f>
        <v/>
      </c>
      <c r="AA135" s="96" t="str">
        <f t="shared" si="36"/>
        <v/>
      </c>
      <c r="AB135" s="84" t="str">
        <f t="shared" si="37"/>
        <v/>
      </c>
      <c r="AC135" s="99"/>
      <c r="AD135" s="99"/>
      <c r="AE135" s="99"/>
      <c r="AF135" s="98" t="str">
        <f t="shared" si="38"/>
        <v>-</v>
      </c>
    </row>
    <row r="136" spans="2:32" ht="14.25" customHeight="1" thickBot="1" x14ac:dyDescent="0.4">
      <c r="B136" s="84" t="str">
        <f t="shared" ref="B136:B199" si="40">IF($D136="","",B135+1)</f>
        <v/>
      </c>
      <c r="C136" s="85"/>
      <c r="D136" s="91"/>
      <c r="E136" s="68" t="str">
        <f>IF(D136="","",IFERROR(VLOOKUP(D136,'Portfolio List'!$B$4:$I$76,5,FALSE()),""))</f>
        <v/>
      </c>
      <c r="F136" s="68" t="str">
        <f>IF(D136="","",IFERROR(VLOOKUP(D136,'Portfolio List'!$B$4:$I$76,6,FALSE()),""))</f>
        <v/>
      </c>
      <c r="G136" s="68" t="str">
        <f>IF(D136="","",IFERROR(VLOOKUP(D136,'Portfolio List'!$B$4:$I$76,7,FALSE()),""))</f>
        <v/>
      </c>
      <c r="H136" s="71" t="str">
        <f>IF(D136="","",IFERROR(VLOOKUP(D136,'Portfolio List'!$B$4:$I$76,4,FALSE()),""))</f>
        <v/>
      </c>
      <c r="I136" s="91"/>
      <c r="J136" s="84" t="str">
        <f t="shared" si="39"/>
        <v/>
      </c>
      <c r="K136" s="91"/>
      <c r="L136" s="85"/>
      <c r="M136" s="97"/>
      <c r="N136" s="180"/>
      <c r="O136" s="92"/>
      <c r="P136" s="87">
        <f>IF(D136="",0,IF(I136="LED Lighting",M136*IF(AC136="Studio",Assumptions!$C$15,IF(AC136="1 Bedroom",Assumptions!$C$16,IF(AC136="2 Bedroom",Assumptions!$C$17,IF(AC136="3 Bedroom",Assumptions!$C$18,Assumptions!$C$16))))*N136*365/1000,IFERROR(VLOOKUP(I136,Assumptions!$B$40:$H$50,2,FALSE()),0)*M136))</f>
        <v>0</v>
      </c>
      <c r="Q136" s="87">
        <f>IF(D136="",0,IFERROR(VLOOKUP(I136,Assumptions!$B$40:$H$50,3,FALSE()),0)*M136)</f>
        <v>0</v>
      </c>
      <c r="R136" s="77">
        <f>IF(G136="",0.2161,IFERROR(VLOOKUP(G136,Assumptions!$B$53:$C$61,2,FALSE())/100,0.2161))</f>
        <v>0.21609999999999999</v>
      </c>
      <c r="S136" s="77">
        <f>IF(G136="",0,IFERROR(VLOOKUP(G136,Assumptions!$B$64:$C$72,2,FALSE())/1000,0.008))</f>
        <v>0</v>
      </c>
      <c r="T136" s="93" t="str">
        <f t="shared" si="32"/>
        <v/>
      </c>
      <c r="U136" s="93" t="str">
        <f t="shared" si="33"/>
        <v/>
      </c>
      <c r="V136" s="93" t="str">
        <f t="shared" si="34"/>
        <v/>
      </c>
      <c r="W136" s="94" t="str">
        <f t="shared" si="35"/>
        <v/>
      </c>
      <c r="X136" s="88"/>
      <c r="Y136" s="87" t="str">
        <f>IF(D136="","",IFERROR(VLOOKUP(I136,Assumptions!$B$40:$H$50,6,FALSE()),0)*M136)</f>
        <v/>
      </c>
      <c r="Z136" s="87" t="str">
        <f>IF(D136="","",IFERROR(VLOOKUP(I136,Assumptions!$B$40:$H$50,7,FALSE()),0)*M136)</f>
        <v/>
      </c>
      <c r="AA136" s="96" t="str">
        <f t="shared" si="36"/>
        <v/>
      </c>
      <c r="AB136" s="84" t="str">
        <f t="shared" si="37"/>
        <v/>
      </c>
      <c r="AC136" s="99"/>
      <c r="AD136" s="99"/>
      <c r="AE136" s="99"/>
      <c r="AF136" s="98" t="str">
        <f t="shared" si="38"/>
        <v>-</v>
      </c>
    </row>
    <row r="137" spans="2:32" ht="14.25" customHeight="1" thickBot="1" x14ac:dyDescent="0.4">
      <c r="B137" s="84" t="str">
        <f t="shared" si="40"/>
        <v/>
      </c>
      <c r="C137" s="85"/>
      <c r="D137" s="91"/>
      <c r="E137" s="68" t="str">
        <f>IF(D137="","",IFERROR(VLOOKUP(D137,'Portfolio List'!$B$4:$I$76,5,FALSE()),""))</f>
        <v/>
      </c>
      <c r="F137" s="68" t="str">
        <f>IF(D137="","",IFERROR(VLOOKUP(D137,'Portfolio List'!$B$4:$I$76,6,FALSE()),""))</f>
        <v/>
      </c>
      <c r="G137" s="68" t="str">
        <f>IF(D137="","",IFERROR(VLOOKUP(D137,'Portfolio List'!$B$4:$I$76,7,FALSE()),""))</f>
        <v/>
      </c>
      <c r="H137" s="71" t="str">
        <f>IF(D137="","",IFERROR(VLOOKUP(D137,'Portfolio List'!$B$4:$I$76,4,FALSE()),""))</f>
        <v/>
      </c>
      <c r="I137" s="91"/>
      <c r="J137" s="84" t="str">
        <f t="shared" si="39"/>
        <v/>
      </c>
      <c r="K137" s="91"/>
      <c r="L137" s="85"/>
      <c r="M137" s="97"/>
      <c r="N137" s="180"/>
      <c r="O137" s="92"/>
      <c r="P137" s="87">
        <f>IF(D137="",0,IF(I137="LED Lighting",M137*IF(AC137="Studio",Assumptions!$C$15,IF(AC137="1 Bedroom",Assumptions!$C$16,IF(AC137="2 Bedroom",Assumptions!$C$17,IF(AC137="3 Bedroom",Assumptions!$C$18,Assumptions!$C$16))))*N137*365/1000,IFERROR(VLOOKUP(I137,Assumptions!$B$40:$H$50,2,FALSE()),0)*M137))</f>
        <v>0</v>
      </c>
      <c r="Q137" s="87">
        <f>IF(D137="",0,IFERROR(VLOOKUP(I137,Assumptions!$B$40:$H$50,3,FALSE()),0)*M137)</f>
        <v>0</v>
      </c>
      <c r="R137" s="77">
        <f>IF(G137="",0.2161,IFERROR(VLOOKUP(G137,Assumptions!$B$53:$C$61,2,FALSE())/100,0.2161))</f>
        <v>0.21609999999999999</v>
      </c>
      <c r="S137" s="77">
        <f>IF(G137="",0,IFERROR(VLOOKUP(G137,Assumptions!$B$64:$C$72,2,FALSE())/1000,0.008))</f>
        <v>0</v>
      </c>
      <c r="T137" s="93" t="str">
        <f t="shared" si="32"/>
        <v/>
      </c>
      <c r="U137" s="93" t="str">
        <f t="shared" si="33"/>
        <v/>
      </c>
      <c r="V137" s="93" t="str">
        <f t="shared" si="34"/>
        <v/>
      </c>
      <c r="W137" s="94" t="str">
        <f t="shared" si="35"/>
        <v/>
      </c>
      <c r="X137" s="88"/>
      <c r="Y137" s="87" t="str">
        <f>IF(D137="","",IFERROR(VLOOKUP(I137,Assumptions!$B$40:$H$50,6,FALSE()),0)*M137)</f>
        <v/>
      </c>
      <c r="Z137" s="87" t="str">
        <f>IF(D137="","",IFERROR(VLOOKUP(I137,Assumptions!$B$40:$H$50,7,FALSE()),0)*M137)</f>
        <v/>
      </c>
      <c r="AA137" s="96" t="str">
        <f t="shared" si="36"/>
        <v/>
      </c>
      <c r="AB137" s="84" t="str">
        <f t="shared" si="37"/>
        <v/>
      </c>
      <c r="AC137" s="99"/>
      <c r="AD137" s="99"/>
      <c r="AE137" s="99"/>
      <c r="AF137" s="98" t="str">
        <f t="shared" si="38"/>
        <v>-</v>
      </c>
    </row>
    <row r="138" spans="2:32" ht="14.25" customHeight="1" thickBot="1" x14ac:dyDescent="0.4">
      <c r="B138" s="84" t="str">
        <f t="shared" si="40"/>
        <v/>
      </c>
      <c r="C138" s="85"/>
      <c r="D138" s="91"/>
      <c r="E138" s="68" t="str">
        <f>IF(D138="","",IFERROR(VLOOKUP(D138,'Portfolio List'!$B$4:$I$76,5,FALSE()),""))</f>
        <v/>
      </c>
      <c r="F138" s="68" t="str">
        <f>IF(D138="","",IFERROR(VLOOKUP(D138,'Portfolio List'!$B$4:$I$76,6,FALSE()),""))</f>
        <v/>
      </c>
      <c r="G138" s="68" t="str">
        <f>IF(D138="","",IFERROR(VLOOKUP(D138,'Portfolio List'!$B$4:$I$76,7,FALSE()),""))</f>
        <v/>
      </c>
      <c r="H138" s="71" t="str">
        <f>IF(D138="","",IFERROR(VLOOKUP(D138,'Portfolio List'!$B$4:$I$76,4,FALSE()),""))</f>
        <v/>
      </c>
      <c r="I138" s="91"/>
      <c r="J138" s="84" t="str">
        <f t="shared" si="39"/>
        <v/>
      </c>
      <c r="K138" s="91"/>
      <c r="L138" s="85"/>
      <c r="M138" s="97"/>
      <c r="N138" s="180"/>
      <c r="O138" s="92"/>
      <c r="P138" s="87">
        <f>IF(D138="",0,IF(I138="LED Lighting",M138*IF(AC138="Studio",Assumptions!$C$15,IF(AC138="1 Bedroom",Assumptions!$C$16,IF(AC138="2 Bedroom",Assumptions!$C$17,IF(AC138="3 Bedroom",Assumptions!$C$18,Assumptions!$C$16))))*N138*365/1000,IFERROR(VLOOKUP(I138,Assumptions!$B$40:$H$50,2,FALSE()),0)*M138))</f>
        <v>0</v>
      </c>
      <c r="Q138" s="87">
        <f>IF(D138="",0,IFERROR(VLOOKUP(I138,Assumptions!$B$40:$H$50,3,FALSE()),0)*M138)</f>
        <v>0</v>
      </c>
      <c r="R138" s="77">
        <f>IF(G138="",0.2161,IFERROR(VLOOKUP(G138,Assumptions!$B$53:$C$61,2,FALSE())/100,0.2161))</f>
        <v>0.21609999999999999</v>
      </c>
      <c r="S138" s="77">
        <f>IF(G138="",0,IFERROR(VLOOKUP(G138,Assumptions!$B$64:$C$72,2,FALSE())/1000,0.008))</f>
        <v>0</v>
      </c>
      <c r="T138" s="93" t="str">
        <f t="shared" si="32"/>
        <v/>
      </c>
      <c r="U138" s="93" t="str">
        <f t="shared" si="33"/>
        <v/>
      </c>
      <c r="V138" s="93" t="str">
        <f t="shared" si="34"/>
        <v/>
      </c>
      <c r="W138" s="94" t="str">
        <f t="shared" si="35"/>
        <v/>
      </c>
      <c r="X138" s="88"/>
      <c r="Y138" s="87" t="str">
        <f>IF(D138="","",IFERROR(VLOOKUP(I138,Assumptions!$B$40:$H$50,6,FALSE()),0)*M138)</f>
        <v/>
      </c>
      <c r="Z138" s="87" t="str">
        <f>IF(D138="","",IFERROR(VLOOKUP(I138,Assumptions!$B$40:$H$50,7,FALSE()),0)*M138)</f>
        <v/>
      </c>
      <c r="AA138" s="96" t="str">
        <f t="shared" si="36"/>
        <v/>
      </c>
      <c r="AB138" s="84" t="str">
        <f t="shared" si="37"/>
        <v/>
      </c>
      <c r="AC138" s="99"/>
      <c r="AD138" s="99"/>
      <c r="AE138" s="99"/>
      <c r="AF138" s="98" t="str">
        <f t="shared" si="38"/>
        <v>-</v>
      </c>
    </row>
    <row r="139" spans="2:32" ht="14.25" customHeight="1" thickBot="1" x14ac:dyDescent="0.4">
      <c r="B139" s="84" t="str">
        <f t="shared" si="40"/>
        <v/>
      </c>
      <c r="C139" s="85"/>
      <c r="D139" s="91"/>
      <c r="E139" s="68" t="str">
        <f>IF(D139="","",IFERROR(VLOOKUP(D139,'Portfolio List'!$B$4:$I$76,5,FALSE()),""))</f>
        <v/>
      </c>
      <c r="F139" s="68" t="str">
        <f>IF(D139="","",IFERROR(VLOOKUP(D139,'Portfolio List'!$B$4:$I$76,6,FALSE()),""))</f>
        <v/>
      </c>
      <c r="G139" s="68" t="str">
        <f>IF(D139="","",IFERROR(VLOOKUP(D139,'Portfolio List'!$B$4:$I$76,7,FALSE()),""))</f>
        <v/>
      </c>
      <c r="H139" s="71" t="str">
        <f>IF(D139="","",IFERROR(VLOOKUP(D139,'Portfolio List'!$B$4:$I$76,4,FALSE()),""))</f>
        <v/>
      </c>
      <c r="I139" s="91"/>
      <c r="J139" s="84" t="str">
        <f t="shared" si="39"/>
        <v/>
      </c>
      <c r="K139" s="91"/>
      <c r="L139" s="85"/>
      <c r="M139" s="97"/>
      <c r="N139" s="180"/>
      <c r="O139" s="92"/>
      <c r="P139" s="87">
        <f>IF(D139="",0,IF(I139="LED Lighting",M139*IF(AC139="Studio",Assumptions!$C$15,IF(AC139="1 Bedroom",Assumptions!$C$16,IF(AC139="2 Bedroom",Assumptions!$C$17,IF(AC139="3 Bedroom",Assumptions!$C$18,Assumptions!$C$16))))*N139*365/1000,IFERROR(VLOOKUP(I139,Assumptions!$B$40:$H$50,2,FALSE()),0)*M139))</f>
        <v>0</v>
      </c>
      <c r="Q139" s="87">
        <f>IF(D139="",0,IFERROR(VLOOKUP(I139,Assumptions!$B$40:$H$50,3,FALSE()),0)*M139)</f>
        <v>0</v>
      </c>
      <c r="R139" s="77">
        <f>IF(G139="",0.2161,IFERROR(VLOOKUP(G139,Assumptions!$B$53:$C$61,2,FALSE())/100,0.2161))</f>
        <v>0.21609999999999999</v>
      </c>
      <c r="S139" s="77">
        <f>IF(G139="",0,IFERROR(VLOOKUP(G139,Assumptions!$B$64:$C$72,2,FALSE())/1000,0.008))</f>
        <v>0</v>
      </c>
      <c r="T139" s="93" t="str">
        <f t="shared" si="32"/>
        <v/>
      </c>
      <c r="U139" s="93" t="str">
        <f t="shared" si="33"/>
        <v/>
      </c>
      <c r="V139" s="93" t="str">
        <f t="shared" si="34"/>
        <v/>
      </c>
      <c r="W139" s="94" t="str">
        <f t="shared" si="35"/>
        <v/>
      </c>
      <c r="X139" s="88"/>
      <c r="Y139" s="87" t="str">
        <f>IF(D139="","",IFERROR(VLOOKUP(I139,Assumptions!$B$40:$H$50,6,FALSE()),0)*M139)</f>
        <v/>
      </c>
      <c r="Z139" s="87" t="str">
        <f>IF(D139="","",IFERROR(VLOOKUP(I139,Assumptions!$B$40:$H$50,7,FALSE()),0)*M139)</f>
        <v/>
      </c>
      <c r="AA139" s="96" t="str">
        <f t="shared" si="36"/>
        <v/>
      </c>
      <c r="AB139" s="84" t="str">
        <f t="shared" si="37"/>
        <v/>
      </c>
      <c r="AC139" s="99"/>
      <c r="AD139" s="99"/>
      <c r="AE139" s="99"/>
      <c r="AF139" s="98" t="str">
        <f t="shared" si="38"/>
        <v>-</v>
      </c>
    </row>
    <row r="140" spans="2:32" ht="14.25" customHeight="1" thickBot="1" x14ac:dyDescent="0.4">
      <c r="B140" s="84" t="str">
        <f t="shared" si="40"/>
        <v/>
      </c>
      <c r="C140" s="85"/>
      <c r="D140" s="91"/>
      <c r="E140" s="68" t="str">
        <f>IF(D140="","",IFERROR(VLOOKUP(D140,'Portfolio List'!$B$4:$I$76,5,FALSE()),""))</f>
        <v/>
      </c>
      <c r="F140" s="68" t="str">
        <f>IF(D140="","",IFERROR(VLOOKUP(D140,'Portfolio List'!$B$4:$I$76,6,FALSE()),""))</f>
        <v/>
      </c>
      <c r="G140" s="68" t="str">
        <f>IF(D140="","",IFERROR(VLOOKUP(D140,'Portfolio List'!$B$4:$I$76,7,FALSE()),""))</f>
        <v/>
      </c>
      <c r="H140" s="71" t="str">
        <f>IF(D140="","",IFERROR(VLOOKUP(D140,'Portfolio List'!$B$4:$I$76,4,FALSE()),""))</f>
        <v/>
      </c>
      <c r="I140" s="91"/>
      <c r="J140" s="84" t="str">
        <f t="shared" si="39"/>
        <v/>
      </c>
      <c r="K140" s="91"/>
      <c r="L140" s="85"/>
      <c r="M140" s="97"/>
      <c r="N140" s="180"/>
      <c r="O140" s="92"/>
      <c r="P140" s="87">
        <f>IF(D140="",0,IF(I140="LED Lighting",M140*IF(AC140="Studio",Assumptions!$C$15,IF(AC140="1 Bedroom",Assumptions!$C$16,IF(AC140="2 Bedroom",Assumptions!$C$17,IF(AC140="3 Bedroom",Assumptions!$C$18,Assumptions!$C$16))))*N140*365/1000,IFERROR(VLOOKUP(I140,Assumptions!$B$40:$H$50,2,FALSE()),0)*M140))</f>
        <v>0</v>
      </c>
      <c r="Q140" s="87">
        <f>IF(D140="",0,IFERROR(VLOOKUP(I140,Assumptions!$B$40:$H$50,3,FALSE()),0)*M140)</f>
        <v>0</v>
      </c>
      <c r="R140" s="77">
        <f>IF(G140="",0.2161,IFERROR(VLOOKUP(G140,Assumptions!$B$53:$C$61,2,FALSE())/100,0.2161))</f>
        <v>0.21609999999999999</v>
      </c>
      <c r="S140" s="77">
        <f>IF(G140="",0,IFERROR(VLOOKUP(G140,Assumptions!$B$64:$C$72,2,FALSE())/1000,0.008))</f>
        <v>0</v>
      </c>
      <c r="T140" s="93" t="str">
        <f t="shared" si="32"/>
        <v/>
      </c>
      <c r="U140" s="93" t="str">
        <f t="shared" si="33"/>
        <v/>
      </c>
      <c r="V140" s="93" t="str">
        <f t="shared" si="34"/>
        <v/>
      </c>
      <c r="W140" s="94" t="str">
        <f t="shared" si="35"/>
        <v/>
      </c>
      <c r="X140" s="88"/>
      <c r="Y140" s="87" t="str">
        <f>IF(D140="","",IFERROR(VLOOKUP(I140,Assumptions!$B$40:$H$50,6,FALSE()),0)*M140)</f>
        <v/>
      </c>
      <c r="Z140" s="87" t="str">
        <f>IF(D140="","",IFERROR(VLOOKUP(I140,Assumptions!$B$40:$H$50,7,FALSE()),0)*M140)</f>
        <v/>
      </c>
      <c r="AA140" s="96" t="str">
        <f t="shared" si="36"/>
        <v/>
      </c>
      <c r="AB140" s="84" t="str">
        <f t="shared" si="37"/>
        <v/>
      </c>
      <c r="AC140" s="99"/>
      <c r="AD140" s="99"/>
      <c r="AE140" s="99"/>
      <c r="AF140" s="98" t="str">
        <f t="shared" si="38"/>
        <v>-</v>
      </c>
    </row>
    <row r="141" spans="2:32" ht="14.25" customHeight="1" thickBot="1" x14ac:dyDescent="0.4">
      <c r="B141" s="84" t="str">
        <f t="shared" si="40"/>
        <v/>
      </c>
      <c r="C141" s="85"/>
      <c r="D141" s="91"/>
      <c r="E141" s="68" t="str">
        <f>IF(D141="","",IFERROR(VLOOKUP(D141,'Portfolio List'!$B$4:$I$76,5,FALSE()),""))</f>
        <v/>
      </c>
      <c r="F141" s="68" t="str">
        <f>IF(D141="","",IFERROR(VLOOKUP(D141,'Portfolio List'!$B$4:$I$76,6,FALSE()),""))</f>
        <v/>
      </c>
      <c r="G141" s="68" t="str">
        <f>IF(D141="","",IFERROR(VLOOKUP(D141,'Portfolio List'!$B$4:$I$76,7,FALSE()),""))</f>
        <v/>
      </c>
      <c r="H141" s="71" t="str">
        <f>IF(D141="","",IFERROR(VLOOKUP(D141,'Portfolio List'!$B$4:$I$76,4,FALSE()),""))</f>
        <v/>
      </c>
      <c r="I141" s="91"/>
      <c r="J141" s="84" t="str">
        <f t="shared" si="39"/>
        <v/>
      </c>
      <c r="K141" s="91"/>
      <c r="L141" s="85"/>
      <c r="M141" s="97"/>
      <c r="N141" s="180"/>
      <c r="O141" s="92"/>
      <c r="P141" s="87">
        <f>IF(D141="",0,IF(I141="LED Lighting",M141*IF(AC141="Studio",Assumptions!$C$15,IF(AC141="1 Bedroom",Assumptions!$C$16,IF(AC141="2 Bedroom",Assumptions!$C$17,IF(AC141="3 Bedroom",Assumptions!$C$18,Assumptions!$C$16))))*N141*365/1000,IFERROR(VLOOKUP(I141,Assumptions!$B$40:$H$50,2,FALSE()),0)*M141))</f>
        <v>0</v>
      </c>
      <c r="Q141" s="87">
        <f>IF(D141="",0,IFERROR(VLOOKUP(I141,Assumptions!$B$40:$H$50,3,FALSE()),0)*M141)</f>
        <v>0</v>
      </c>
      <c r="R141" s="77">
        <f>IF(G141="",0.2161,IFERROR(VLOOKUP(G141,Assumptions!$B$53:$C$61,2,FALSE())/100,0.2161))</f>
        <v>0.21609999999999999</v>
      </c>
      <c r="S141" s="77">
        <f>IF(G141="",0,IFERROR(VLOOKUP(G141,Assumptions!$B$64:$C$72,2,FALSE())/1000,0.008))</f>
        <v>0</v>
      </c>
      <c r="T141" s="93" t="str">
        <f t="shared" si="32"/>
        <v/>
      </c>
      <c r="U141" s="93" t="str">
        <f t="shared" si="33"/>
        <v/>
      </c>
      <c r="V141" s="93" t="str">
        <f t="shared" si="34"/>
        <v/>
      </c>
      <c r="W141" s="94" t="str">
        <f t="shared" si="35"/>
        <v/>
      </c>
      <c r="X141" s="88"/>
      <c r="Y141" s="87" t="str">
        <f>IF(D141="","",IFERROR(VLOOKUP(I141,Assumptions!$B$40:$H$50,6,FALSE()),0)*M141)</f>
        <v/>
      </c>
      <c r="Z141" s="87" t="str">
        <f>IF(D141="","",IFERROR(VLOOKUP(I141,Assumptions!$B$40:$H$50,7,FALSE()),0)*M141)</f>
        <v/>
      </c>
      <c r="AA141" s="96" t="str">
        <f t="shared" si="36"/>
        <v/>
      </c>
      <c r="AB141" s="84" t="str">
        <f t="shared" si="37"/>
        <v/>
      </c>
      <c r="AC141" s="99"/>
      <c r="AD141" s="99"/>
      <c r="AE141" s="99"/>
      <c r="AF141" s="98" t="str">
        <f t="shared" si="38"/>
        <v>-</v>
      </c>
    </row>
    <row r="142" spans="2:32" ht="14.25" customHeight="1" thickBot="1" x14ac:dyDescent="0.4">
      <c r="B142" s="84" t="str">
        <f t="shared" si="40"/>
        <v/>
      </c>
      <c r="C142" s="85"/>
      <c r="D142" s="91"/>
      <c r="E142" s="68" t="str">
        <f>IF(D142="","",IFERROR(VLOOKUP(D142,'Portfolio List'!$B$4:$I$76,5,FALSE()),""))</f>
        <v/>
      </c>
      <c r="F142" s="68" t="str">
        <f>IF(D142="","",IFERROR(VLOOKUP(D142,'Portfolio List'!$B$4:$I$76,6,FALSE()),""))</f>
        <v/>
      </c>
      <c r="G142" s="68" t="str">
        <f>IF(D142="","",IFERROR(VLOOKUP(D142,'Portfolio List'!$B$4:$I$76,7,FALSE()),""))</f>
        <v/>
      </c>
      <c r="H142" s="71" t="str">
        <f>IF(D142="","",IFERROR(VLOOKUP(D142,'Portfolio List'!$B$4:$I$76,4,FALSE()),""))</f>
        <v/>
      </c>
      <c r="I142" s="91"/>
      <c r="J142" s="84" t="str">
        <f t="shared" si="39"/>
        <v/>
      </c>
      <c r="K142" s="91"/>
      <c r="L142" s="85"/>
      <c r="M142" s="97"/>
      <c r="N142" s="180"/>
      <c r="O142" s="92"/>
      <c r="P142" s="87">
        <f>IF(D142="",0,IF(I142="LED Lighting",M142*IF(AC142="Studio",Assumptions!$C$15,IF(AC142="1 Bedroom",Assumptions!$C$16,IF(AC142="2 Bedroom",Assumptions!$C$17,IF(AC142="3 Bedroom",Assumptions!$C$18,Assumptions!$C$16))))*N142*365/1000,IFERROR(VLOOKUP(I142,Assumptions!$B$40:$H$50,2,FALSE()),0)*M142))</f>
        <v>0</v>
      </c>
      <c r="Q142" s="87">
        <f>IF(D142="",0,IFERROR(VLOOKUP(I142,Assumptions!$B$40:$H$50,3,FALSE()),0)*M142)</f>
        <v>0</v>
      </c>
      <c r="R142" s="77">
        <f>IF(G142="",0.2161,IFERROR(VLOOKUP(G142,Assumptions!$B$53:$C$61,2,FALSE())/100,0.2161))</f>
        <v>0.21609999999999999</v>
      </c>
      <c r="S142" s="77">
        <f>IF(G142="",0,IFERROR(VLOOKUP(G142,Assumptions!$B$64:$C$72,2,FALSE())/1000,0.008))</f>
        <v>0</v>
      </c>
      <c r="T142" s="93" t="str">
        <f t="shared" si="32"/>
        <v/>
      </c>
      <c r="U142" s="93" t="str">
        <f t="shared" si="33"/>
        <v/>
      </c>
      <c r="V142" s="93" t="str">
        <f t="shared" si="34"/>
        <v/>
      </c>
      <c r="W142" s="94" t="str">
        <f t="shared" si="35"/>
        <v/>
      </c>
      <c r="X142" s="88"/>
      <c r="Y142" s="87" t="str">
        <f>IF(D142="","",IFERROR(VLOOKUP(I142,Assumptions!$B$40:$H$50,6,FALSE()),0)*M142)</f>
        <v/>
      </c>
      <c r="Z142" s="87" t="str">
        <f>IF(D142="","",IFERROR(VLOOKUP(I142,Assumptions!$B$40:$H$50,7,FALSE()),0)*M142)</f>
        <v/>
      </c>
      <c r="AA142" s="96" t="str">
        <f t="shared" si="36"/>
        <v/>
      </c>
      <c r="AB142" s="84" t="str">
        <f t="shared" si="37"/>
        <v/>
      </c>
      <c r="AC142" s="99"/>
      <c r="AD142" s="99"/>
      <c r="AE142" s="99"/>
      <c r="AF142" s="98" t="str">
        <f t="shared" si="38"/>
        <v>-</v>
      </c>
    </row>
    <row r="143" spans="2:32" ht="14.25" customHeight="1" thickBot="1" x14ac:dyDescent="0.4">
      <c r="B143" s="84" t="str">
        <f t="shared" si="40"/>
        <v/>
      </c>
      <c r="C143" s="85"/>
      <c r="D143" s="91"/>
      <c r="E143" s="68" t="str">
        <f>IF(D143="","",IFERROR(VLOOKUP(D143,'Portfolio List'!$B$4:$I$76,5,FALSE()),""))</f>
        <v/>
      </c>
      <c r="F143" s="68" t="str">
        <f>IF(D143="","",IFERROR(VLOOKUP(D143,'Portfolio List'!$B$4:$I$76,6,FALSE()),""))</f>
        <v/>
      </c>
      <c r="G143" s="68" t="str">
        <f>IF(D143="","",IFERROR(VLOOKUP(D143,'Portfolio List'!$B$4:$I$76,7,FALSE()),""))</f>
        <v/>
      </c>
      <c r="H143" s="71" t="str">
        <f>IF(D143="","",IFERROR(VLOOKUP(D143,'Portfolio List'!$B$4:$I$76,4,FALSE()),""))</f>
        <v/>
      </c>
      <c r="I143" s="91"/>
      <c r="J143" s="84" t="str">
        <f t="shared" si="39"/>
        <v/>
      </c>
      <c r="K143" s="91"/>
      <c r="L143" s="85"/>
      <c r="M143" s="97"/>
      <c r="N143" s="180"/>
      <c r="O143" s="92"/>
      <c r="P143" s="87">
        <f>IF(D143="",0,IF(I143="LED Lighting",M143*IF(AC143="Studio",Assumptions!$C$15,IF(AC143="1 Bedroom",Assumptions!$C$16,IF(AC143="2 Bedroom",Assumptions!$C$17,IF(AC143="3 Bedroom",Assumptions!$C$18,Assumptions!$C$16))))*N143*365/1000,IFERROR(VLOOKUP(I143,Assumptions!$B$40:$H$50,2,FALSE()),0)*M143))</f>
        <v>0</v>
      </c>
      <c r="Q143" s="87">
        <f>IF(D143="",0,IFERROR(VLOOKUP(I143,Assumptions!$B$40:$H$50,3,FALSE()),0)*M143)</f>
        <v>0</v>
      </c>
      <c r="R143" s="77">
        <f>IF(G143="",0.2161,IFERROR(VLOOKUP(G143,Assumptions!$B$53:$C$61,2,FALSE())/100,0.2161))</f>
        <v>0.21609999999999999</v>
      </c>
      <c r="S143" s="77">
        <f>IF(G143="",0,IFERROR(VLOOKUP(G143,Assumptions!$B$64:$C$72,2,FALSE())/1000,0.008))</f>
        <v>0</v>
      </c>
      <c r="T143" s="93" t="str">
        <f t="shared" si="32"/>
        <v/>
      </c>
      <c r="U143" s="93" t="str">
        <f t="shared" si="33"/>
        <v/>
      </c>
      <c r="V143" s="93" t="str">
        <f t="shared" si="34"/>
        <v/>
      </c>
      <c r="W143" s="94" t="str">
        <f t="shared" si="35"/>
        <v/>
      </c>
      <c r="X143" s="88"/>
      <c r="Y143" s="87" t="str">
        <f>IF(D143="","",IFERROR(VLOOKUP(I143,Assumptions!$B$40:$H$50,6,FALSE()),0)*M143)</f>
        <v/>
      </c>
      <c r="Z143" s="87" t="str">
        <f>IF(D143="","",IFERROR(VLOOKUP(I143,Assumptions!$B$40:$H$50,7,FALSE()),0)*M143)</f>
        <v/>
      </c>
      <c r="AA143" s="96" t="str">
        <f t="shared" si="36"/>
        <v/>
      </c>
      <c r="AB143" s="84" t="str">
        <f t="shared" si="37"/>
        <v/>
      </c>
      <c r="AC143" s="99"/>
      <c r="AD143" s="99"/>
      <c r="AE143" s="99"/>
      <c r="AF143" s="98" t="str">
        <f t="shared" si="38"/>
        <v>-</v>
      </c>
    </row>
    <row r="144" spans="2:32" ht="14.25" customHeight="1" thickBot="1" x14ac:dyDescent="0.4">
      <c r="B144" s="84" t="str">
        <f t="shared" si="40"/>
        <v/>
      </c>
      <c r="C144" s="85"/>
      <c r="D144" s="91"/>
      <c r="E144" s="68" t="str">
        <f>IF(D144="","",IFERROR(VLOOKUP(D144,'Portfolio List'!$B$4:$I$76,5,FALSE()),""))</f>
        <v/>
      </c>
      <c r="F144" s="68" t="str">
        <f>IF(D144="","",IFERROR(VLOOKUP(D144,'Portfolio List'!$B$4:$I$76,6,FALSE()),""))</f>
        <v/>
      </c>
      <c r="G144" s="68" t="str">
        <f>IF(D144="","",IFERROR(VLOOKUP(D144,'Portfolio List'!$B$4:$I$76,7,FALSE()),""))</f>
        <v/>
      </c>
      <c r="H144" s="71" t="str">
        <f>IF(D144="","",IFERROR(VLOOKUP(D144,'Portfolio List'!$B$4:$I$76,4,FALSE()),""))</f>
        <v/>
      </c>
      <c r="I144" s="91"/>
      <c r="J144" s="84" t="str">
        <f t="shared" si="39"/>
        <v/>
      </c>
      <c r="K144" s="91"/>
      <c r="L144" s="85"/>
      <c r="M144" s="97"/>
      <c r="N144" s="180"/>
      <c r="O144" s="92"/>
      <c r="P144" s="87">
        <f>IF(D144="",0,IF(I144="LED Lighting",M144*IF(AC144="Studio",Assumptions!$C$15,IF(AC144="1 Bedroom",Assumptions!$C$16,IF(AC144="2 Bedroom",Assumptions!$C$17,IF(AC144="3 Bedroom",Assumptions!$C$18,Assumptions!$C$16))))*N144*365/1000,IFERROR(VLOOKUP(I144,Assumptions!$B$40:$H$50,2,FALSE()),0)*M144))</f>
        <v>0</v>
      </c>
      <c r="Q144" s="87">
        <f>IF(D144="",0,IFERROR(VLOOKUP(I144,Assumptions!$B$40:$H$50,3,FALSE()),0)*M144)</f>
        <v>0</v>
      </c>
      <c r="R144" s="77">
        <f>IF(G144="",0.2161,IFERROR(VLOOKUP(G144,Assumptions!$B$53:$C$61,2,FALSE())/100,0.2161))</f>
        <v>0.21609999999999999</v>
      </c>
      <c r="S144" s="77">
        <f>IF(G144="",0,IFERROR(VLOOKUP(G144,Assumptions!$B$64:$C$72,2,FALSE())/1000,0.008))</f>
        <v>0</v>
      </c>
      <c r="T144" s="93" t="str">
        <f t="shared" si="32"/>
        <v/>
      </c>
      <c r="U144" s="93" t="str">
        <f t="shared" si="33"/>
        <v/>
      </c>
      <c r="V144" s="93" t="str">
        <f t="shared" si="34"/>
        <v/>
      </c>
      <c r="W144" s="94" t="str">
        <f t="shared" si="35"/>
        <v/>
      </c>
      <c r="X144" s="88"/>
      <c r="Y144" s="87" t="str">
        <f>IF(D144="","",IFERROR(VLOOKUP(I144,Assumptions!$B$40:$H$50,6,FALSE()),0)*M144)</f>
        <v/>
      </c>
      <c r="Z144" s="87" t="str">
        <f>IF(D144="","",IFERROR(VLOOKUP(I144,Assumptions!$B$40:$H$50,7,FALSE()),0)*M144)</f>
        <v/>
      </c>
      <c r="AA144" s="96" t="str">
        <f t="shared" si="36"/>
        <v/>
      </c>
      <c r="AB144" s="84" t="str">
        <f t="shared" si="37"/>
        <v/>
      </c>
      <c r="AC144" s="99"/>
      <c r="AD144" s="99"/>
      <c r="AE144" s="99"/>
      <c r="AF144" s="98" t="str">
        <f t="shared" si="38"/>
        <v>-</v>
      </c>
    </row>
    <row r="145" spans="2:32" ht="14.25" customHeight="1" thickBot="1" x14ac:dyDescent="0.4">
      <c r="B145" s="84" t="str">
        <f t="shared" si="40"/>
        <v/>
      </c>
      <c r="C145" s="85"/>
      <c r="D145" s="91"/>
      <c r="E145" s="68" t="str">
        <f>IF(D145="","",IFERROR(VLOOKUP(D145,'Portfolio List'!$B$4:$I$76,5,FALSE()),""))</f>
        <v/>
      </c>
      <c r="F145" s="68" t="str">
        <f>IF(D145="","",IFERROR(VLOOKUP(D145,'Portfolio List'!$B$4:$I$76,6,FALSE()),""))</f>
        <v/>
      </c>
      <c r="G145" s="68" t="str">
        <f>IF(D145="","",IFERROR(VLOOKUP(D145,'Portfolio List'!$B$4:$I$76,7,FALSE()),""))</f>
        <v/>
      </c>
      <c r="H145" s="71" t="str">
        <f>IF(D145="","",IFERROR(VLOOKUP(D145,'Portfolio List'!$B$4:$I$76,4,FALSE()),""))</f>
        <v/>
      </c>
      <c r="I145" s="91"/>
      <c r="J145" s="84" t="str">
        <f t="shared" si="39"/>
        <v/>
      </c>
      <c r="K145" s="91"/>
      <c r="L145" s="85"/>
      <c r="M145" s="97"/>
      <c r="N145" s="180"/>
      <c r="O145" s="92"/>
      <c r="P145" s="87">
        <f>IF(D145="",0,IF(I145="LED Lighting",M145*IF(AC145="Studio",Assumptions!$C$15,IF(AC145="1 Bedroom",Assumptions!$C$16,IF(AC145="2 Bedroom",Assumptions!$C$17,IF(AC145="3 Bedroom",Assumptions!$C$18,Assumptions!$C$16))))*N145*365/1000,IFERROR(VLOOKUP(I145,Assumptions!$B$40:$H$50,2,FALSE()),0)*M145))</f>
        <v>0</v>
      </c>
      <c r="Q145" s="87">
        <f>IF(D145="",0,IFERROR(VLOOKUP(I145,Assumptions!$B$40:$H$50,3,FALSE()),0)*M145)</f>
        <v>0</v>
      </c>
      <c r="R145" s="77">
        <f>IF(G145="",0.2161,IFERROR(VLOOKUP(G145,Assumptions!$B$53:$C$61,2,FALSE())/100,0.2161))</f>
        <v>0.21609999999999999</v>
      </c>
      <c r="S145" s="77">
        <f>IF(G145="",0,IFERROR(VLOOKUP(G145,Assumptions!$B$64:$C$72,2,FALSE())/1000,0.008))</f>
        <v>0</v>
      </c>
      <c r="T145" s="93" t="str">
        <f t="shared" si="32"/>
        <v/>
      </c>
      <c r="U145" s="93" t="str">
        <f t="shared" si="33"/>
        <v/>
      </c>
      <c r="V145" s="93" t="str">
        <f t="shared" si="34"/>
        <v/>
      </c>
      <c r="W145" s="94" t="str">
        <f t="shared" si="35"/>
        <v/>
      </c>
      <c r="X145" s="88"/>
      <c r="Y145" s="87" t="str">
        <f>IF(D145="","",IFERROR(VLOOKUP(I145,Assumptions!$B$40:$H$50,6,FALSE()),0)*M145)</f>
        <v/>
      </c>
      <c r="Z145" s="87" t="str">
        <f>IF(D145="","",IFERROR(VLOOKUP(I145,Assumptions!$B$40:$H$50,7,FALSE()),0)*M145)</f>
        <v/>
      </c>
      <c r="AA145" s="96" t="str">
        <f t="shared" si="36"/>
        <v/>
      </c>
      <c r="AB145" s="84" t="str">
        <f t="shared" si="37"/>
        <v/>
      </c>
      <c r="AC145" s="99"/>
      <c r="AD145" s="99"/>
      <c r="AE145" s="99"/>
      <c r="AF145" s="98" t="str">
        <f t="shared" si="38"/>
        <v>-</v>
      </c>
    </row>
    <row r="146" spans="2:32" ht="14.25" customHeight="1" thickBot="1" x14ac:dyDescent="0.4">
      <c r="B146" s="84" t="str">
        <f t="shared" si="40"/>
        <v/>
      </c>
      <c r="C146" s="85"/>
      <c r="D146" s="91"/>
      <c r="E146" s="68" t="str">
        <f>IF(D146="","",IFERROR(VLOOKUP(D146,'Portfolio List'!$B$4:$I$76,5,FALSE()),""))</f>
        <v/>
      </c>
      <c r="F146" s="68" t="str">
        <f>IF(D146="","",IFERROR(VLOOKUP(D146,'Portfolio List'!$B$4:$I$76,6,FALSE()),""))</f>
        <v/>
      </c>
      <c r="G146" s="68" t="str">
        <f>IF(D146="","",IFERROR(VLOOKUP(D146,'Portfolio List'!$B$4:$I$76,7,FALSE()),""))</f>
        <v/>
      </c>
      <c r="H146" s="71" t="str">
        <f>IF(D146="","",IFERROR(VLOOKUP(D146,'Portfolio List'!$B$4:$I$76,4,FALSE()),""))</f>
        <v/>
      </c>
      <c r="I146" s="91"/>
      <c r="J146" s="84" t="str">
        <f t="shared" si="39"/>
        <v/>
      </c>
      <c r="K146" s="91"/>
      <c r="L146" s="85"/>
      <c r="M146" s="97"/>
      <c r="N146" s="180"/>
      <c r="O146" s="92"/>
      <c r="P146" s="87">
        <f>IF(D146="",0,IF(I146="LED Lighting",M146*IF(AC146="Studio",Assumptions!$C$15,IF(AC146="1 Bedroom",Assumptions!$C$16,IF(AC146="2 Bedroom",Assumptions!$C$17,IF(AC146="3 Bedroom",Assumptions!$C$18,Assumptions!$C$16))))*N146*365/1000,IFERROR(VLOOKUP(I146,Assumptions!$B$40:$H$50,2,FALSE()),0)*M146))</f>
        <v>0</v>
      </c>
      <c r="Q146" s="87">
        <f>IF(D146="",0,IFERROR(VLOOKUP(I146,Assumptions!$B$40:$H$50,3,FALSE()),0)*M146)</f>
        <v>0</v>
      </c>
      <c r="R146" s="77">
        <f>IF(G146="",0.2161,IFERROR(VLOOKUP(G146,Assumptions!$B$53:$C$61,2,FALSE())/100,0.2161))</f>
        <v>0.21609999999999999</v>
      </c>
      <c r="S146" s="77">
        <f>IF(G146="",0,IFERROR(VLOOKUP(G146,Assumptions!$B$64:$C$72,2,FALSE())/1000,0.008))</f>
        <v>0</v>
      </c>
      <c r="T146" s="93" t="str">
        <f t="shared" si="32"/>
        <v/>
      </c>
      <c r="U146" s="93" t="str">
        <f t="shared" si="33"/>
        <v/>
      </c>
      <c r="V146" s="93" t="str">
        <f t="shared" si="34"/>
        <v/>
      </c>
      <c r="W146" s="94" t="str">
        <f t="shared" si="35"/>
        <v/>
      </c>
      <c r="X146" s="88"/>
      <c r="Y146" s="87" t="str">
        <f>IF(D146="","",IFERROR(VLOOKUP(I146,Assumptions!$B$40:$H$50,6,FALSE()),0)*M146)</f>
        <v/>
      </c>
      <c r="Z146" s="87" t="str">
        <f>IF(D146="","",IFERROR(VLOOKUP(I146,Assumptions!$B$40:$H$50,7,FALSE()),0)*M146)</f>
        <v/>
      </c>
      <c r="AA146" s="96" t="str">
        <f t="shared" si="36"/>
        <v/>
      </c>
      <c r="AB146" s="84" t="str">
        <f t="shared" si="37"/>
        <v/>
      </c>
      <c r="AC146" s="99"/>
      <c r="AD146" s="99"/>
      <c r="AE146" s="99"/>
      <c r="AF146" s="98" t="str">
        <f t="shared" si="38"/>
        <v>-</v>
      </c>
    </row>
    <row r="147" spans="2:32" ht="14.25" customHeight="1" thickBot="1" x14ac:dyDescent="0.4">
      <c r="B147" s="84" t="str">
        <f t="shared" si="40"/>
        <v/>
      </c>
      <c r="C147" s="85"/>
      <c r="D147" s="91"/>
      <c r="E147" s="68" t="str">
        <f>IF(D147="","",IFERROR(VLOOKUP(D147,'Portfolio List'!$B$4:$I$76,5,FALSE()),""))</f>
        <v/>
      </c>
      <c r="F147" s="68" t="str">
        <f>IF(D147="","",IFERROR(VLOOKUP(D147,'Portfolio List'!$B$4:$I$76,6,FALSE()),""))</f>
        <v/>
      </c>
      <c r="G147" s="68" t="str">
        <f>IF(D147="","",IFERROR(VLOOKUP(D147,'Portfolio List'!$B$4:$I$76,7,FALSE()),""))</f>
        <v/>
      </c>
      <c r="H147" s="71" t="str">
        <f>IF(D147="","",IFERROR(VLOOKUP(D147,'Portfolio List'!$B$4:$I$76,4,FALSE()),""))</f>
        <v/>
      </c>
      <c r="I147" s="91"/>
      <c r="J147" s="84" t="str">
        <f t="shared" si="39"/>
        <v/>
      </c>
      <c r="K147" s="91"/>
      <c r="L147" s="85"/>
      <c r="M147" s="97"/>
      <c r="N147" s="180"/>
      <c r="O147" s="92"/>
      <c r="P147" s="87">
        <f>IF(D147="",0,IF(I147="LED Lighting",M147*IF(AC147="Studio",Assumptions!$C$15,IF(AC147="1 Bedroom",Assumptions!$C$16,IF(AC147="2 Bedroom",Assumptions!$C$17,IF(AC147="3 Bedroom",Assumptions!$C$18,Assumptions!$C$16))))*N147*365/1000,IFERROR(VLOOKUP(I147,Assumptions!$B$40:$H$50,2,FALSE()),0)*M147))</f>
        <v>0</v>
      </c>
      <c r="Q147" s="87">
        <f>IF(D147="",0,IFERROR(VLOOKUP(I147,Assumptions!$B$40:$H$50,3,FALSE()),0)*M147)</f>
        <v>0</v>
      </c>
      <c r="R147" s="77">
        <f>IF(G147="",0.2161,IFERROR(VLOOKUP(G147,Assumptions!$B$53:$C$61,2,FALSE())/100,0.2161))</f>
        <v>0.21609999999999999</v>
      </c>
      <c r="S147" s="77">
        <f>IF(G147="",0,IFERROR(VLOOKUP(G147,Assumptions!$B$64:$C$72,2,FALSE())/1000,0.008))</f>
        <v>0</v>
      </c>
      <c r="T147" s="93" t="str">
        <f t="shared" si="32"/>
        <v/>
      </c>
      <c r="U147" s="93" t="str">
        <f t="shared" si="33"/>
        <v/>
      </c>
      <c r="V147" s="93" t="str">
        <f t="shared" si="34"/>
        <v/>
      </c>
      <c r="W147" s="94" t="str">
        <f t="shared" si="35"/>
        <v/>
      </c>
      <c r="X147" s="88"/>
      <c r="Y147" s="87" t="str">
        <f>IF(D147="","",IFERROR(VLOOKUP(I147,Assumptions!$B$40:$H$50,6,FALSE()),0)*M147)</f>
        <v/>
      </c>
      <c r="Z147" s="87" t="str">
        <f>IF(D147="","",IFERROR(VLOOKUP(I147,Assumptions!$B$40:$H$50,7,FALSE()),0)*M147)</f>
        <v/>
      </c>
      <c r="AA147" s="96" t="str">
        <f t="shared" si="36"/>
        <v/>
      </c>
      <c r="AB147" s="84" t="str">
        <f t="shared" si="37"/>
        <v/>
      </c>
      <c r="AC147" s="99"/>
      <c r="AD147" s="99"/>
      <c r="AE147" s="99"/>
      <c r="AF147" s="98" t="str">
        <f t="shared" si="38"/>
        <v>-</v>
      </c>
    </row>
    <row r="148" spans="2:32" ht="14.25" customHeight="1" thickBot="1" x14ac:dyDescent="0.4">
      <c r="B148" s="84" t="str">
        <f t="shared" si="40"/>
        <v/>
      </c>
      <c r="C148" s="85"/>
      <c r="D148" s="91"/>
      <c r="E148" s="68" t="str">
        <f>IF(D148="","",IFERROR(VLOOKUP(D148,'Portfolio List'!$B$4:$I$76,5,FALSE()),""))</f>
        <v/>
      </c>
      <c r="F148" s="68" t="str">
        <f>IF(D148="","",IFERROR(VLOOKUP(D148,'Portfolio List'!$B$4:$I$76,6,FALSE()),""))</f>
        <v/>
      </c>
      <c r="G148" s="68" t="str">
        <f>IF(D148="","",IFERROR(VLOOKUP(D148,'Portfolio List'!$B$4:$I$76,7,FALSE()),""))</f>
        <v/>
      </c>
      <c r="H148" s="71" t="str">
        <f>IF(D148="","",IFERROR(VLOOKUP(D148,'Portfolio List'!$B$4:$I$76,4,FALSE()),""))</f>
        <v/>
      </c>
      <c r="I148" s="91"/>
      <c r="J148" s="84" t="str">
        <f t="shared" si="39"/>
        <v/>
      </c>
      <c r="K148" s="91"/>
      <c r="L148" s="85"/>
      <c r="M148" s="97"/>
      <c r="N148" s="180"/>
      <c r="O148" s="92"/>
      <c r="P148" s="87">
        <f>IF(D148="",0,IF(I148="LED Lighting",M148*IF(AC148="Studio",Assumptions!$C$15,IF(AC148="1 Bedroom",Assumptions!$C$16,IF(AC148="2 Bedroom",Assumptions!$C$17,IF(AC148="3 Bedroom",Assumptions!$C$18,Assumptions!$C$16))))*N148*365/1000,IFERROR(VLOOKUP(I148,Assumptions!$B$40:$H$50,2,FALSE()),0)*M148))</f>
        <v>0</v>
      </c>
      <c r="Q148" s="87">
        <f>IF(D148="",0,IFERROR(VLOOKUP(I148,Assumptions!$B$40:$H$50,3,FALSE()),0)*M148)</f>
        <v>0</v>
      </c>
      <c r="R148" s="77">
        <f>IF(G148="",0.2161,IFERROR(VLOOKUP(G148,Assumptions!$B$53:$C$61,2,FALSE())/100,0.2161))</f>
        <v>0.21609999999999999</v>
      </c>
      <c r="S148" s="77">
        <f>IF(G148="",0,IFERROR(VLOOKUP(G148,Assumptions!$B$64:$C$72,2,FALSE())/1000,0.008))</f>
        <v>0</v>
      </c>
      <c r="T148" s="93" t="str">
        <f t="shared" si="32"/>
        <v/>
      </c>
      <c r="U148" s="93" t="str">
        <f t="shared" si="33"/>
        <v/>
      </c>
      <c r="V148" s="93" t="str">
        <f t="shared" si="34"/>
        <v/>
      </c>
      <c r="W148" s="94" t="str">
        <f t="shared" si="35"/>
        <v/>
      </c>
      <c r="X148" s="88"/>
      <c r="Y148" s="87" t="str">
        <f>IF(D148="","",IFERROR(VLOOKUP(I148,Assumptions!$B$40:$H$50,6,FALSE()),0)*M148)</f>
        <v/>
      </c>
      <c r="Z148" s="87" t="str">
        <f>IF(D148="","",IFERROR(VLOOKUP(I148,Assumptions!$B$40:$H$50,7,FALSE()),0)*M148)</f>
        <v/>
      </c>
      <c r="AA148" s="96" t="str">
        <f t="shared" si="36"/>
        <v/>
      </c>
      <c r="AB148" s="84" t="str">
        <f t="shared" si="37"/>
        <v/>
      </c>
      <c r="AC148" s="99"/>
      <c r="AD148" s="99"/>
      <c r="AE148" s="99"/>
      <c r="AF148" s="98" t="str">
        <f t="shared" si="38"/>
        <v>-</v>
      </c>
    </row>
    <row r="149" spans="2:32" ht="14.25" customHeight="1" thickBot="1" x14ac:dyDescent="0.4">
      <c r="B149" s="84" t="str">
        <f t="shared" si="40"/>
        <v/>
      </c>
      <c r="C149" s="85"/>
      <c r="D149" s="91"/>
      <c r="E149" s="68" t="str">
        <f>IF(D149="","",IFERROR(VLOOKUP(D149,'Portfolio List'!$B$4:$I$76,5,FALSE()),""))</f>
        <v/>
      </c>
      <c r="F149" s="68" t="str">
        <f>IF(D149="","",IFERROR(VLOOKUP(D149,'Portfolio List'!$B$4:$I$76,6,FALSE()),""))</f>
        <v/>
      </c>
      <c r="G149" s="68" t="str">
        <f>IF(D149="","",IFERROR(VLOOKUP(D149,'Portfolio List'!$B$4:$I$76,7,FALSE()),""))</f>
        <v/>
      </c>
      <c r="H149" s="71" t="str">
        <f>IF(D149="","",IFERROR(VLOOKUP(D149,'Portfolio List'!$B$4:$I$76,4,FALSE()),""))</f>
        <v/>
      </c>
      <c r="I149" s="91"/>
      <c r="J149" s="84" t="str">
        <f t="shared" si="39"/>
        <v/>
      </c>
      <c r="K149" s="91"/>
      <c r="L149" s="85"/>
      <c r="M149" s="97"/>
      <c r="N149" s="180"/>
      <c r="O149" s="92"/>
      <c r="P149" s="87">
        <f>IF(D149="",0,IF(I149="LED Lighting",M149*IF(AC149="Studio",Assumptions!$C$15,IF(AC149="1 Bedroom",Assumptions!$C$16,IF(AC149="2 Bedroom",Assumptions!$C$17,IF(AC149="3 Bedroom",Assumptions!$C$18,Assumptions!$C$16))))*N149*365/1000,IFERROR(VLOOKUP(I149,Assumptions!$B$40:$H$50,2,FALSE()),0)*M149))</f>
        <v>0</v>
      </c>
      <c r="Q149" s="87">
        <f>IF(D149="",0,IFERROR(VLOOKUP(I149,Assumptions!$B$40:$H$50,3,FALSE()),0)*M149)</f>
        <v>0</v>
      </c>
      <c r="R149" s="77">
        <f>IF(G149="",0.2161,IFERROR(VLOOKUP(G149,Assumptions!$B$53:$C$61,2,FALSE())/100,0.2161))</f>
        <v>0.21609999999999999</v>
      </c>
      <c r="S149" s="77">
        <f>IF(G149="",0,IFERROR(VLOOKUP(G149,Assumptions!$B$64:$C$72,2,FALSE())/1000,0.008))</f>
        <v>0</v>
      </c>
      <c r="T149" s="93" t="str">
        <f t="shared" si="32"/>
        <v/>
      </c>
      <c r="U149" s="93" t="str">
        <f t="shared" si="33"/>
        <v/>
      </c>
      <c r="V149" s="93" t="str">
        <f t="shared" si="34"/>
        <v/>
      </c>
      <c r="W149" s="94" t="str">
        <f t="shared" si="35"/>
        <v/>
      </c>
      <c r="X149" s="88"/>
      <c r="Y149" s="87" t="str">
        <f>IF(D149="","",IFERROR(VLOOKUP(I149,Assumptions!$B$40:$H$50,6,FALSE()),0)*M149)</f>
        <v/>
      </c>
      <c r="Z149" s="87" t="str">
        <f>IF(D149="","",IFERROR(VLOOKUP(I149,Assumptions!$B$40:$H$50,7,FALSE()),0)*M149)</f>
        <v/>
      </c>
      <c r="AA149" s="96" t="str">
        <f t="shared" si="36"/>
        <v/>
      </c>
      <c r="AB149" s="84" t="str">
        <f t="shared" si="37"/>
        <v/>
      </c>
      <c r="AC149" s="99"/>
      <c r="AD149" s="99"/>
      <c r="AE149" s="99"/>
      <c r="AF149" s="98" t="str">
        <f t="shared" si="38"/>
        <v>-</v>
      </c>
    </row>
    <row r="150" spans="2:32" ht="14.25" customHeight="1" thickBot="1" x14ac:dyDescent="0.4">
      <c r="B150" s="84" t="str">
        <f t="shared" si="40"/>
        <v/>
      </c>
      <c r="C150" s="85"/>
      <c r="D150" s="91"/>
      <c r="E150" s="68" t="str">
        <f>IF(D150="","",IFERROR(VLOOKUP(D150,'Portfolio List'!$B$4:$I$76,5,FALSE()),""))</f>
        <v/>
      </c>
      <c r="F150" s="68" t="str">
        <f>IF(D150="","",IFERROR(VLOOKUP(D150,'Portfolio List'!$B$4:$I$76,6,FALSE()),""))</f>
        <v/>
      </c>
      <c r="G150" s="68" t="str">
        <f>IF(D150="","",IFERROR(VLOOKUP(D150,'Portfolio List'!$B$4:$I$76,7,FALSE()),""))</f>
        <v/>
      </c>
      <c r="H150" s="71" t="str">
        <f>IF(D150="","",IFERROR(VLOOKUP(D150,'Portfolio List'!$B$4:$I$76,4,FALSE()),""))</f>
        <v/>
      </c>
      <c r="I150" s="91"/>
      <c r="J150" s="84" t="str">
        <f t="shared" si="39"/>
        <v/>
      </c>
      <c r="K150" s="91"/>
      <c r="L150" s="85"/>
      <c r="M150" s="97"/>
      <c r="N150" s="180"/>
      <c r="O150" s="92"/>
      <c r="P150" s="87">
        <f>IF(D150="",0,IF(I150="LED Lighting",M150*IF(AC150="Studio",Assumptions!$C$15,IF(AC150="1 Bedroom",Assumptions!$C$16,IF(AC150="2 Bedroom",Assumptions!$C$17,IF(AC150="3 Bedroom",Assumptions!$C$18,Assumptions!$C$16))))*N150*365/1000,IFERROR(VLOOKUP(I150,Assumptions!$B$40:$H$50,2,FALSE()),0)*M150))</f>
        <v>0</v>
      </c>
      <c r="Q150" s="87">
        <f>IF(D150="",0,IFERROR(VLOOKUP(I150,Assumptions!$B$40:$H$50,3,FALSE()),0)*M150)</f>
        <v>0</v>
      </c>
      <c r="R150" s="77">
        <f>IF(G150="",0.2161,IFERROR(VLOOKUP(G150,Assumptions!$B$53:$C$61,2,FALSE())/100,0.2161))</f>
        <v>0.21609999999999999</v>
      </c>
      <c r="S150" s="77">
        <f>IF(G150="",0,IFERROR(VLOOKUP(G150,Assumptions!$B$64:$C$72,2,FALSE())/1000,0.008))</f>
        <v>0</v>
      </c>
      <c r="T150" s="93" t="str">
        <f t="shared" si="32"/>
        <v/>
      </c>
      <c r="U150" s="93" t="str">
        <f t="shared" si="33"/>
        <v/>
      </c>
      <c r="V150" s="93" t="str">
        <f t="shared" si="34"/>
        <v/>
      </c>
      <c r="W150" s="94" t="str">
        <f t="shared" si="35"/>
        <v/>
      </c>
      <c r="X150" s="88"/>
      <c r="Y150" s="87" t="str">
        <f>IF(D150="","",IFERROR(VLOOKUP(I150,Assumptions!$B$40:$H$50,6,FALSE()),0)*M150)</f>
        <v/>
      </c>
      <c r="Z150" s="87" t="str">
        <f>IF(D150="","",IFERROR(VLOOKUP(I150,Assumptions!$B$40:$H$50,7,FALSE()),0)*M150)</f>
        <v/>
      </c>
      <c r="AA150" s="96" t="str">
        <f t="shared" si="36"/>
        <v/>
      </c>
      <c r="AB150" s="84" t="str">
        <f t="shared" si="37"/>
        <v/>
      </c>
      <c r="AC150" s="99"/>
      <c r="AD150" s="99"/>
      <c r="AE150" s="99"/>
      <c r="AF150" s="98" t="str">
        <f t="shared" si="38"/>
        <v>-</v>
      </c>
    </row>
    <row r="151" spans="2:32" ht="14.25" customHeight="1" thickBot="1" x14ac:dyDescent="0.4">
      <c r="B151" s="84" t="str">
        <f t="shared" si="40"/>
        <v/>
      </c>
      <c r="C151" s="85"/>
      <c r="D151" s="91"/>
      <c r="E151" s="68" t="str">
        <f>IF(D151="","",IFERROR(VLOOKUP(D151,'Portfolio List'!$B$4:$I$76,5,FALSE()),""))</f>
        <v/>
      </c>
      <c r="F151" s="68" t="str">
        <f>IF(D151="","",IFERROR(VLOOKUP(D151,'Portfolio List'!$B$4:$I$76,6,FALSE()),""))</f>
        <v/>
      </c>
      <c r="G151" s="68" t="str">
        <f>IF(D151="","",IFERROR(VLOOKUP(D151,'Portfolio List'!$B$4:$I$76,7,FALSE()),""))</f>
        <v/>
      </c>
      <c r="H151" s="71" t="str">
        <f>IF(D151="","",IFERROR(VLOOKUP(D151,'Portfolio List'!$B$4:$I$76,4,FALSE()),""))</f>
        <v/>
      </c>
      <c r="I151" s="91"/>
      <c r="J151" s="84" t="str">
        <f t="shared" si="39"/>
        <v/>
      </c>
      <c r="K151" s="91"/>
      <c r="L151" s="85"/>
      <c r="M151" s="97"/>
      <c r="N151" s="180"/>
      <c r="O151" s="92"/>
      <c r="P151" s="87">
        <f>IF(D151="",0,IF(I151="LED Lighting",M151*IF(AC151="Studio",Assumptions!$C$15,IF(AC151="1 Bedroom",Assumptions!$C$16,IF(AC151="2 Bedroom",Assumptions!$C$17,IF(AC151="3 Bedroom",Assumptions!$C$18,Assumptions!$C$16))))*N151*365/1000,IFERROR(VLOOKUP(I151,Assumptions!$B$40:$H$50,2,FALSE()),0)*M151))</f>
        <v>0</v>
      </c>
      <c r="Q151" s="87">
        <f>IF(D151="",0,IFERROR(VLOOKUP(I151,Assumptions!$B$40:$H$50,3,FALSE()),0)*M151)</f>
        <v>0</v>
      </c>
      <c r="R151" s="77">
        <f>IF(G151="",0.2161,IFERROR(VLOOKUP(G151,Assumptions!$B$53:$C$61,2,FALSE())/100,0.2161))</f>
        <v>0.21609999999999999</v>
      </c>
      <c r="S151" s="77">
        <f>IF(G151="",0,IFERROR(VLOOKUP(G151,Assumptions!$B$64:$C$72,2,FALSE())/1000,0.008))</f>
        <v>0</v>
      </c>
      <c r="T151" s="93" t="str">
        <f t="shared" si="32"/>
        <v/>
      </c>
      <c r="U151" s="93" t="str">
        <f t="shared" si="33"/>
        <v/>
      </c>
      <c r="V151" s="93" t="str">
        <f t="shared" si="34"/>
        <v/>
      </c>
      <c r="W151" s="94" t="str">
        <f t="shared" si="35"/>
        <v/>
      </c>
      <c r="X151" s="88"/>
      <c r="Y151" s="87" t="str">
        <f>IF(D151="","",IFERROR(VLOOKUP(I151,Assumptions!$B$40:$H$50,6,FALSE()),0)*M151)</f>
        <v/>
      </c>
      <c r="Z151" s="87" t="str">
        <f>IF(D151="","",IFERROR(VLOOKUP(I151,Assumptions!$B$40:$H$50,7,FALSE()),0)*M151)</f>
        <v/>
      </c>
      <c r="AA151" s="96" t="str">
        <f t="shared" si="36"/>
        <v/>
      </c>
      <c r="AB151" s="84" t="str">
        <f t="shared" si="37"/>
        <v/>
      </c>
      <c r="AC151" s="99"/>
      <c r="AD151" s="99"/>
      <c r="AE151" s="99"/>
      <c r="AF151" s="98" t="str">
        <f t="shared" si="38"/>
        <v>-</v>
      </c>
    </row>
    <row r="152" spans="2:32" ht="14.25" customHeight="1" thickBot="1" x14ac:dyDescent="0.4">
      <c r="B152" s="84" t="str">
        <f t="shared" si="40"/>
        <v/>
      </c>
      <c r="C152" s="85"/>
      <c r="D152" s="91"/>
      <c r="E152" s="68" t="str">
        <f>IF(D152="","",IFERROR(VLOOKUP(D152,'Portfolio List'!$B$4:$I$76,5,FALSE()),""))</f>
        <v/>
      </c>
      <c r="F152" s="68" t="str">
        <f>IF(D152="","",IFERROR(VLOOKUP(D152,'Portfolio List'!$B$4:$I$76,6,FALSE()),""))</f>
        <v/>
      </c>
      <c r="G152" s="68" t="str">
        <f>IF(D152="","",IFERROR(VLOOKUP(D152,'Portfolio List'!$B$4:$I$76,7,FALSE()),""))</f>
        <v/>
      </c>
      <c r="H152" s="71" t="str">
        <f>IF(D152="","",IFERROR(VLOOKUP(D152,'Portfolio List'!$B$4:$I$76,4,FALSE()),""))</f>
        <v/>
      </c>
      <c r="I152" s="91"/>
      <c r="J152" s="84" t="str">
        <f t="shared" si="39"/>
        <v/>
      </c>
      <c r="K152" s="91"/>
      <c r="L152" s="85"/>
      <c r="M152" s="97"/>
      <c r="N152" s="180"/>
      <c r="O152" s="92"/>
      <c r="P152" s="87">
        <f>IF(D152="",0,IF(I152="LED Lighting",M152*IF(AC152="Studio",Assumptions!$C$15,IF(AC152="1 Bedroom",Assumptions!$C$16,IF(AC152="2 Bedroom",Assumptions!$C$17,IF(AC152="3 Bedroom",Assumptions!$C$18,Assumptions!$C$16))))*N152*365/1000,IFERROR(VLOOKUP(I152,Assumptions!$B$40:$H$50,2,FALSE()),0)*M152))</f>
        <v>0</v>
      </c>
      <c r="Q152" s="87">
        <f>IF(D152="",0,IFERROR(VLOOKUP(I152,Assumptions!$B$40:$H$50,3,FALSE()),0)*M152)</f>
        <v>0</v>
      </c>
      <c r="R152" s="77">
        <f>IF(G152="",0.2161,IFERROR(VLOOKUP(G152,Assumptions!$B$53:$C$61,2,FALSE())/100,0.2161))</f>
        <v>0.21609999999999999</v>
      </c>
      <c r="S152" s="77">
        <f>IF(G152="",0,IFERROR(VLOOKUP(G152,Assumptions!$B$64:$C$72,2,FALSE())/1000,0.008))</f>
        <v>0</v>
      </c>
      <c r="T152" s="93" t="str">
        <f t="shared" si="32"/>
        <v/>
      </c>
      <c r="U152" s="93" t="str">
        <f t="shared" si="33"/>
        <v/>
      </c>
      <c r="V152" s="93" t="str">
        <f t="shared" si="34"/>
        <v/>
      </c>
      <c r="W152" s="94" t="str">
        <f t="shared" si="35"/>
        <v/>
      </c>
      <c r="X152" s="88"/>
      <c r="Y152" s="87" t="str">
        <f>IF(D152="","",IFERROR(VLOOKUP(I152,Assumptions!$B$40:$H$50,6,FALSE()),0)*M152)</f>
        <v/>
      </c>
      <c r="Z152" s="87" t="str">
        <f>IF(D152="","",IFERROR(VLOOKUP(I152,Assumptions!$B$40:$H$50,7,FALSE()),0)*M152)</f>
        <v/>
      </c>
      <c r="AA152" s="96" t="str">
        <f t="shared" si="36"/>
        <v/>
      </c>
      <c r="AB152" s="84" t="str">
        <f t="shared" si="37"/>
        <v/>
      </c>
      <c r="AC152" s="99"/>
      <c r="AD152" s="99"/>
      <c r="AE152" s="99"/>
      <c r="AF152" s="98" t="str">
        <f t="shared" si="38"/>
        <v>-</v>
      </c>
    </row>
    <row r="153" spans="2:32" ht="14.25" customHeight="1" thickBot="1" x14ac:dyDescent="0.4">
      <c r="B153" s="84" t="str">
        <f t="shared" si="40"/>
        <v/>
      </c>
      <c r="C153" s="85"/>
      <c r="D153" s="91"/>
      <c r="E153" s="68" t="str">
        <f>IF(D153="","",IFERROR(VLOOKUP(D153,'Portfolio List'!$B$4:$I$76,5,FALSE()),""))</f>
        <v/>
      </c>
      <c r="F153" s="68" t="str">
        <f>IF(D153="","",IFERROR(VLOOKUP(D153,'Portfolio List'!$B$4:$I$76,6,FALSE()),""))</f>
        <v/>
      </c>
      <c r="G153" s="68" t="str">
        <f>IF(D153="","",IFERROR(VLOOKUP(D153,'Portfolio List'!$B$4:$I$76,7,FALSE()),""))</f>
        <v/>
      </c>
      <c r="H153" s="71" t="str">
        <f>IF(D153="","",IFERROR(VLOOKUP(D153,'Portfolio List'!$B$4:$I$76,4,FALSE()),""))</f>
        <v/>
      </c>
      <c r="I153" s="91"/>
      <c r="J153" s="84" t="str">
        <f t="shared" si="39"/>
        <v/>
      </c>
      <c r="K153" s="91"/>
      <c r="L153" s="85"/>
      <c r="M153" s="97"/>
      <c r="N153" s="180"/>
      <c r="O153" s="92"/>
      <c r="P153" s="87">
        <f>IF(D153="",0,IF(I153="LED Lighting",M153*IF(AC153="Studio",Assumptions!$C$15,IF(AC153="1 Bedroom",Assumptions!$C$16,IF(AC153="2 Bedroom",Assumptions!$C$17,IF(AC153="3 Bedroom",Assumptions!$C$18,Assumptions!$C$16))))*N153*365/1000,IFERROR(VLOOKUP(I153,Assumptions!$B$40:$H$50,2,FALSE()),0)*M153))</f>
        <v>0</v>
      </c>
      <c r="Q153" s="87">
        <f>IF(D153="",0,IFERROR(VLOOKUP(I153,Assumptions!$B$40:$H$50,3,FALSE()),0)*M153)</f>
        <v>0</v>
      </c>
      <c r="R153" s="77">
        <f>IF(G153="",0.2161,IFERROR(VLOOKUP(G153,Assumptions!$B$53:$C$61,2,FALSE())/100,0.2161))</f>
        <v>0.21609999999999999</v>
      </c>
      <c r="S153" s="77">
        <f>IF(G153="",0,IFERROR(VLOOKUP(G153,Assumptions!$B$64:$C$72,2,FALSE())/1000,0.008))</f>
        <v>0</v>
      </c>
      <c r="T153" s="93" t="str">
        <f t="shared" si="32"/>
        <v/>
      </c>
      <c r="U153" s="93" t="str">
        <f t="shared" si="33"/>
        <v/>
      </c>
      <c r="V153" s="93" t="str">
        <f t="shared" si="34"/>
        <v/>
      </c>
      <c r="W153" s="94" t="str">
        <f t="shared" si="35"/>
        <v/>
      </c>
      <c r="X153" s="88"/>
      <c r="Y153" s="87" t="str">
        <f>IF(D153="","",IFERROR(VLOOKUP(I153,Assumptions!$B$40:$H$50,6,FALSE()),0)*M153)</f>
        <v/>
      </c>
      <c r="Z153" s="87" t="str">
        <f>IF(D153="","",IFERROR(VLOOKUP(I153,Assumptions!$B$40:$H$50,7,FALSE()),0)*M153)</f>
        <v/>
      </c>
      <c r="AA153" s="96" t="str">
        <f t="shared" si="36"/>
        <v/>
      </c>
      <c r="AB153" s="84" t="str">
        <f t="shared" si="37"/>
        <v/>
      </c>
      <c r="AC153" s="99"/>
      <c r="AD153" s="99"/>
      <c r="AE153" s="99"/>
      <c r="AF153" s="98" t="str">
        <f t="shared" si="38"/>
        <v>-</v>
      </c>
    </row>
    <row r="154" spans="2:32" ht="14.25" customHeight="1" thickBot="1" x14ac:dyDescent="0.4">
      <c r="B154" s="84" t="str">
        <f t="shared" si="40"/>
        <v/>
      </c>
      <c r="C154" s="85"/>
      <c r="D154" s="91"/>
      <c r="E154" s="68" t="str">
        <f>IF(D154="","",IFERROR(VLOOKUP(D154,'Portfolio List'!$B$4:$I$76,5,FALSE()),""))</f>
        <v/>
      </c>
      <c r="F154" s="68" t="str">
        <f>IF(D154="","",IFERROR(VLOOKUP(D154,'Portfolio List'!$B$4:$I$76,6,FALSE()),""))</f>
        <v/>
      </c>
      <c r="G154" s="68" t="str">
        <f>IF(D154="","",IFERROR(VLOOKUP(D154,'Portfolio List'!$B$4:$I$76,7,FALSE()),""))</f>
        <v/>
      </c>
      <c r="H154" s="71" t="str">
        <f>IF(D154="","",IFERROR(VLOOKUP(D154,'Portfolio List'!$B$4:$I$76,4,FALSE()),""))</f>
        <v/>
      </c>
      <c r="I154" s="91"/>
      <c r="J154" s="84" t="str">
        <f t="shared" si="39"/>
        <v/>
      </c>
      <c r="K154" s="91"/>
      <c r="L154" s="85"/>
      <c r="M154" s="97"/>
      <c r="N154" s="180"/>
      <c r="O154" s="92"/>
      <c r="P154" s="87">
        <f>IF(D154="",0,IF(I154="LED Lighting",M154*IF(AC154="Studio",Assumptions!$C$15,IF(AC154="1 Bedroom",Assumptions!$C$16,IF(AC154="2 Bedroom",Assumptions!$C$17,IF(AC154="3 Bedroom",Assumptions!$C$18,Assumptions!$C$16))))*N154*365/1000,IFERROR(VLOOKUP(I154,Assumptions!$B$40:$H$50,2,FALSE()),0)*M154))</f>
        <v>0</v>
      </c>
      <c r="Q154" s="87">
        <f>IF(D154="",0,IFERROR(VLOOKUP(I154,Assumptions!$B$40:$H$50,3,FALSE()),0)*M154)</f>
        <v>0</v>
      </c>
      <c r="R154" s="77">
        <f>IF(G154="",0.2161,IFERROR(VLOOKUP(G154,Assumptions!$B$53:$C$61,2,FALSE())/100,0.2161))</f>
        <v>0.21609999999999999</v>
      </c>
      <c r="S154" s="77">
        <f>IF(G154="",0,IFERROR(VLOOKUP(G154,Assumptions!$B$64:$C$72,2,FALSE())/1000,0.008))</f>
        <v>0</v>
      </c>
      <c r="T154" s="93" t="str">
        <f t="shared" si="32"/>
        <v/>
      </c>
      <c r="U154" s="93" t="str">
        <f t="shared" si="33"/>
        <v/>
      </c>
      <c r="V154" s="93" t="str">
        <f t="shared" si="34"/>
        <v/>
      </c>
      <c r="W154" s="94" t="str">
        <f t="shared" si="35"/>
        <v/>
      </c>
      <c r="X154" s="88"/>
      <c r="Y154" s="87" t="str">
        <f>IF(D154="","",IFERROR(VLOOKUP(I154,Assumptions!$B$40:$H$50,6,FALSE()),0)*M154)</f>
        <v/>
      </c>
      <c r="Z154" s="87" t="str">
        <f>IF(D154="","",IFERROR(VLOOKUP(I154,Assumptions!$B$40:$H$50,7,FALSE()),0)*M154)</f>
        <v/>
      </c>
      <c r="AA154" s="96" t="str">
        <f t="shared" si="36"/>
        <v/>
      </c>
      <c r="AB154" s="84" t="str">
        <f t="shared" si="37"/>
        <v/>
      </c>
      <c r="AC154" s="99"/>
      <c r="AD154" s="99"/>
      <c r="AE154" s="99"/>
      <c r="AF154" s="98" t="str">
        <f t="shared" si="38"/>
        <v>-</v>
      </c>
    </row>
    <row r="155" spans="2:32" ht="14.25" customHeight="1" thickBot="1" x14ac:dyDescent="0.4">
      <c r="B155" s="84" t="str">
        <f t="shared" si="40"/>
        <v/>
      </c>
      <c r="C155" s="85"/>
      <c r="D155" s="91"/>
      <c r="E155" s="68" t="str">
        <f>IF(D155="","",IFERROR(VLOOKUP(D155,'Portfolio List'!$B$4:$I$76,5,FALSE()),""))</f>
        <v/>
      </c>
      <c r="F155" s="68" t="str">
        <f>IF(D155="","",IFERROR(VLOOKUP(D155,'Portfolio List'!$B$4:$I$76,6,FALSE()),""))</f>
        <v/>
      </c>
      <c r="G155" s="68" t="str">
        <f>IF(D155="","",IFERROR(VLOOKUP(D155,'Portfolio List'!$B$4:$I$76,7,FALSE()),""))</f>
        <v/>
      </c>
      <c r="H155" s="71" t="str">
        <f>IF(D155="","",IFERROR(VLOOKUP(D155,'Portfolio List'!$B$4:$I$76,4,FALSE()),""))</f>
        <v/>
      </c>
      <c r="I155" s="91"/>
      <c r="J155" s="84" t="str">
        <f t="shared" si="39"/>
        <v/>
      </c>
      <c r="K155" s="91"/>
      <c r="L155" s="85"/>
      <c r="M155" s="97"/>
      <c r="N155" s="180"/>
      <c r="O155" s="92"/>
      <c r="P155" s="87">
        <f>IF(D155="",0,IF(I155="LED Lighting",M155*IF(AC155="Studio",Assumptions!$C$15,IF(AC155="1 Bedroom",Assumptions!$C$16,IF(AC155="2 Bedroom",Assumptions!$C$17,IF(AC155="3 Bedroom",Assumptions!$C$18,Assumptions!$C$16))))*N155*365/1000,IFERROR(VLOOKUP(I155,Assumptions!$B$40:$H$50,2,FALSE()),0)*M155))</f>
        <v>0</v>
      </c>
      <c r="Q155" s="87">
        <f>IF(D155="",0,IFERROR(VLOOKUP(I155,Assumptions!$B$40:$H$50,3,FALSE()),0)*M155)</f>
        <v>0</v>
      </c>
      <c r="R155" s="77">
        <f>IF(G155="",0.2161,IFERROR(VLOOKUP(G155,Assumptions!$B$53:$C$61,2,FALSE())/100,0.2161))</f>
        <v>0.21609999999999999</v>
      </c>
      <c r="S155" s="77">
        <f>IF(G155="",0,IFERROR(VLOOKUP(G155,Assumptions!$B$64:$C$72,2,FALSE())/1000,0.008))</f>
        <v>0</v>
      </c>
      <c r="T155" s="93" t="str">
        <f t="shared" si="32"/>
        <v/>
      </c>
      <c r="U155" s="93" t="str">
        <f t="shared" si="33"/>
        <v/>
      </c>
      <c r="V155" s="93" t="str">
        <f t="shared" si="34"/>
        <v/>
      </c>
      <c r="W155" s="94" t="str">
        <f t="shared" si="35"/>
        <v/>
      </c>
      <c r="X155" s="88"/>
      <c r="Y155" s="87" t="str">
        <f>IF(D155="","",IFERROR(VLOOKUP(I155,Assumptions!$B$40:$H$50,6,FALSE()),0)*M155)</f>
        <v/>
      </c>
      <c r="Z155" s="87" t="str">
        <f>IF(D155="","",IFERROR(VLOOKUP(I155,Assumptions!$B$40:$H$50,7,FALSE()),0)*M155)</f>
        <v/>
      </c>
      <c r="AA155" s="96" t="str">
        <f t="shared" si="36"/>
        <v/>
      </c>
      <c r="AB155" s="84" t="str">
        <f t="shared" si="37"/>
        <v/>
      </c>
      <c r="AC155" s="99"/>
      <c r="AD155" s="99"/>
      <c r="AE155" s="99"/>
      <c r="AF155" s="98" t="str">
        <f t="shared" si="38"/>
        <v>-</v>
      </c>
    </row>
    <row r="156" spans="2:32" ht="14.25" customHeight="1" thickBot="1" x14ac:dyDescent="0.4">
      <c r="B156" s="84" t="str">
        <f t="shared" si="40"/>
        <v/>
      </c>
      <c r="C156" s="85"/>
      <c r="D156" s="91"/>
      <c r="E156" s="68" t="str">
        <f>IF(D156="","",IFERROR(VLOOKUP(D156,'Portfolio List'!$B$4:$I$76,5,FALSE()),""))</f>
        <v/>
      </c>
      <c r="F156" s="68" t="str">
        <f>IF(D156="","",IFERROR(VLOOKUP(D156,'Portfolio List'!$B$4:$I$76,6,FALSE()),""))</f>
        <v/>
      </c>
      <c r="G156" s="68" t="str">
        <f>IF(D156="","",IFERROR(VLOOKUP(D156,'Portfolio List'!$B$4:$I$76,7,FALSE()),""))</f>
        <v/>
      </c>
      <c r="H156" s="71" t="str">
        <f>IF(D156="","",IFERROR(VLOOKUP(D156,'Portfolio List'!$B$4:$I$76,4,FALSE()),""))</f>
        <v/>
      </c>
      <c r="I156" s="91"/>
      <c r="J156" s="84" t="str">
        <f t="shared" si="39"/>
        <v/>
      </c>
      <c r="K156" s="91"/>
      <c r="L156" s="85"/>
      <c r="M156" s="97"/>
      <c r="N156" s="180"/>
      <c r="O156" s="92"/>
      <c r="P156" s="87">
        <f>IF(D156="",0,IF(I156="LED Lighting",M156*IF(AC156="Studio",Assumptions!$C$15,IF(AC156="1 Bedroom",Assumptions!$C$16,IF(AC156="2 Bedroom",Assumptions!$C$17,IF(AC156="3 Bedroom",Assumptions!$C$18,Assumptions!$C$16))))*N156*365/1000,IFERROR(VLOOKUP(I156,Assumptions!$B$40:$H$50,2,FALSE()),0)*M156))</f>
        <v>0</v>
      </c>
      <c r="Q156" s="87">
        <f>IF(D156="",0,IFERROR(VLOOKUP(I156,Assumptions!$B$40:$H$50,3,FALSE()),0)*M156)</f>
        <v>0</v>
      </c>
      <c r="R156" s="77">
        <f>IF(G156="",0.2161,IFERROR(VLOOKUP(G156,Assumptions!$B$53:$C$61,2,FALSE())/100,0.2161))</f>
        <v>0.21609999999999999</v>
      </c>
      <c r="S156" s="77">
        <f>IF(G156="",0,IFERROR(VLOOKUP(G156,Assumptions!$B$64:$C$72,2,FALSE())/1000,0.008))</f>
        <v>0</v>
      </c>
      <c r="T156" s="93" t="str">
        <f t="shared" si="32"/>
        <v/>
      </c>
      <c r="U156" s="93" t="str">
        <f t="shared" si="33"/>
        <v/>
      </c>
      <c r="V156" s="93" t="str">
        <f t="shared" si="34"/>
        <v/>
      </c>
      <c r="W156" s="94" t="str">
        <f t="shared" si="35"/>
        <v/>
      </c>
      <c r="X156" s="88"/>
      <c r="Y156" s="87" t="str">
        <f>IF(D156="","",IFERROR(VLOOKUP(I156,Assumptions!$B$40:$H$50,6,FALSE()),0)*M156)</f>
        <v/>
      </c>
      <c r="Z156" s="87" t="str">
        <f>IF(D156="","",IFERROR(VLOOKUP(I156,Assumptions!$B$40:$H$50,7,FALSE()),0)*M156)</f>
        <v/>
      </c>
      <c r="AA156" s="96" t="str">
        <f t="shared" si="36"/>
        <v/>
      </c>
      <c r="AB156" s="84" t="str">
        <f t="shared" si="37"/>
        <v/>
      </c>
      <c r="AC156" s="99"/>
      <c r="AD156" s="99"/>
      <c r="AE156" s="99"/>
      <c r="AF156" s="98" t="str">
        <f t="shared" si="38"/>
        <v>-</v>
      </c>
    </row>
    <row r="157" spans="2:32" ht="14.25" customHeight="1" thickBot="1" x14ac:dyDescent="0.4">
      <c r="B157" s="84" t="str">
        <f t="shared" si="40"/>
        <v/>
      </c>
      <c r="C157" s="85"/>
      <c r="D157" s="91"/>
      <c r="E157" s="68" t="str">
        <f>IF(D157="","",IFERROR(VLOOKUP(D157,'Portfolio List'!$B$4:$I$76,5,FALSE()),""))</f>
        <v/>
      </c>
      <c r="F157" s="68" t="str">
        <f>IF(D157="","",IFERROR(VLOOKUP(D157,'Portfolio List'!$B$4:$I$76,6,FALSE()),""))</f>
        <v/>
      </c>
      <c r="G157" s="68" t="str">
        <f>IF(D157="","",IFERROR(VLOOKUP(D157,'Portfolio List'!$B$4:$I$76,7,FALSE()),""))</f>
        <v/>
      </c>
      <c r="H157" s="71" t="str">
        <f>IF(D157="","",IFERROR(VLOOKUP(D157,'Portfolio List'!$B$4:$I$76,4,FALSE()),""))</f>
        <v/>
      </c>
      <c r="I157" s="91"/>
      <c r="J157" s="84" t="str">
        <f t="shared" si="39"/>
        <v/>
      </c>
      <c r="K157" s="91"/>
      <c r="L157" s="85"/>
      <c r="M157" s="97"/>
      <c r="N157" s="180"/>
      <c r="O157" s="92"/>
      <c r="P157" s="87">
        <f>IF(D157="",0,IF(I157="LED Lighting",M157*IF(AC157="Studio",Assumptions!$C$15,IF(AC157="1 Bedroom",Assumptions!$C$16,IF(AC157="2 Bedroom",Assumptions!$C$17,IF(AC157="3 Bedroom",Assumptions!$C$18,Assumptions!$C$16))))*N157*365/1000,IFERROR(VLOOKUP(I157,Assumptions!$B$40:$H$50,2,FALSE()),0)*M157))</f>
        <v>0</v>
      </c>
      <c r="Q157" s="87">
        <f>IF(D157="",0,IFERROR(VLOOKUP(I157,Assumptions!$B$40:$H$50,3,FALSE()),0)*M157)</f>
        <v>0</v>
      </c>
      <c r="R157" s="77">
        <f>IF(G157="",0.2161,IFERROR(VLOOKUP(G157,Assumptions!$B$53:$C$61,2,FALSE())/100,0.2161))</f>
        <v>0.21609999999999999</v>
      </c>
      <c r="S157" s="77">
        <f>IF(G157="",0,IFERROR(VLOOKUP(G157,Assumptions!$B$64:$C$72,2,FALSE())/1000,0.008))</f>
        <v>0</v>
      </c>
      <c r="T157" s="93" t="str">
        <f t="shared" si="32"/>
        <v/>
      </c>
      <c r="U157" s="93" t="str">
        <f t="shared" si="33"/>
        <v/>
      </c>
      <c r="V157" s="93" t="str">
        <f t="shared" si="34"/>
        <v/>
      </c>
      <c r="W157" s="94" t="str">
        <f t="shared" si="35"/>
        <v/>
      </c>
      <c r="X157" s="88"/>
      <c r="Y157" s="87" t="str">
        <f>IF(D157="","",IFERROR(VLOOKUP(I157,Assumptions!$B$40:$H$50,6,FALSE()),0)*M157)</f>
        <v/>
      </c>
      <c r="Z157" s="87" t="str">
        <f>IF(D157="","",IFERROR(VLOOKUP(I157,Assumptions!$B$40:$H$50,7,FALSE()),0)*M157)</f>
        <v/>
      </c>
      <c r="AA157" s="96" t="str">
        <f t="shared" si="36"/>
        <v/>
      </c>
      <c r="AB157" s="84" t="str">
        <f t="shared" si="37"/>
        <v/>
      </c>
      <c r="AC157" s="99"/>
      <c r="AD157" s="99"/>
      <c r="AE157" s="99"/>
      <c r="AF157" s="98" t="str">
        <f t="shared" si="38"/>
        <v>-</v>
      </c>
    </row>
    <row r="158" spans="2:32" ht="14.25" customHeight="1" thickBot="1" x14ac:dyDescent="0.4">
      <c r="B158" s="84" t="str">
        <f t="shared" si="40"/>
        <v/>
      </c>
      <c r="C158" s="85"/>
      <c r="D158" s="91"/>
      <c r="E158" s="68" t="str">
        <f>IF(D158="","",IFERROR(VLOOKUP(D158,'Portfolio List'!$B$4:$I$76,5,FALSE()),""))</f>
        <v/>
      </c>
      <c r="F158" s="68" t="str">
        <f>IF(D158="","",IFERROR(VLOOKUP(D158,'Portfolio List'!$B$4:$I$76,6,FALSE()),""))</f>
        <v/>
      </c>
      <c r="G158" s="68" t="str">
        <f>IF(D158="","",IFERROR(VLOOKUP(D158,'Portfolio List'!$B$4:$I$76,7,FALSE()),""))</f>
        <v/>
      </c>
      <c r="H158" s="71" t="str">
        <f>IF(D158="","",IFERROR(VLOOKUP(D158,'Portfolio List'!$B$4:$I$76,4,FALSE()),""))</f>
        <v/>
      </c>
      <c r="I158" s="91"/>
      <c r="J158" s="84" t="str">
        <f t="shared" si="39"/>
        <v/>
      </c>
      <c r="K158" s="91"/>
      <c r="L158" s="85"/>
      <c r="M158" s="97"/>
      <c r="N158" s="180"/>
      <c r="O158" s="92"/>
      <c r="P158" s="87">
        <f>IF(D158="",0,IF(I158="LED Lighting",M158*IF(AC158="Studio",Assumptions!$C$15,IF(AC158="1 Bedroom",Assumptions!$C$16,IF(AC158="2 Bedroom",Assumptions!$C$17,IF(AC158="3 Bedroom",Assumptions!$C$18,Assumptions!$C$16))))*N158*365/1000,IFERROR(VLOOKUP(I158,Assumptions!$B$40:$H$50,2,FALSE()),0)*M158))</f>
        <v>0</v>
      </c>
      <c r="Q158" s="87">
        <f>IF(D158="",0,IFERROR(VLOOKUP(I158,Assumptions!$B$40:$H$50,3,FALSE()),0)*M158)</f>
        <v>0</v>
      </c>
      <c r="R158" s="77">
        <f>IF(G158="",0.2161,IFERROR(VLOOKUP(G158,Assumptions!$B$53:$C$61,2,FALSE())/100,0.2161))</f>
        <v>0.21609999999999999</v>
      </c>
      <c r="S158" s="77">
        <f>IF(G158="",0,IFERROR(VLOOKUP(G158,Assumptions!$B$64:$C$72,2,FALSE())/1000,0.008))</f>
        <v>0</v>
      </c>
      <c r="T158" s="93" t="str">
        <f t="shared" si="32"/>
        <v/>
      </c>
      <c r="U158" s="93" t="str">
        <f t="shared" si="33"/>
        <v/>
      </c>
      <c r="V158" s="93" t="str">
        <f t="shared" si="34"/>
        <v/>
      </c>
      <c r="W158" s="94" t="str">
        <f t="shared" si="35"/>
        <v/>
      </c>
      <c r="X158" s="88"/>
      <c r="Y158" s="87" t="str">
        <f>IF(D158="","",IFERROR(VLOOKUP(I158,Assumptions!$B$40:$H$50,6,FALSE()),0)*M158)</f>
        <v/>
      </c>
      <c r="Z158" s="87" t="str">
        <f>IF(D158="","",IFERROR(VLOOKUP(I158,Assumptions!$B$40:$H$50,7,FALSE()),0)*M158)</f>
        <v/>
      </c>
      <c r="AA158" s="96" t="str">
        <f t="shared" si="36"/>
        <v/>
      </c>
      <c r="AB158" s="84" t="str">
        <f t="shared" si="37"/>
        <v/>
      </c>
      <c r="AC158" s="99"/>
      <c r="AD158" s="99"/>
      <c r="AE158" s="99"/>
      <c r="AF158" s="98" t="str">
        <f t="shared" si="38"/>
        <v>-</v>
      </c>
    </row>
    <row r="159" spans="2:32" ht="14.25" customHeight="1" thickBot="1" x14ac:dyDescent="0.4">
      <c r="B159" s="84" t="str">
        <f t="shared" si="40"/>
        <v/>
      </c>
      <c r="C159" s="85"/>
      <c r="D159" s="91"/>
      <c r="E159" s="68" t="str">
        <f>IF(D159="","",IFERROR(VLOOKUP(D159,'Portfolio List'!$B$4:$I$76,5,FALSE()),""))</f>
        <v/>
      </c>
      <c r="F159" s="68" t="str">
        <f>IF(D159="","",IFERROR(VLOOKUP(D159,'Portfolio List'!$B$4:$I$76,6,FALSE()),""))</f>
        <v/>
      </c>
      <c r="G159" s="68" t="str">
        <f>IF(D159="","",IFERROR(VLOOKUP(D159,'Portfolio List'!$B$4:$I$76,7,FALSE()),""))</f>
        <v/>
      </c>
      <c r="H159" s="71" t="str">
        <f>IF(D159="","",IFERROR(VLOOKUP(D159,'Portfolio List'!$B$4:$I$76,4,FALSE()),""))</f>
        <v/>
      </c>
      <c r="I159" s="91"/>
      <c r="J159" s="84" t="str">
        <f t="shared" si="39"/>
        <v/>
      </c>
      <c r="K159" s="91"/>
      <c r="L159" s="85"/>
      <c r="M159" s="97"/>
      <c r="N159" s="180"/>
      <c r="O159" s="92"/>
      <c r="P159" s="87">
        <f>IF(D159="",0,IF(I159="LED Lighting",M159*IF(AC159="Studio",Assumptions!$C$15,IF(AC159="1 Bedroom",Assumptions!$C$16,IF(AC159="2 Bedroom",Assumptions!$C$17,IF(AC159="3 Bedroom",Assumptions!$C$18,Assumptions!$C$16))))*N159*365/1000,IFERROR(VLOOKUP(I159,Assumptions!$B$40:$H$50,2,FALSE()),0)*M159))</f>
        <v>0</v>
      </c>
      <c r="Q159" s="87">
        <f>IF(D159="",0,IFERROR(VLOOKUP(I159,Assumptions!$B$40:$H$50,3,FALSE()),0)*M159)</f>
        <v>0</v>
      </c>
      <c r="R159" s="77">
        <f>IF(G159="",0.2161,IFERROR(VLOOKUP(G159,Assumptions!$B$53:$C$61,2,FALSE())/100,0.2161))</f>
        <v>0.21609999999999999</v>
      </c>
      <c r="S159" s="77">
        <f>IF(G159="",0,IFERROR(VLOOKUP(G159,Assumptions!$B$64:$C$72,2,FALSE())/1000,0.008))</f>
        <v>0</v>
      </c>
      <c r="T159" s="93" t="str">
        <f t="shared" si="32"/>
        <v/>
      </c>
      <c r="U159" s="93" t="str">
        <f t="shared" si="33"/>
        <v/>
      </c>
      <c r="V159" s="93" t="str">
        <f t="shared" si="34"/>
        <v/>
      </c>
      <c r="W159" s="94" t="str">
        <f t="shared" si="35"/>
        <v/>
      </c>
      <c r="X159" s="88"/>
      <c r="Y159" s="87" t="str">
        <f>IF(D159="","",IFERROR(VLOOKUP(I159,Assumptions!$B$40:$H$50,6,FALSE()),0)*M159)</f>
        <v/>
      </c>
      <c r="Z159" s="87" t="str">
        <f>IF(D159="","",IFERROR(VLOOKUP(I159,Assumptions!$B$40:$H$50,7,FALSE()),0)*M159)</f>
        <v/>
      </c>
      <c r="AA159" s="96" t="str">
        <f t="shared" si="36"/>
        <v/>
      </c>
      <c r="AB159" s="84" t="str">
        <f t="shared" si="37"/>
        <v/>
      </c>
      <c r="AC159" s="99"/>
      <c r="AD159" s="99"/>
      <c r="AE159" s="99"/>
      <c r="AF159" s="98" t="str">
        <f t="shared" si="38"/>
        <v>-</v>
      </c>
    </row>
    <row r="160" spans="2:32" ht="14.25" customHeight="1" thickBot="1" x14ac:dyDescent="0.4">
      <c r="B160" s="84" t="str">
        <f t="shared" si="40"/>
        <v/>
      </c>
      <c r="C160" s="85"/>
      <c r="D160" s="91"/>
      <c r="E160" s="68" t="str">
        <f>IF(D160="","",IFERROR(VLOOKUP(D160,'Portfolio List'!$B$4:$I$76,5,FALSE()),""))</f>
        <v/>
      </c>
      <c r="F160" s="68" t="str">
        <f>IF(D160="","",IFERROR(VLOOKUP(D160,'Portfolio List'!$B$4:$I$76,6,FALSE()),""))</f>
        <v/>
      </c>
      <c r="G160" s="68" t="str">
        <f>IF(D160="","",IFERROR(VLOOKUP(D160,'Portfolio List'!$B$4:$I$76,7,FALSE()),""))</f>
        <v/>
      </c>
      <c r="H160" s="71" t="str">
        <f>IF(D160="","",IFERROR(VLOOKUP(D160,'Portfolio List'!$B$4:$I$76,4,FALSE()),""))</f>
        <v/>
      </c>
      <c r="I160" s="91"/>
      <c r="J160" s="84" t="str">
        <f t="shared" si="39"/>
        <v/>
      </c>
      <c r="K160" s="91"/>
      <c r="L160" s="85"/>
      <c r="M160" s="97"/>
      <c r="N160" s="180"/>
      <c r="O160" s="92"/>
      <c r="P160" s="87">
        <f>IF(D160="",0,IF(I160="LED Lighting",M160*IF(AC160="Studio",Assumptions!$C$15,IF(AC160="1 Bedroom",Assumptions!$C$16,IF(AC160="2 Bedroom",Assumptions!$C$17,IF(AC160="3 Bedroom",Assumptions!$C$18,Assumptions!$C$16))))*N160*365/1000,IFERROR(VLOOKUP(I160,Assumptions!$B$40:$H$50,2,FALSE()),0)*M160))</f>
        <v>0</v>
      </c>
      <c r="Q160" s="87">
        <f>IF(D160="",0,IFERROR(VLOOKUP(I160,Assumptions!$B$40:$H$50,3,FALSE()),0)*M160)</f>
        <v>0</v>
      </c>
      <c r="R160" s="77">
        <f>IF(G160="",0.2161,IFERROR(VLOOKUP(G160,Assumptions!$B$53:$C$61,2,FALSE())/100,0.2161))</f>
        <v>0.21609999999999999</v>
      </c>
      <c r="S160" s="77">
        <f>IF(G160="",0,IFERROR(VLOOKUP(G160,Assumptions!$B$64:$C$72,2,FALSE())/1000,0.008))</f>
        <v>0</v>
      </c>
      <c r="T160" s="93" t="str">
        <f t="shared" si="32"/>
        <v/>
      </c>
      <c r="U160" s="93" t="str">
        <f t="shared" si="33"/>
        <v/>
      </c>
      <c r="V160" s="93" t="str">
        <f t="shared" si="34"/>
        <v/>
      </c>
      <c r="W160" s="94" t="str">
        <f t="shared" si="35"/>
        <v/>
      </c>
      <c r="X160" s="88"/>
      <c r="Y160" s="87" t="str">
        <f>IF(D160="","",IFERROR(VLOOKUP(I160,Assumptions!$B$40:$H$50,6,FALSE()),0)*M160)</f>
        <v/>
      </c>
      <c r="Z160" s="87" t="str">
        <f>IF(D160="","",IFERROR(VLOOKUP(I160,Assumptions!$B$40:$H$50,7,FALSE()),0)*M160)</f>
        <v/>
      </c>
      <c r="AA160" s="96" t="str">
        <f t="shared" si="36"/>
        <v/>
      </c>
      <c r="AB160" s="84" t="str">
        <f t="shared" si="37"/>
        <v/>
      </c>
      <c r="AC160" s="99"/>
      <c r="AD160" s="99"/>
      <c r="AE160" s="99"/>
      <c r="AF160" s="98" t="str">
        <f t="shared" si="38"/>
        <v>-</v>
      </c>
    </row>
    <row r="161" spans="2:32" ht="14.25" customHeight="1" thickBot="1" x14ac:dyDescent="0.4">
      <c r="B161" s="84" t="str">
        <f t="shared" si="40"/>
        <v/>
      </c>
      <c r="C161" s="85"/>
      <c r="D161" s="91"/>
      <c r="E161" s="68" t="str">
        <f>IF(D161="","",IFERROR(VLOOKUP(D161,'Portfolio List'!$B$4:$I$76,5,FALSE()),""))</f>
        <v/>
      </c>
      <c r="F161" s="68" t="str">
        <f>IF(D161="","",IFERROR(VLOOKUP(D161,'Portfolio List'!$B$4:$I$76,6,FALSE()),""))</f>
        <v/>
      </c>
      <c r="G161" s="68" t="str">
        <f>IF(D161="","",IFERROR(VLOOKUP(D161,'Portfolio List'!$B$4:$I$76,7,FALSE()),""))</f>
        <v/>
      </c>
      <c r="H161" s="71" t="str">
        <f>IF(D161="","",IFERROR(VLOOKUP(D161,'Portfolio List'!$B$4:$I$76,4,FALSE()),""))</f>
        <v/>
      </c>
      <c r="I161" s="91"/>
      <c r="J161" s="84" t="str">
        <f t="shared" si="39"/>
        <v/>
      </c>
      <c r="K161" s="91"/>
      <c r="L161" s="85"/>
      <c r="M161" s="97"/>
      <c r="N161" s="180"/>
      <c r="O161" s="92"/>
      <c r="P161" s="87">
        <f>IF(D161="",0,IF(I161="LED Lighting",M161*IF(AC161="Studio",Assumptions!$C$15,IF(AC161="1 Bedroom",Assumptions!$C$16,IF(AC161="2 Bedroom",Assumptions!$C$17,IF(AC161="3 Bedroom",Assumptions!$C$18,Assumptions!$C$16))))*N161*365/1000,IFERROR(VLOOKUP(I161,Assumptions!$B$40:$H$50,2,FALSE()),0)*M161))</f>
        <v>0</v>
      </c>
      <c r="Q161" s="87">
        <f>IF(D161="",0,IFERROR(VLOOKUP(I161,Assumptions!$B$40:$H$50,3,FALSE()),0)*M161)</f>
        <v>0</v>
      </c>
      <c r="R161" s="77">
        <f>IF(G161="",0.2161,IFERROR(VLOOKUP(G161,Assumptions!$B$53:$C$61,2,FALSE())/100,0.2161))</f>
        <v>0.21609999999999999</v>
      </c>
      <c r="S161" s="77">
        <f>IF(G161="",0,IFERROR(VLOOKUP(G161,Assumptions!$B$64:$C$72,2,FALSE())/1000,0.008))</f>
        <v>0</v>
      </c>
      <c r="T161" s="93" t="str">
        <f t="shared" si="32"/>
        <v/>
      </c>
      <c r="U161" s="93" t="str">
        <f t="shared" si="33"/>
        <v/>
      </c>
      <c r="V161" s="93" t="str">
        <f t="shared" si="34"/>
        <v/>
      </c>
      <c r="W161" s="94" t="str">
        <f t="shared" si="35"/>
        <v/>
      </c>
      <c r="X161" s="88"/>
      <c r="Y161" s="87" t="str">
        <f>IF(D161="","",IFERROR(VLOOKUP(I161,Assumptions!$B$40:$H$50,6,FALSE()),0)*M161)</f>
        <v/>
      </c>
      <c r="Z161" s="87" t="str">
        <f>IF(D161="","",IFERROR(VLOOKUP(I161,Assumptions!$B$40:$H$50,7,FALSE()),0)*M161)</f>
        <v/>
      </c>
      <c r="AA161" s="96" t="str">
        <f t="shared" si="36"/>
        <v/>
      </c>
      <c r="AB161" s="84" t="str">
        <f t="shared" si="37"/>
        <v/>
      </c>
      <c r="AC161" s="99"/>
      <c r="AD161" s="99"/>
      <c r="AE161" s="99"/>
      <c r="AF161" s="98" t="str">
        <f t="shared" si="38"/>
        <v>-</v>
      </c>
    </row>
    <row r="162" spans="2:32" ht="14.25" customHeight="1" thickBot="1" x14ac:dyDescent="0.4">
      <c r="B162" s="84" t="str">
        <f t="shared" si="40"/>
        <v/>
      </c>
      <c r="C162" s="85"/>
      <c r="D162" s="91"/>
      <c r="E162" s="68" t="str">
        <f>IF(D162="","",IFERROR(VLOOKUP(D162,'Portfolio List'!$B$4:$I$76,5,FALSE()),""))</f>
        <v/>
      </c>
      <c r="F162" s="68" t="str">
        <f>IF(D162="","",IFERROR(VLOOKUP(D162,'Portfolio List'!$B$4:$I$76,6,FALSE()),""))</f>
        <v/>
      </c>
      <c r="G162" s="68" t="str">
        <f>IF(D162="","",IFERROR(VLOOKUP(D162,'Portfolio List'!$B$4:$I$76,7,FALSE()),""))</f>
        <v/>
      </c>
      <c r="H162" s="71" t="str">
        <f>IF(D162="","",IFERROR(VLOOKUP(D162,'Portfolio List'!$B$4:$I$76,4,FALSE()),""))</f>
        <v/>
      </c>
      <c r="I162" s="91"/>
      <c r="J162" s="84" t="str">
        <f t="shared" si="39"/>
        <v/>
      </c>
      <c r="K162" s="91"/>
      <c r="L162" s="85"/>
      <c r="M162" s="97"/>
      <c r="N162" s="180"/>
      <c r="O162" s="92"/>
      <c r="P162" s="87">
        <f>IF(D162="",0,IF(I162="LED Lighting",M162*IF(AC162="Studio",Assumptions!$C$15,IF(AC162="1 Bedroom",Assumptions!$C$16,IF(AC162="2 Bedroom",Assumptions!$C$17,IF(AC162="3 Bedroom",Assumptions!$C$18,Assumptions!$C$16))))*N162*365/1000,IFERROR(VLOOKUP(I162,Assumptions!$B$40:$H$50,2,FALSE()),0)*M162))</f>
        <v>0</v>
      </c>
      <c r="Q162" s="87">
        <f>IF(D162="",0,IFERROR(VLOOKUP(I162,Assumptions!$B$40:$H$50,3,FALSE()),0)*M162)</f>
        <v>0</v>
      </c>
      <c r="R162" s="77">
        <f>IF(G162="",0.2161,IFERROR(VLOOKUP(G162,Assumptions!$B$53:$C$61,2,FALSE())/100,0.2161))</f>
        <v>0.21609999999999999</v>
      </c>
      <c r="S162" s="77">
        <f>IF(G162="",0,IFERROR(VLOOKUP(G162,Assumptions!$B$64:$C$72,2,FALSE())/1000,0.008))</f>
        <v>0</v>
      </c>
      <c r="T162" s="93" t="str">
        <f t="shared" si="32"/>
        <v/>
      </c>
      <c r="U162" s="93" t="str">
        <f t="shared" si="33"/>
        <v/>
      </c>
      <c r="V162" s="93" t="str">
        <f t="shared" si="34"/>
        <v/>
      </c>
      <c r="W162" s="94" t="str">
        <f t="shared" si="35"/>
        <v/>
      </c>
      <c r="X162" s="88"/>
      <c r="Y162" s="87" t="str">
        <f>IF(D162="","",IFERROR(VLOOKUP(I162,Assumptions!$B$40:$H$50,6,FALSE()),0)*M162)</f>
        <v/>
      </c>
      <c r="Z162" s="87" t="str">
        <f>IF(D162="","",IFERROR(VLOOKUP(I162,Assumptions!$B$40:$H$50,7,FALSE()),0)*M162)</f>
        <v/>
      </c>
      <c r="AA162" s="96" t="str">
        <f t="shared" si="36"/>
        <v/>
      </c>
      <c r="AB162" s="84" t="str">
        <f t="shared" si="37"/>
        <v/>
      </c>
      <c r="AC162" s="99"/>
      <c r="AD162" s="99"/>
      <c r="AE162" s="99"/>
      <c r="AF162" s="98" t="str">
        <f t="shared" si="38"/>
        <v>-</v>
      </c>
    </row>
    <row r="163" spans="2:32" ht="14.25" customHeight="1" thickBot="1" x14ac:dyDescent="0.4">
      <c r="B163" s="84" t="str">
        <f t="shared" si="40"/>
        <v/>
      </c>
      <c r="C163" s="85"/>
      <c r="D163" s="91"/>
      <c r="E163" s="68" t="str">
        <f>IF(D163="","",IFERROR(VLOOKUP(D163,'Portfolio List'!$B$4:$I$76,5,FALSE()),""))</f>
        <v/>
      </c>
      <c r="F163" s="68" t="str">
        <f>IF(D163="","",IFERROR(VLOOKUP(D163,'Portfolio List'!$B$4:$I$76,6,FALSE()),""))</f>
        <v/>
      </c>
      <c r="G163" s="68" t="str">
        <f>IF(D163="","",IFERROR(VLOOKUP(D163,'Portfolio List'!$B$4:$I$76,7,FALSE()),""))</f>
        <v/>
      </c>
      <c r="H163" s="71" t="str">
        <f>IF(D163="","",IFERROR(VLOOKUP(D163,'Portfolio List'!$B$4:$I$76,4,FALSE()),""))</f>
        <v/>
      </c>
      <c r="I163" s="91"/>
      <c r="J163" s="84" t="str">
        <f t="shared" si="39"/>
        <v/>
      </c>
      <c r="K163" s="91"/>
      <c r="L163" s="85"/>
      <c r="M163" s="97"/>
      <c r="N163" s="180"/>
      <c r="O163" s="92"/>
      <c r="P163" s="87">
        <f>IF(D163="",0,IF(I163="LED Lighting",M163*IF(AC163="Studio",Assumptions!$C$15,IF(AC163="1 Bedroom",Assumptions!$C$16,IF(AC163="2 Bedroom",Assumptions!$C$17,IF(AC163="3 Bedroom",Assumptions!$C$18,Assumptions!$C$16))))*N163*365/1000,IFERROR(VLOOKUP(I163,Assumptions!$B$40:$H$50,2,FALSE()),0)*M163))</f>
        <v>0</v>
      </c>
      <c r="Q163" s="87">
        <f>IF(D163="",0,IFERROR(VLOOKUP(I163,Assumptions!$B$40:$H$50,3,FALSE()),0)*M163)</f>
        <v>0</v>
      </c>
      <c r="R163" s="77">
        <f>IF(G163="",0.2161,IFERROR(VLOOKUP(G163,Assumptions!$B$53:$C$61,2,FALSE())/100,0.2161))</f>
        <v>0.21609999999999999</v>
      </c>
      <c r="S163" s="77">
        <f>IF(G163="",0,IFERROR(VLOOKUP(G163,Assumptions!$B$64:$C$72,2,FALSE())/1000,0.008))</f>
        <v>0</v>
      </c>
      <c r="T163" s="93" t="str">
        <f t="shared" si="32"/>
        <v/>
      </c>
      <c r="U163" s="93" t="str">
        <f t="shared" si="33"/>
        <v/>
      </c>
      <c r="V163" s="93" t="str">
        <f t="shared" si="34"/>
        <v/>
      </c>
      <c r="W163" s="94" t="str">
        <f t="shared" si="35"/>
        <v/>
      </c>
      <c r="X163" s="88"/>
      <c r="Y163" s="87" t="str">
        <f>IF(D163="","",IFERROR(VLOOKUP(I163,Assumptions!$B$40:$H$50,6,FALSE()),0)*M163)</f>
        <v/>
      </c>
      <c r="Z163" s="87" t="str">
        <f>IF(D163="","",IFERROR(VLOOKUP(I163,Assumptions!$B$40:$H$50,7,FALSE()),0)*M163)</f>
        <v/>
      </c>
      <c r="AA163" s="96" t="str">
        <f t="shared" si="36"/>
        <v/>
      </c>
      <c r="AB163" s="84" t="str">
        <f t="shared" si="37"/>
        <v/>
      </c>
      <c r="AC163" s="99"/>
      <c r="AD163" s="99"/>
      <c r="AE163" s="99"/>
      <c r="AF163" s="98" t="str">
        <f t="shared" si="38"/>
        <v>-</v>
      </c>
    </row>
    <row r="164" spans="2:32" ht="14.25" customHeight="1" thickBot="1" x14ac:dyDescent="0.4">
      <c r="B164" s="84" t="str">
        <f t="shared" si="40"/>
        <v/>
      </c>
      <c r="C164" s="85"/>
      <c r="D164" s="91"/>
      <c r="E164" s="68" t="str">
        <f>IF(D164="","",IFERROR(VLOOKUP(D164,'Portfolio List'!$B$4:$I$76,5,FALSE()),""))</f>
        <v/>
      </c>
      <c r="F164" s="68" t="str">
        <f>IF(D164="","",IFERROR(VLOOKUP(D164,'Portfolio List'!$B$4:$I$76,6,FALSE()),""))</f>
        <v/>
      </c>
      <c r="G164" s="68" t="str">
        <f>IF(D164="","",IFERROR(VLOOKUP(D164,'Portfolio List'!$B$4:$I$76,7,FALSE()),""))</f>
        <v/>
      </c>
      <c r="H164" s="71" t="str">
        <f>IF(D164="","",IFERROR(VLOOKUP(D164,'Portfolio List'!$B$4:$I$76,4,FALSE()),""))</f>
        <v/>
      </c>
      <c r="I164" s="91"/>
      <c r="J164" s="84" t="str">
        <f t="shared" si="39"/>
        <v/>
      </c>
      <c r="K164" s="91"/>
      <c r="L164" s="85"/>
      <c r="M164" s="97"/>
      <c r="N164" s="180"/>
      <c r="O164" s="92"/>
      <c r="P164" s="87">
        <f>IF(D164="",0,IF(I164="LED Lighting",M164*IF(AC164="Studio",Assumptions!$C$15,IF(AC164="1 Bedroom",Assumptions!$C$16,IF(AC164="2 Bedroom",Assumptions!$C$17,IF(AC164="3 Bedroom",Assumptions!$C$18,Assumptions!$C$16))))*N164*365/1000,IFERROR(VLOOKUP(I164,Assumptions!$B$40:$H$50,2,FALSE()),0)*M164))</f>
        <v>0</v>
      </c>
      <c r="Q164" s="87">
        <f>IF(D164="",0,IFERROR(VLOOKUP(I164,Assumptions!$B$40:$H$50,3,FALSE()),0)*M164)</f>
        <v>0</v>
      </c>
      <c r="R164" s="77">
        <f>IF(G164="",0.2161,IFERROR(VLOOKUP(G164,Assumptions!$B$53:$C$61,2,FALSE())/100,0.2161))</f>
        <v>0.21609999999999999</v>
      </c>
      <c r="S164" s="77">
        <f>IF(G164="",0,IFERROR(VLOOKUP(G164,Assumptions!$B$64:$C$72,2,FALSE())/1000,0.008))</f>
        <v>0</v>
      </c>
      <c r="T164" s="93" t="str">
        <f t="shared" si="32"/>
        <v/>
      </c>
      <c r="U164" s="93" t="str">
        <f t="shared" si="33"/>
        <v/>
      </c>
      <c r="V164" s="93" t="str">
        <f t="shared" si="34"/>
        <v/>
      </c>
      <c r="W164" s="94" t="str">
        <f t="shared" si="35"/>
        <v/>
      </c>
      <c r="X164" s="88"/>
      <c r="Y164" s="87" t="str">
        <f>IF(D164="","",IFERROR(VLOOKUP(I164,Assumptions!$B$40:$H$50,6,FALSE()),0)*M164)</f>
        <v/>
      </c>
      <c r="Z164" s="87" t="str">
        <f>IF(D164="","",IFERROR(VLOOKUP(I164,Assumptions!$B$40:$H$50,7,FALSE()),0)*M164)</f>
        <v/>
      </c>
      <c r="AA164" s="96" t="str">
        <f t="shared" si="36"/>
        <v/>
      </c>
      <c r="AB164" s="84" t="str">
        <f t="shared" si="37"/>
        <v/>
      </c>
      <c r="AC164" s="99"/>
      <c r="AD164" s="99"/>
      <c r="AE164" s="99"/>
      <c r="AF164" s="98" t="str">
        <f t="shared" si="38"/>
        <v>-</v>
      </c>
    </row>
    <row r="165" spans="2:32" ht="14.25" customHeight="1" thickBot="1" x14ac:dyDescent="0.4">
      <c r="B165" s="84" t="str">
        <f t="shared" si="40"/>
        <v/>
      </c>
      <c r="C165" s="85"/>
      <c r="D165" s="91"/>
      <c r="E165" s="68" t="str">
        <f>IF(D165="","",IFERROR(VLOOKUP(D165,'Portfolio List'!$B$4:$I$76,5,FALSE()),""))</f>
        <v/>
      </c>
      <c r="F165" s="68" t="str">
        <f>IF(D165="","",IFERROR(VLOOKUP(D165,'Portfolio List'!$B$4:$I$76,6,FALSE()),""))</f>
        <v/>
      </c>
      <c r="G165" s="68" t="str">
        <f>IF(D165="","",IFERROR(VLOOKUP(D165,'Portfolio List'!$B$4:$I$76,7,FALSE()),""))</f>
        <v/>
      </c>
      <c r="H165" s="71" t="str">
        <f>IF(D165="","",IFERROR(VLOOKUP(D165,'Portfolio List'!$B$4:$I$76,4,FALSE()),""))</f>
        <v/>
      </c>
      <c r="I165" s="91"/>
      <c r="J165" s="84" t="str">
        <f t="shared" si="39"/>
        <v/>
      </c>
      <c r="K165" s="91"/>
      <c r="L165" s="85"/>
      <c r="M165" s="97"/>
      <c r="N165" s="180"/>
      <c r="O165" s="92"/>
      <c r="P165" s="87">
        <f>IF(D165="",0,IF(I165="LED Lighting",M165*IF(AC165="Studio",Assumptions!$C$15,IF(AC165="1 Bedroom",Assumptions!$C$16,IF(AC165="2 Bedroom",Assumptions!$C$17,IF(AC165="3 Bedroom",Assumptions!$C$18,Assumptions!$C$16))))*N165*365/1000,IFERROR(VLOOKUP(I165,Assumptions!$B$40:$H$50,2,FALSE()),0)*M165))</f>
        <v>0</v>
      </c>
      <c r="Q165" s="87">
        <f>IF(D165="",0,IFERROR(VLOOKUP(I165,Assumptions!$B$40:$H$50,3,FALSE()),0)*M165)</f>
        <v>0</v>
      </c>
      <c r="R165" s="77">
        <f>IF(G165="",0.2161,IFERROR(VLOOKUP(G165,Assumptions!$B$53:$C$61,2,FALSE())/100,0.2161))</f>
        <v>0.21609999999999999</v>
      </c>
      <c r="S165" s="77">
        <f>IF(G165="",0,IFERROR(VLOOKUP(G165,Assumptions!$B$64:$C$72,2,FALSE())/1000,0.008))</f>
        <v>0</v>
      </c>
      <c r="T165" s="93" t="str">
        <f t="shared" si="32"/>
        <v/>
      </c>
      <c r="U165" s="93" t="str">
        <f t="shared" si="33"/>
        <v/>
      </c>
      <c r="V165" s="93" t="str">
        <f t="shared" si="34"/>
        <v/>
      </c>
      <c r="W165" s="94" t="str">
        <f t="shared" si="35"/>
        <v/>
      </c>
      <c r="X165" s="88"/>
      <c r="Y165" s="87" t="str">
        <f>IF(D165="","",IFERROR(VLOOKUP(I165,Assumptions!$B$40:$H$50,6,FALSE()),0)*M165)</f>
        <v/>
      </c>
      <c r="Z165" s="87" t="str">
        <f>IF(D165="","",IFERROR(VLOOKUP(I165,Assumptions!$B$40:$H$50,7,FALSE()),0)*M165)</f>
        <v/>
      </c>
      <c r="AA165" s="96" t="str">
        <f t="shared" si="36"/>
        <v/>
      </c>
      <c r="AB165" s="84" t="str">
        <f t="shared" si="37"/>
        <v/>
      </c>
      <c r="AC165" s="99"/>
      <c r="AD165" s="99"/>
      <c r="AE165" s="99"/>
      <c r="AF165" s="98" t="str">
        <f t="shared" si="38"/>
        <v>-</v>
      </c>
    </row>
    <row r="166" spans="2:32" ht="14.25" customHeight="1" thickBot="1" x14ac:dyDescent="0.4">
      <c r="B166" s="84" t="str">
        <f t="shared" si="40"/>
        <v/>
      </c>
      <c r="C166" s="85"/>
      <c r="D166" s="91"/>
      <c r="E166" s="68" t="str">
        <f>IF(D166="","",IFERROR(VLOOKUP(D166,'Portfolio List'!$B$4:$I$76,5,FALSE()),""))</f>
        <v/>
      </c>
      <c r="F166" s="68" t="str">
        <f>IF(D166="","",IFERROR(VLOOKUP(D166,'Portfolio List'!$B$4:$I$76,6,FALSE()),""))</f>
        <v/>
      </c>
      <c r="G166" s="68" t="str">
        <f>IF(D166="","",IFERROR(VLOOKUP(D166,'Portfolio List'!$B$4:$I$76,7,FALSE()),""))</f>
        <v/>
      </c>
      <c r="H166" s="71" t="str">
        <f>IF(D166="","",IFERROR(VLOOKUP(D166,'Portfolio List'!$B$4:$I$76,4,FALSE()),""))</f>
        <v/>
      </c>
      <c r="I166" s="91"/>
      <c r="J166" s="84" t="str">
        <f t="shared" si="39"/>
        <v/>
      </c>
      <c r="K166" s="91"/>
      <c r="L166" s="85"/>
      <c r="M166" s="97"/>
      <c r="N166" s="180"/>
      <c r="O166" s="92"/>
      <c r="P166" s="87">
        <f>IF(D166="",0,IF(I166="LED Lighting",M166*IF(AC166="Studio",Assumptions!$C$15,IF(AC166="1 Bedroom",Assumptions!$C$16,IF(AC166="2 Bedroom",Assumptions!$C$17,IF(AC166="3 Bedroom",Assumptions!$C$18,Assumptions!$C$16))))*N166*365/1000,IFERROR(VLOOKUP(I166,Assumptions!$B$40:$H$50,2,FALSE()),0)*M166))</f>
        <v>0</v>
      </c>
      <c r="Q166" s="87">
        <f>IF(D166="",0,IFERROR(VLOOKUP(I166,Assumptions!$B$40:$H$50,3,FALSE()),0)*M166)</f>
        <v>0</v>
      </c>
      <c r="R166" s="77">
        <f>IF(G166="",0.2161,IFERROR(VLOOKUP(G166,Assumptions!$B$53:$C$61,2,FALSE())/100,0.2161))</f>
        <v>0.21609999999999999</v>
      </c>
      <c r="S166" s="77">
        <f>IF(G166="",0,IFERROR(VLOOKUP(G166,Assumptions!$B$64:$C$72,2,FALSE())/1000,0.008))</f>
        <v>0</v>
      </c>
      <c r="T166" s="93" t="str">
        <f t="shared" ref="T166:T197" si="41">IF(D166="","",P166*R166)</f>
        <v/>
      </c>
      <c r="U166" s="93" t="str">
        <f t="shared" ref="U166:U197" si="42">IF(D166="","",Q166*S166)</f>
        <v/>
      </c>
      <c r="V166" s="93" t="str">
        <f t="shared" ref="V166:V197" si="43">IF(D166="","",T166+U166)</f>
        <v/>
      </c>
      <c r="W166" s="94" t="str">
        <f t="shared" ref="W166:W197" si="44">IF(OR(D166="",O166="",O166&lt;=0,V166="",V166&lt;=0),"",IFERROR(O166/V166,""))</f>
        <v/>
      </c>
      <c r="X166" s="88"/>
      <c r="Y166" s="87" t="str">
        <f>IF(D166="","",IFERROR(VLOOKUP(I166,Assumptions!$B$40:$H$50,6,FALSE()),0)*M166)</f>
        <v/>
      </c>
      <c r="Z166" s="87" t="str">
        <f>IF(D166="","",IFERROR(VLOOKUP(I166,Assumptions!$B$40:$H$50,7,FALSE()),0)*M166)</f>
        <v/>
      </c>
      <c r="AA166" s="96" t="str">
        <f t="shared" ref="AA166:AA197" si="45">IF(L166="","",YEAR(L166))</f>
        <v/>
      </c>
      <c r="AB166" s="84" t="str">
        <f t="shared" ref="AB166:AB197" si="46">IF(L166="","","Q"&amp;INT((MONTH(L166)+2)/3))</f>
        <v/>
      </c>
      <c r="AC166" s="99"/>
      <c r="AD166" s="99"/>
      <c r="AE166" s="99"/>
      <c r="AF166" s="98" t="str">
        <f t="shared" ref="AF166:AF197" si="47">IFERROR(AE166/AD166,"-")</f>
        <v>-</v>
      </c>
    </row>
    <row r="167" spans="2:32" ht="14.25" customHeight="1" thickBot="1" x14ac:dyDescent="0.4">
      <c r="B167" s="84" t="str">
        <f t="shared" si="40"/>
        <v/>
      </c>
      <c r="C167" s="85"/>
      <c r="D167" s="91"/>
      <c r="E167" s="68" t="str">
        <f>IF(D167="","",IFERROR(VLOOKUP(D167,'Portfolio List'!$B$4:$I$76,5,FALSE()),""))</f>
        <v/>
      </c>
      <c r="F167" s="68" t="str">
        <f>IF(D167="","",IFERROR(VLOOKUP(D167,'Portfolio List'!$B$4:$I$76,6,FALSE()),""))</f>
        <v/>
      </c>
      <c r="G167" s="68" t="str">
        <f>IF(D167="","",IFERROR(VLOOKUP(D167,'Portfolio List'!$B$4:$I$76,7,FALSE()),""))</f>
        <v/>
      </c>
      <c r="H167" s="71" t="str">
        <f>IF(D167="","",IFERROR(VLOOKUP(D167,'Portfolio List'!$B$4:$I$76,4,FALSE()),""))</f>
        <v/>
      </c>
      <c r="I167" s="91"/>
      <c r="J167" s="84" t="str">
        <f t="shared" si="39"/>
        <v/>
      </c>
      <c r="K167" s="91"/>
      <c r="L167" s="85"/>
      <c r="M167" s="97"/>
      <c r="N167" s="180"/>
      <c r="O167" s="92"/>
      <c r="P167" s="87">
        <f>IF(D167="",0,IF(I167="LED Lighting",M167*IF(AC167="Studio",Assumptions!$C$15,IF(AC167="1 Bedroom",Assumptions!$C$16,IF(AC167="2 Bedroom",Assumptions!$C$17,IF(AC167="3 Bedroom",Assumptions!$C$18,Assumptions!$C$16))))*N167*365/1000,IFERROR(VLOOKUP(I167,Assumptions!$B$40:$H$50,2,FALSE()),0)*M167))</f>
        <v>0</v>
      </c>
      <c r="Q167" s="87">
        <f>IF(D167="",0,IFERROR(VLOOKUP(I167,Assumptions!$B$40:$H$50,3,FALSE()),0)*M167)</f>
        <v>0</v>
      </c>
      <c r="R167" s="77">
        <f>IF(G167="",0.2161,IFERROR(VLOOKUP(G167,Assumptions!$B$53:$C$61,2,FALSE())/100,0.2161))</f>
        <v>0.21609999999999999</v>
      </c>
      <c r="S167" s="77">
        <f>IF(G167="",0,IFERROR(VLOOKUP(G167,Assumptions!$B$64:$C$72,2,FALSE())/1000,0.008))</f>
        <v>0</v>
      </c>
      <c r="T167" s="93" t="str">
        <f t="shared" si="41"/>
        <v/>
      </c>
      <c r="U167" s="93" t="str">
        <f t="shared" si="42"/>
        <v/>
      </c>
      <c r="V167" s="93" t="str">
        <f t="shared" si="43"/>
        <v/>
      </c>
      <c r="W167" s="94" t="str">
        <f t="shared" si="44"/>
        <v/>
      </c>
      <c r="X167" s="88"/>
      <c r="Y167" s="87" t="str">
        <f>IF(D167="","",IFERROR(VLOOKUP(I167,Assumptions!$B$40:$H$50,6,FALSE()),0)*M167)</f>
        <v/>
      </c>
      <c r="Z167" s="87" t="str">
        <f>IF(D167="","",IFERROR(VLOOKUP(I167,Assumptions!$B$40:$H$50,7,FALSE()),0)*M167)</f>
        <v/>
      </c>
      <c r="AA167" s="96" t="str">
        <f t="shared" si="45"/>
        <v/>
      </c>
      <c r="AB167" s="84" t="str">
        <f t="shared" si="46"/>
        <v/>
      </c>
      <c r="AC167" s="99"/>
      <c r="AD167" s="99"/>
      <c r="AE167" s="99"/>
      <c r="AF167" s="98" t="str">
        <f t="shared" si="47"/>
        <v>-</v>
      </c>
    </row>
    <row r="168" spans="2:32" ht="14.25" customHeight="1" thickBot="1" x14ac:dyDescent="0.4">
      <c r="B168" s="84" t="str">
        <f t="shared" si="40"/>
        <v/>
      </c>
      <c r="C168" s="85"/>
      <c r="D168" s="91"/>
      <c r="E168" s="68" t="str">
        <f>IF(D168="","",IFERROR(VLOOKUP(D168,'Portfolio List'!$B$4:$I$76,5,FALSE()),""))</f>
        <v/>
      </c>
      <c r="F168" s="68" t="str">
        <f>IF(D168="","",IFERROR(VLOOKUP(D168,'Portfolio List'!$B$4:$I$76,6,FALSE()),""))</f>
        <v/>
      </c>
      <c r="G168" s="68" t="str">
        <f>IF(D168="","",IFERROR(VLOOKUP(D168,'Portfolio List'!$B$4:$I$76,7,FALSE()),""))</f>
        <v/>
      </c>
      <c r="H168" s="71" t="str">
        <f>IF(D168="","",IFERROR(VLOOKUP(D168,'Portfolio List'!$B$4:$I$76,4,FALSE()),""))</f>
        <v/>
      </c>
      <c r="I168" s="91"/>
      <c r="J168" s="84" t="str">
        <f t="shared" si="39"/>
        <v/>
      </c>
      <c r="K168" s="91"/>
      <c r="L168" s="85"/>
      <c r="M168" s="97"/>
      <c r="N168" s="180"/>
      <c r="O168" s="92"/>
      <c r="P168" s="87">
        <f>IF(D168="",0,IF(I168="LED Lighting",M168*IF(AC168="Studio",Assumptions!$C$15,IF(AC168="1 Bedroom",Assumptions!$C$16,IF(AC168="2 Bedroom",Assumptions!$C$17,IF(AC168="3 Bedroom",Assumptions!$C$18,Assumptions!$C$16))))*N168*365/1000,IFERROR(VLOOKUP(I168,Assumptions!$B$40:$H$50,2,FALSE()),0)*M168))</f>
        <v>0</v>
      </c>
      <c r="Q168" s="87">
        <f>IF(D168="",0,IFERROR(VLOOKUP(I168,Assumptions!$B$40:$H$50,3,FALSE()),0)*M168)</f>
        <v>0</v>
      </c>
      <c r="R168" s="77">
        <f>IF(G168="",0.2161,IFERROR(VLOOKUP(G168,Assumptions!$B$53:$C$61,2,FALSE())/100,0.2161))</f>
        <v>0.21609999999999999</v>
      </c>
      <c r="S168" s="77">
        <f>IF(G168="",0,IFERROR(VLOOKUP(G168,Assumptions!$B$64:$C$72,2,FALSE())/1000,0.008))</f>
        <v>0</v>
      </c>
      <c r="T168" s="93" t="str">
        <f t="shared" si="41"/>
        <v/>
      </c>
      <c r="U168" s="93" t="str">
        <f t="shared" si="42"/>
        <v/>
      </c>
      <c r="V168" s="93" t="str">
        <f t="shared" si="43"/>
        <v/>
      </c>
      <c r="W168" s="94" t="str">
        <f t="shared" si="44"/>
        <v/>
      </c>
      <c r="X168" s="88"/>
      <c r="Y168" s="87" t="str">
        <f>IF(D168="","",IFERROR(VLOOKUP(I168,Assumptions!$B$40:$H$50,6,FALSE()),0)*M168)</f>
        <v/>
      </c>
      <c r="Z168" s="87" t="str">
        <f>IF(D168="","",IFERROR(VLOOKUP(I168,Assumptions!$B$40:$H$50,7,FALSE()),0)*M168)</f>
        <v/>
      </c>
      <c r="AA168" s="96" t="str">
        <f t="shared" si="45"/>
        <v/>
      </c>
      <c r="AB168" s="84" t="str">
        <f t="shared" si="46"/>
        <v/>
      </c>
      <c r="AC168" s="99"/>
      <c r="AD168" s="99"/>
      <c r="AE168" s="99"/>
      <c r="AF168" s="98" t="str">
        <f t="shared" si="47"/>
        <v>-</v>
      </c>
    </row>
    <row r="169" spans="2:32" ht="14.25" customHeight="1" thickBot="1" x14ac:dyDescent="0.4">
      <c r="B169" s="84" t="str">
        <f t="shared" si="40"/>
        <v/>
      </c>
      <c r="C169" s="85"/>
      <c r="D169" s="91"/>
      <c r="E169" s="68" t="str">
        <f>IF(D169="","",IFERROR(VLOOKUP(D169,'Portfolio List'!$B$4:$I$76,5,FALSE()),""))</f>
        <v/>
      </c>
      <c r="F169" s="68" t="str">
        <f>IF(D169="","",IFERROR(VLOOKUP(D169,'Portfolio List'!$B$4:$I$76,6,FALSE()),""))</f>
        <v/>
      </c>
      <c r="G169" s="68" t="str">
        <f>IF(D169="","",IFERROR(VLOOKUP(D169,'Portfolio List'!$B$4:$I$76,7,FALSE()),""))</f>
        <v/>
      </c>
      <c r="H169" s="71" t="str">
        <f>IF(D169="","",IFERROR(VLOOKUP(D169,'Portfolio List'!$B$4:$I$76,4,FALSE()),""))</f>
        <v/>
      </c>
      <c r="I169" s="91"/>
      <c r="J169" s="84" t="str">
        <f t="shared" si="39"/>
        <v/>
      </c>
      <c r="K169" s="91"/>
      <c r="L169" s="85"/>
      <c r="M169" s="97"/>
      <c r="N169" s="180"/>
      <c r="O169" s="92"/>
      <c r="P169" s="87">
        <f>IF(D169="",0,IF(I169="LED Lighting",M169*IF(AC169="Studio",Assumptions!$C$15,IF(AC169="1 Bedroom",Assumptions!$C$16,IF(AC169="2 Bedroom",Assumptions!$C$17,IF(AC169="3 Bedroom",Assumptions!$C$18,Assumptions!$C$16))))*N169*365/1000,IFERROR(VLOOKUP(I169,Assumptions!$B$40:$H$50,2,FALSE()),0)*M169))</f>
        <v>0</v>
      </c>
      <c r="Q169" s="87">
        <f>IF(D169="",0,IFERROR(VLOOKUP(I169,Assumptions!$B$40:$H$50,3,FALSE()),0)*M169)</f>
        <v>0</v>
      </c>
      <c r="R169" s="77">
        <f>IF(G169="",0.2161,IFERROR(VLOOKUP(G169,Assumptions!$B$53:$C$61,2,FALSE())/100,0.2161))</f>
        <v>0.21609999999999999</v>
      </c>
      <c r="S169" s="77">
        <f>IF(G169="",0,IFERROR(VLOOKUP(G169,Assumptions!$B$64:$C$72,2,FALSE())/1000,0.008))</f>
        <v>0</v>
      </c>
      <c r="T169" s="93" t="str">
        <f t="shared" si="41"/>
        <v/>
      </c>
      <c r="U169" s="93" t="str">
        <f t="shared" si="42"/>
        <v/>
      </c>
      <c r="V169" s="93" t="str">
        <f t="shared" si="43"/>
        <v/>
      </c>
      <c r="W169" s="94" t="str">
        <f t="shared" si="44"/>
        <v/>
      </c>
      <c r="X169" s="88"/>
      <c r="Y169" s="87" t="str">
        <f>IF(D169="","",IFERROR(VLOOKUP(I169,Assumptions!$B$40:$H$50,6,FALSE()),0)*M169)</f>
        <v/>
      </c>
      <c r="Z169" s="87" t="str">
        <f>IF(D169="","",IFERROR(VLOOKUP(I169,Assumptions!$B$40:$H$50,7,FALSE()),0)*M169)</f>
        <v/>
      </c>
      <c r="AA169" s="96" t="str">
        <f t="shared" si="45"/>
        <v/>
      </c>
      <c r="AB169" s="84" t="str">
        <f t="shared" si="46"/>
        <v/>
      </c>
      <c r="AC169" s="99"/>
      <c r="AD169" s="99"/>
      <c r="AE169" s="99"/>
      <c r="AF169" s="98" t="str">
        <f t="shared" si="47"/>
        <v>-</v>
      </c>
    </row>
    <row r="170" spans="2:32" ht="14.25" customHeight="1" thickBot="1" x14ac:dyDescent="0.4">
      <c r="B170" s="84" t="str">
        <f t="shared" si="40"/>
        <v/>
      </c>
      <c r="C170" s="85"/>
      <c r="D170" s="91"/>
      <c r="E170" s="68" t="str">
        <f>IF(D170="","",IFERROR(VLOOKUP(D170,'Portfolio List'!$B$4:$I$76,5,FALSE()),""))</f>
        <v/>
      </c>
      <c r="F170" s="68" t="str">
        <f>IF(D170="","",IFERROR(VLOOKUP(D170,'Portfolio List'!$B$4:$I$76,6,FALSE()),""))</f>
        <v/>
      </c>
      <c r="G170" s="68" t="str">
        <f>IF(D170="","",IFERROR(VLOOKUP(D170,'Portfolio List'!$B$4:$I$76,7,FALSE()),""))</f>
        <v/>
      </c>
      <c r="H170" s="71" t="str">
        <f>IF(D170="","",IFERROR(VLOOKUP(D170,'Portfolio List'!$B$4:$I$76,4,FALSE()),""))</f>
        <v/>
      </c>
      <c r="I170" s="91"/>
      <c r="J170" s="84" t="str">
        <f t="shared" si="39"/>
        <v/>
      </c>
      <c r="K170" s="91"/>
      <c r="L170" s="85"/>
      <c r="M170" s="97"/>
      <c r="N170" s="180"/>
      <c r="O170" s="92"/>
      <c r="P170" s="87">
        <f>IF(D170="",0,IF(I170="LED Lighting",M170*IF(AC170="Studio",Assumptions!$C$15,IF(AC170="1 Bedroom",Assumptions!$C$16,IF(AC170="2 Bedroom",Assumptions!$C$17,IF(AC170="3 Bedroom",Assumptions!$C$18,Assumptions!$C$16))))*N170*365/1000,IFERROR(VLOOKUP(I170,Assumptions!$B$40:$H$50,2,FALSE()),0)*M170))</f>
        <v>0</v>
      </c>
      <c r="Q170" s="87">
        <f>IF(D170="",0,IFERROR(VLOOKUP(I170,Assumptions!$B$40:$H$50,3,FALSE()),0)*M170)</f>
        <v>0</v>
      </c>
      <c r="R170" s="77">
        <f>IF(G170="",0.2161,IFERROR(VLOOKUP(G170,Assumptions!$B$53:$C$61,2,FALSE())/100,0.2161))</f>
        <v>0.21609999999999999</v>
      </c>
      <c r="S170" s="77">
        <f>IF(G170="",0,IFERROR(VLOOKUP(G170,Assumptions!$B$64:$C$72,2,FALSE())/1000,0.008))</f>
        <v>0</v>
      </c>
      <c r="T170" s="93" t="str">
        <f t="shared" si="41"/>
        <v/>
      </c>
      <c r="U170" s="93" t="str">
        <f t="shared" si="42"/>
        <v/>
      </c>
      <c r="V170" s="93" t="str">
        <f t="shared" si="43"/>
        <v/>
      </c>
      <c r="W170" s="94" t="str">
        <f t="shared" si="44"/>
        <v/>
      </c>
      <c r="X170" s="88"/>
      <c r="Y170" s="87" t="str">
        <f>IF(D170="","",IFERROR(VLOOKUP(I170,Assumptions!$B$40:$H$50,6,FALSE()),0)*M170)</f>
        <v/>
      </c>
      <c r="Z170" s="87" t="str">
        <f>IF(D170="","",IFERROR(VLOOKUP(I170,Assumptions!$B$40:$H$50,7,FALSE()),0)*M170)</f>
        <v/>
      </c>
      <c r="AA170" s="96" t="str">
        <f t="shared" si="45"/>
        <v/>
      </c>
      <c r="AB170" s="84" t="str">
        <f t="shared" si="46"/>
        <v/>
      </c>
      <c r="AC170" s="99"/>
      <c r="AD170" s="99"/>
      <c r="AE170" s="99"/>
      <c r="AF170" s="98" t="str">
        <f t="shared" si="47"/>
        <v>-</v>
      </c>
    </row>
    <row r="171" spans="2:32" ht="14.25" customHeight="1" thickBot="1" x14ac:dyDescent="0.4">
      <c r="B171" s="84" t="str">
        <f t="shared" si="40"/>
        <v/>
      </c>
      <c r="C171" s="85"/>
      <c r="D171" s="91"/>
      <c r="E171" s="68" t="str">
        <f>IF(D171="","",IFERROR(VLOOKUP(D171,'Portfolio List'!$B$4:$I$76,5,FALSE()),""))</f>
        <v/>
      </c>
      <c r="F171" s="68" t="str">
        <f>IF(D171="","",IFERROR(VLOOKUP(D171,'Portfolio List'!$B$4:$I$76,6,FALSE()),""))</f>
        <v/>
      </c>
      <c r="G171" s="68" t="str">
        <f>IF(D171="","",IFERROR(VLOOKUP(D171,'Portfolio List'!$B$4:$I$76,7,FALSE()),""))</f>
        <v/>
      </c>
      <c r="H171" s="71" t="str">
        <f>IF(D171="","",IFERROR(VLOOKUP(D171,'Portfolio List'!$B$4:$I$76,4,FALSE()),""))</f>
        <v/>
      </c>
      <c r="I171" s="91"/>
      <c r="J171" s="84" t="str">
        <f t="shared" si="39"/>
        <v/>
      </c>
      <c r="K171" s="91"/>
      <c r="L171" s="85"/>
      <c r="M171" s="97"/>
      <c r="N171" s="180"/>
      <c r="O171" s="92"/>
      <c r="P171" s="87">
        <f>IF(D171="",0,IF(I171="LED Lighting",M171*IF(AC171="Studio",Assumptions!$C$15,IF(AC171="1 Bedroom",Assumptions!$C$16,IF(AC171="2 Bedroom",Assumptions!$C$17,IF(AC171="3 Bedroom",Assumptions!$C$18,Assumptions!$C$16))))*N171*365/1000,IFERROR(VLOOKUP(I171,Assumptions!$B$40:$H$50,2,FALSE()),0)*M171))</f>
        <v>0</v>
      </c>
      <c r="Q171" s="87">
        <f>IF(D171="",0,IFERROR(VLOOKUP(I171,Assumptions!$B$40:$H$50,3,FALSE()),0)*M171)</f>
        <v>0</v>
      </c>
      <c r="R171" s="77">
        <f>IF(G171="",0.2161,IFERROR(VLOOKUP(G171,Assumptions!$B$53:$C$61,2,FALSE())/100,0.2161))</f>
        <v>0.21609999999999999</v>
      </c>
      <c r="S171" s="77">
        <f>IF(G171="",0,IFERROR(VLOOKUP(G171,Assumptions!$B$64:$C$72,2,FALSE())/1000,0.008))</f>
        <v>0</v>
      </c>
      <c r="T171" s="93" t="str">
        <f t="shared" si="41"/>
        <v/>
      </c>
      <c r="U171" s="93" t="str">
        <f t="shared" si="42"/>
        <v/>
      </c>
      <c r="V171" s="93" t="str">
        <f t="shared" si="43"/>
        <v/>
      </c>
      <c r="W171" s="94" t="str">
        <f t="shared" si="44"/>
        <v/>
      </c>
      <c r="X171" s="88"/>
      <c r="Y171" s="87" t="str">
        <f>IF(D171="","",IFERROR(VLOOKUP(I171,Assumptions!$B$40:$H$50,6,FALSE()),0)*M171)</f>
        <v/>
      </c>
      <c r="Z171" s="87" t="str">
        <f>IF(D171="","",IFERROR(VLOOKUP(I171,Assumptions!$B$40:$H$50,7,FALSE()),0)*M171)</f>
        <v/>
      </c>
      <c r="AA171" s="96" t="str">
        <f t="shared" si="45"/>
        <v/>
      </c>
      <c r="AB171" s="84" t="str">
        <f t="shared" si="46"/>
        <v/>
      </c>
      <c r="AC171" s="99"/>
      <c r="AD171" s="99"/>
      <c r="AE171" s="99"/>
      <c r="AF171" s="98" t="str">
        <f t="shared" si="47"/>
        <v>-</v>
      </c>
    </row>
    <row r="172" spans="2:32" ht="14.25" customHeight="1" thickBot="1" x14ac:dyDescent="0.4">
      <c r="B172" s="84" t="str">
        <f t="shared" si="40"/>
        <v/>
      </c>
      <c r="C172" s="85"/>
      <c r="D172" s="91"/>
      <c r="E172" s="68" t="str">
        <f>IF(D172="","",IFERROR(VLOOKUP(D172,'Portfolio List'!$B$4:$I$76,5,FALSE()),""))</f>
        <v/>
      </c>
      <c r="F172" s="68" t="str">
        <f>IF(D172="","",IFERROR(VLOOKUP(D172,'Portfolio List'!$B$4:$I$76,6,FALSE()),""))</f>
        <v/>
      </c>
      <c r="G172" s="68" t="str">
        <f>IF(D172="","",IFERROR(VLOOKUP(D172,'Portfolio List'!$B$4:$I$76,7,FALSE()),""))</f>
        <v/>
      </c>
      <c r="H172" s="71" t="str">
        <f>IF(D172="","",IFERROR(VLOOKUP(D172,'Portfolio List'!$B$4:$I$76,4,FALSE()),""))</f>
        <v/>
      </c>
      <c r="I172" s="91"/>
      <c r="J172" s="84" t="str">
        <f t="shared" si="39"/>
        <v/>
      </c>
      <c r="K172" s="91"/>
      <c r="L172" s="85"/>
      <c r="M172" s="97"/>
      <c r="N172" s="180"/>
      <c r="O172" s="92"/>
      <c r="P172" s="87">
        <f>IF(D172="",0,IF(I172="LED Lighting",M172*IF(AC172="Studio",Assumptions!$C$15,IF(AC172="1 Bedroom",Assumptions!$C$16,IF(AC172="2 Bedroom",Assumptions!$C$17,IF(AC172="3 Bedroom",Assumptions!$C$18,Assumptions!$C$16))))*N172*365/1000,IFERROR(VLOOKUP(I172,Assumptions!$B$40:$H$50,2,FALSE()),0)*M172))</f>
        <v>0</v>
      </c>
      <c r="Q172" s="87">
        <f>IF(D172="",0,IFERROR(VLOOKUP(I172,Assumptions!$B$40:$H$50,3,FALSE()),0)*M172)</f>
        <v>0</v>
      </c>
      <c r="R172" s="77">
        <f>IF(G172="",0.2161,IFERROR(VLOOKUP(G172,Assumptions!$B$53:$C$61,2,FALSE())/100,0.2161))</f>
        <v>0.21609999999999999</v>
      </c>
      <c r="S172" s="77">
        <f>IF(G172="",0,IFERROR(VLOOKUP(G172,Assumptions!$B$64:$C$72,2,FALSE())/1000,0.008))</f>
        <v>0</v>
      </c>
      <c r="T172" s="93" t="str">
        <f t="shared" si="41"/>
        <v/>
      </c>
      <c r="U172" s="93" t="str">
        <f t="shared" si="42"/>
        <v/>
      </c>
      <c r="V172" s="93" t="str">
        <f t="shared" si="43"/>
        <v/>
      </c>
      <c r="W172" s="94" t="str">
        <f t="shared" si="44"/>
        <v/>
      </c>
      <c r="X172" s="88"/>
      <c r="Y172" s="87" t="str">
        <f>IF(D172="","",IFERROR(VLOOKUP(I172,Assumptions!$B$40:$H$50,6,FALSE()),0)*M172)</f>
        <v/>
      </c>
      <c r="Z172" s="87" t="str">
        <f>IF(D172="","",IFERROR(VLOOKUP(I172,Assumptions!$B$40:$H$50,7,FALSE()),0)*M172)</f>
        <v/>
      </c>
      <c r="AA172" s="96" t="str">
        <f t="shared" si="45"/>
        <v/>
      </c>
      <c r="AB172" s="84" t="str">
        <f t="shared" si="46"/>
        <v/>
      </c>
      <c r="AC172" s="99"/>
      <c r="AD172" s="99"/>
      <c r="AE172" s="99"/>
      <c r="AF172" s="98" t="str">
        <f t="shared" si="47"/>
        <v>-</v>
      </c>
    </row>
    <row r="173" spans="2:32" ht="14.25" customHeight="1" thickBot="1" x14ac:dyDescent="0.4">
      <c r="B173" s="84" t="str">
        <f t="shared" si="40"/>
        <v/>
      </c>
      <c r="C173" s="85"/>
      <c r="D173" s="91"/>
      <c r="E173" s="68" t="str">
        <f>IF(D173="","",IFERROR(VLOOKUP(D173,'Portfolio List'!$B$4:$I$76,5,FALSE()),""))</f>
        <v/>
      </c>
      <c r="F173" s="68" t="str">
        <f>IF(D173="","",IFERROR(VLOOKUP(D173,'Portfolio List'!$B$4:$I$76,6,FALSE()),""))</f>
        <v/>
      </c>
      <c r="G173" s="68" t="str">
        <f>IF(D173="","",IFERROR(VLOOKUP(D173,'Portfolio List'!$B$4:$I$76,7,FALSE()),""))</f>
        <v/>
      </c>
      <c r="H173" s="71" t="str">
        <f>IF(D173="","",IFERROR(VLOOKUP(D173,'Portfolio List'!$B$4:$I$76,4,FALSE()),""))</f>
        <v/>
      </c>
      <c r="I173" s="91"/>
      <c r="J173" s="84" t="str">
        <f t="shared" si="39"/>
        <v/>
      </c>
      <c r="K173" s="91"/>
      <c r="L173" s="85"/>
      <c r="M173" s="97"/>
      <c r="N173" s="180"/>
      <c r="O173" s="92"/>
      <c r="P173" s="87">
        <f>IF(D173="",0,IF(I173="LED Lighting",M173*IF(AC173="Studio",Assumptions!$C$15,IF(AC173="1 Bedroom",Assumptions!$C$16,IF(AC173="2 Bedroom",Assumptions!$C$17,IF(AC173="3 Bedroom",Assumptions!$C$18,Assumptions!$C$16))))*N173*365/1000,IFERROR(VLOOKUP(I173,Assumptions!$B$40:$H$50,2,FALSE()),0)*M173))</f>
        <v>0</v>
      </c>
      <c r="Q173" s="87">
        <f>IF(D173="",0,IFERROR(VLOOKUP(I173,Assumptions!$B$40:$H$50,3,FALSE()),0)*M173)</f>
        <v>0</v>
      </c>
      <c r="R173" s="77">
        <f>IF(G173="",0.2161,IFERROR(VLOOKUP(G173,Assumptions!$B$53:$C$61,2,FALSE())/100,0.2161))</f>
        <v>0.21609999999999999</v>
      </c>
      <c r="S173" s="77">
        <f>IF(G173="",0,IFERROR(VLOOKUP(G173,Assumptions!$B$64:$C$72,2,FALSE())/1000,0.008))</f>
        <v>0</v>
      </c>
      <c r="T173" s="93" t="str">
        <f t="shared" si="41"/>
        <v/>
      </c>
      <c r="U173" s="93" t="str">
        <f t="shared" si="42"/>
        <v/>
      </c>
      <c r="V173" s="93" t="str">
        <f t="shared" si="43"/>
        <v/>
      </c>
      <c r="W173" s="94" t="str">
        <f t="shared" si="44"/>
        <v/>
      </c>
      <c r="X173" s="88"/>
      <c r="Y173" s="87" t="str">
        <f>IF(D173="","",IFERROR(VLOOKUP(I173,Assumptions!$B$40:$H$50,6,FALSE()),0)*M173)</f>
        <v/>
      </c>
      <c r="Z173" s="87" t="str">
        <f>IF(D173="","",IFERROR(VLOOKUP(I173,Assumptions!$B$40:$H$50,7,FALSE()),0)*M173)</f>
        <v/>
      </c>
      <c r="AA173" s="96" t="str">
        <f t="shared" si="45"/>
        <v/>
      </c>
      <c r="AB173" s="84" t="str">
        <f t="shared" si="46"/>
        <v/>
      </c>
      <c r="AC173" s="99"/>
      <c r="AD173" s="99"/>
      <c r="AE173" s="99"/>
      <c r="AF173" s="98" t="str">
        <f t="shared" si="47"/>
        <v>-</v>
      </c>
    </row>
    <row r="174" spans="2:32" ht="14.25" customHeight="1" thickBot="1" x14ac:dyDescent="0.4">
      <c r="B174" s="84" t="str">
        <f t="shared" si="40"/>
        <v/>
      </c>
      <c r="C174" s="85"/>
      <c r="D174" s="91"/>
      <c r="E174" s="68" t="str">
        <f>IF(D174="","",IFERROR(VLOOKUP(D174,'Portfolio List'!$B$4:$I$76,5,FALSE()),""))</f>
        <v/>
      </c>
      <c r="F174" s="68" t="str">
        <f>IF(D174="","",IFERROR(VLOOKUP(D174,'Portfolio List'!$B$4:$I$76,6,FALSE()),""))</f>
        <v/>
      </c>
      <c r="G174" s="68" t="str">
        <f>IF(D174="","",IFERROR(VLOOKUP(D174,'Portfolio List'!$B$4:$I$76,7,FALSE()),""))</f>
        <v/>
      </c>
      <c r="H174" s="71" t="str">
        <f>IF(D174="","",IFERROR(VLOOKUP(D174,'Portfolio List'!$B$4:$I$76,4,FALSE()),""))</f>
        <v/>
      </c>
      <c r="I174" s="91"/>
      <c r="J174" s="84" t="str">
        <f t="shared" si="39"/>
        <v/>
      </c>
      <c r="K174" s="91"/>
      <c r="L174" s="85"/>
      <c r="M174" s="97"/>
      <c r="N174" s="180"/>
      <c r="O174" s="92"/>
      <c r="P174" s="87">
        <f>IF(D174="",0,IF(I174="LED Lighting",M174*IF(AC174="Studio",Assumptions!$C$15,IF(AC174="1 Bedroom",Assumptions!$C$16,IF(AC174="2 Bedroom",Assumptions!$C$17,IF(AC174="3 Bedroom",Assumptions!$C$18,Assumptions!$C$16))))*N174*365/1000,IFERROR(VLOOKUP(I174,Assumptions!$B$40:$H$50,2,FALSE()),0)*M174))</f>
        <v>0</v>
      </c>
      <c r="Q174" s="87">
        <f>IF(D174="",0,IFERROR(VLOOKUP(I174,Assumptions!$B$40:$H$50,3,FALSE()),0)*M174)</f>
        <v>0</v>
      </c>
      <c r="R174" s="77">
        <f>IF(G174="",0.2161,IFERROR(VLOOKUP(G174,Assumptions!$B$53:$C$61,2,FALSE())/100,0.2161))</f>
        <v>0.21609999999999999</v>
      </c>
      <c r="S174" s="77">
        <f>IF(G174="",0,IFERROR(VLOOKUP(G174,Assumptions!$B$64:$C$72,2,FALSE())/1000,0.008))</f>
        <v>0</v>
      </c>
      <c r="T174" s="93" t="str">
        <f t="shared" si="41"/>
        <v/>
      </c>
      <c r="U174" s="93" t="str">
        <f t="shared" si="42"/>
        <v/>
      </c>
      <c r="V174" s="93" t="str">
        <f t="shared" si="43"/>
        <v/>
      </c>
      <c r="W174" s="94" t="str">
        <f t="shared" si="44"/>
        <v/>
      </c>
      <c r="X174" s="88"/>
      <c r="Y174" s="87" t="str">
        <f>IF(D174="","",IFERROR(VLOOKUP(I174,Assumptions!$B$40:$H$50,6,FALSE()),0)*M174)</f>
        <v/>
      </c>
      <c r="Z174" s="87" t="str">
        <f>IF(D174="","",IFERROR(VLOOKUP(I174,Assumptions!$B$40:$H$50,7,FALSE()),0)*M174)</f>
        <v/>
      </c>
      <c r="AA174" s="96" t="str">
        <f t="shared" si="45"/>
        <v/>
      </c>
      <c r="AB174" s="84" t="str">
        <f t="shared" si="46"/>
        <v/>
      </c>
      <c r="AC174" s="99"/>
      <c r="AD174" s="99"/>
      <c r="AE174" s="99"/>
      <c r="AF174" s="98" t="str">
        <f t="shared" si="47"/>
        <v>-</v>
      </c>
    </row>
    <row r="175" spans="2:32" ht="14.25" customHeight="1" thickBot="1" x14ac:dyDescent="0.4">
      <c r="B175" s="84" t="str">
        <f t="shared" si="40"/>
        <v/>
      </c>
      <c r="C175" s="85"/>
      <c r="D175" s="91"/>
      <c r="E175" s="68" t="str">
        <f>IF(D175="","",IFERROR(VLOOKUP(D175,'Portfolio List'!$B$4:$I$76,5,FALSE()),""))</f>
        <v/>
      </c>
      <c r="F175" s="68" t="str">
        <f>IF(D175="","",IFERROR(VLOOKUP(D175,'Portfolio List'!$B$4:$I$76,6,FALSE()),""))</f>
        <v/>
      </c>
      <c r="G175" s="68" t="str">
        <f>IF(D175="","",IFERROR(VLOOKUP(D175,'Portfolio List'!$B$4:$I$76,7,FALSE()),""))</f>
        <v/>
      </c>
      <c r="H175" s="71" t="str">
        <f>IF(D175="","",IFERROR(VLOOKUP(D175,'Portfolio List'!$B$4:$I$76,4,FALSE()),""))</f>
        <v/>
      </c>
      <c r="I175" s="91"/>
      <c r="J175" s="84" t="str">
        <f t="shared" si="39"/>
        <v/>
      </c>
      <c r="K175" s="91"/>
      <c r="L175" s="85"/>
      <c r="M175" s="97"/>
      <c r="N175" s="180"/>
      <c r="O175" s="92"/>
      <c r="P175" s="87">
        <f>IF(D175="",0,IF(I175="LED Lighting",M175*IF(AC175="Studio",Assumptions!$C$15,IF(AC175="1 Bedroom",Assumptions!$C$16,IF(AC175="2 Bedroom",Assumptions!$C$17,IF(AC175="3 Bedroom",Assumptions!$C$18,Assumptions!$C$16))))*N175*365/1000,IFERROR(VLOOKUP(I175,Assumptions!$B$40:$H$50,2,FALSE()),0)*M175))</f>
        <v>0</v>
      </c>
      <c r="Q175" s="87">
        <f>IF(D175="",0,IFERROR(VLOOKUP(I175,Assumptions!$B$40:$H$50,3,FALSE()),0)*M175)</f>
        <v>0</v>
      </c>
      <c r="R175" s="77">
        <f>IF(G175="",0.2161,IFERROR(VLOOKUP(G175,Assumptions!$B$53:$C$61,2,FALSE())/100,0.2161))</f>
        <v>0.21609999999999999</v>
      </c>
      <c r="S175" s="77">
        <f>IF(G175="",0,IFERROR(VLOOKUP(G175,Assumptions!$B$64:$C$72,2,FALSE())/1000,0.008))</f>
        <v>0</v>
      </c>
      <c r="T175" s="93" t="str">
        <f t="shared" si="41"/>
        <v/>
      </c>
      <c r="U175" s="93" t="str">
        <f t="shared" si="42"/>
        <v/>
      </c>
      <c r="V175" s="93" t="str">
        <f t="shared" si="43"/>
        <v/>
      </c>
      <c r="W175" s="94" t="str">
        <f t="shared" si="44"/>
        <v/>
      </c>
      <c r="X175" s="88"/>
      <c r="Y175" s="87" t="str">
        <f>IF(D175="","",IFERROR(VLOOKUP(I175,Assumptions!$B$40:$H$50,6,FALSE()),0)*M175)</f>
        <v/>
      </c>
      <c r="Z175" s="87" t="str">
        <f>IF(D175="","",IFERROR(VLOOKUP(I175,Assumptions!$B$40:$H$50,7,FALSE()),0)*M175)</f>
        <v/>
      </c>
      <c r="AA175" s="96" t="str">
        <f t="shared" si="45"/>
        <v/>
      </c>
      <c r="AB175" s="84" t="str">
        <f t="shared" si="46"/>
        <v/>
      </c>
      <c r="AC175" s="99"/>
      <c r="AD175" s="99"/>
      <c r="AE175" s="99"/>
      <c r="AF175" s="98" t="str">
        <f t="shared" si="47"/>
        <v>-</v>
      </c>
    </row>
    <row r="176" spans="2:32" ht="14.25" customHeight="1" thickBot="1" x14ac:dyDescent="0.4">
      <c r="B176" s="84" t="str">
        <f t="shared" si="40"/>
        <v/>
      </c>
      <c r="C176" s="85"/>
      <c r="D176" s="91"/>
      <c r="E176" s="68" t="str">
        <f>IF(D176="","",IFERROR(VLOOKUP(D176,'Portfolio List'!$B$4:$I$76,5,FALSE()),""))</f>
        <v/>
      </c>
      <c r="F176" s="68" t="str">
        <f>IF(D176="","",IFERROR(VLOOKUP(D176,'Portfolio List'!$B$4:$I$76,6,FALSE()),""))</f>
        <v/>
      </c>
      <c r="G176" s="68" t="str">
        <f>IF(D176="","",IFERROR(VLOOKUP(D176,'Portfolio List'!$B$4:$I$76,7,FALSE()),""))</f>
        <v/>
      </c>
      <c r="H176" s="71" t="str">
        <f>IF(D176="","",IFERROR(VLOOKUP(D176,'Portfolio List'!$B$4:$I$76,4,FALSE()),""))</f>
        <v/>
      </c>
      <c r="I176" s="91"/>
      <c r="J176" s="84" t="str">
        <f t="shared" si="39"/>
        <v/>
      </c>
      <c r="K176" s="91"/>
      <c r="L176" s="85"/>
      <c r="M176" s="97"/>
      <c r="N176" s="180"/>
      <c r="O176" s="92"/>
      <c r="P176" s="87">
        <f>IF(D176="",0,IF(I176="LED Lighting",M176*IF(AC176="Studio",Assumptions!$C$15,IF(AC176="1 Bedroom",Assumptions!$C$16,IF(AC176="2 Bedroom",Assumptions!$C$17,IF(AC176="3 Bedroom",Assumptions!$C$18,Assumptions!$C$16))))*N176*365/1000,IFERROR(VLOOKUP(I176,Assumptions!$B$40:$H$50,2,FALSE()),0)*M176))</f>
        <v>0</v>
      </c>
      <c r="Q176" s="87">
        <f>IF(D176="",0,IFERROR(VLOOKUP(I176,Assumptions!$B$40:$H$50,3,FALSE()),0)*M176)</f>
        <v>0</v>
      </c>
      <c r="R176" s="77">
        <f>IF(G176="",0.2161,IFERROR(VLOOKUP(G176,Assumptions!$B$53:$C$61,2,FALSE())/100,0.2161))</f>
        <v>0.21609999999999999</v>
      </c>
      <c r="S176" s="77">
        <f>IF(G176="",0,IFERROR(VLOOKUP(G176,Assumptions!$B$64:$C$72,2,FALSE())/1000,0.008))</f>
        <v>0</v>
      </c>
      <c r="T176" s="93" t="str">
        <f t="shared" si="41"/>
        <v/>
      </c>
      <c r="U176" s="93" t="str">
        <f t="shared" si="42"/>
        <v/>
      </c>
      <c r="V176" s="93" t="str">
        <f t="shared" si="43"/>
        <v/>
      </c>
      <c r="W176" s="94" t="str">
        <f t="shared" si="44"/>
        <v/>
      </c>
      <c r="X176" s="88"/>
      <c r="Y176" s="87" t="str">
        <f>IF(D176="","",IFERROR(VLOOKUP(I176,Assumptions!$B$40:$H$50,6,FALSE()),0)*M176)</f>
        <v/>
      </c>
      <c r="Z176" s="87" t="str">
        <f>IF(D176="","",IFERROR(VLOOKUP(I176,Assumptions!$B$40:$H$50,7,FALSE()),0)*M176)</f>
        <v/>
      </c>
      <c r="AA176" s="96" t="str">
        <f t="shared" si="45"/>
        <v/>
      </c>
      <c r="AB176" s="84" t="str">
        <f t="shared" si="46"/>
        <v/>
      </c>
      <c r="AC176" s="99"/>
      <c r="AD176" s="99"/>
      <c r="AE176" s="99"/>
      <c r="AF176" s="98" t="str">
        <f t="shared" si="47"/>
        <v>-</v>
      </c>
    </row>
    <row r="177" spans="2:32" ht="14.25" customHeight="1" thickBot="1" x14ac:dyDescent="0.4">
      <c r="B177" s="84" t="str">
        <f t="shared" si="40"/>
        <v/>
      </c>
      <c r="C177" s="85"/>
      <c r="D177" s="91"/>
      <c r="E177" s="68" t="str">
        <f>IF(D177="","",IFERROR(VLOOKUP(D177,'Portfolio List'!$B$4:$I$76,5,FALSE()),""))</f>
        <v/>
      </c>
      <c r="F177" s="68" t="str">
        <f>IF(D177="","",IFERROR(VLOOKUP(D177,'Portfolio List'!$B$4:$I$76,6,FALSE()),""))</f>
        <v/>
      </c>
      <c r="G177" s="68" t="str">
        <f>IF(D177="","",IFERROR(VLOOKUP(D177,'Portfolio List'!$B$4:$I$76,7,FALSE()),""))</f>
        <v/>
      </c>
      <c r="H177" s="71" t="str">
        <f>IF(D177="","",IFERROR(VLOOKUP(D177,'Portfolio List'!$B$4:$I$76,4,FALSE()),""))</f>
        <v/>
      </c>
      <c r="I177" s="91"/>
      <c r="J177" s="84" t="str">
        <f t="shared" si="39"/>
        <v/>
      </c>
      <c r="K177" s="91"/>
      <c r="L177" s="85"/>
      <c r="M177" s="97"/>
      <c r="N177" s="180"/>
      <c r="O177" s="92"/>
      <c r="P177" s="87">
        <f>IF(D177="",0,IF(I177="LED Lighting",M177*IF(AC177="Studio",Assumptions!$C$15,IF(AC177="1 Bedroom",Assumptions!$C$16,IF(AC177="2 Bedroom",Assumptions!$C$17,IF(AC177="3 Bedroom",Assumptions!$C$18,Assumptions!$C$16))))*N177*365/1000,IFERROR(VLOOKUP(I177,Assumptions!$B$40:$H$50,2,FALSE()),0)*M177))</f>
        <v>0</v>
      </c>
      <c r="Q177" s="87">
        <f>IF(D177="",0,IFERROR(VLOOKUP(I177,Assumptions!$B$40:$H$50,3,FALSE()),0)*M177)</f>
        <v>0</v>
      </c>
      <c r="R177" s="77">
        <f>IF(G177="",0.2161,IFERROR(VLOOKUP(G177,Assumptions!$B$53:$C$61,2,FALSE())/100,0.2161))</f>
        <v>0.21609999999999999</v>
      </c>
      <c r="S177" s="77">
        <f>IF(G177="",0,IFERROR(VLOOKUP(G177,Assumptions!$B$64:$C$72,2,FALSE())/1000,0.008))</f>
        <v>0</v>
      </c>
      <c r="T177" s="93" t="str">
        <f t="shared" si="41"/>
        <v/>
      </c>
      <c r="U177" s="93" t="str">
        <f t="shared" si="42"/>
        <v/>
      </c>
      <c r="V177" s="93" t="str">
        <f t="shared" si="43"/>
        <v/>
      </c>
      <c r="W177" s="94" t="str">
        <f t="shared" si="44"/>
        <v/>
      </c>
      <c r="X177" s="88"/>
      <c r="Y177" s="87" t="str">
        <f>IF(D177="","",IFERROR(VLOOKUP(I177,Assumptions!$B$40:$H$50,6,FALSE()),0)*M177)</f>
        <v/>
      </c>
      <c r="Z177" s="87" t="str">
        <f>IF(D177="","",IFERROR(VLOOKUP(I177,Assumptions!$B$40:$H$50,7,FALSE()),0)*M177)</f>
        <v/>
      </c>
      <c r="AA177" s="96" t="str">
        <f t="shared" si="45"/>
        <v/>
      </c>
      <c r="AB177" s="84" t="str">
        <f t="shared" si="46"/>
        <v/>
      </c>
      <c r="AC177" s="99"/>
      <c r="AD177" s="99"/>
      <c r="AE177" s="99"/>
      <c r="AF177" s="98" t="str">
        <f t="shared" si="47"/>
        <v>-</v>
      </c>
    </row>
    <row r="178" spans="2:32" ht="14.25" customHeight="1" thickBot="1" x14ac:dyDescent="0.4">
      <c r="B178" s="84" t="str">
        <f t="shared" si="40"/>
        <v/>
      </c>
      <c r="C178" s="85"/>
      <c r="D178" s="91"/>
      <c r="E178" s="68" t="str">
        <f>IF(D178="","",IFERROR(VLOOKUP(D178,'Portfolio List'!$B$4:$I$76,5,FALSE()),""))</f>
        <v/>
      </c>
      <c r="F178" s="68" t="str">
        <f>IF(D178="","",IFERROR(VLOOKUP(D178,'Portfolio List'!$B$4:$I$76,6,FALSE()),""))</f>
        <v/>
      </c>
      <c r="G178" s="68" t="str">
        <f>IF(D178="","",IFERROR(VLOOKUP(D178,'Portfolio List'!$B$4:$I$76,7,FALSE()),""))</f>
        <v/>
      </c>
      <c r="H178" s="71" t="str">
        <f>IF(D178="","",IFERROR(VLOOKUP(D178,'Portfolio List'!$B$4:$I$76,4,FALSE()),""))</f>
        <v/>
      </c>
      <c r="I178" s="91"/>
      <c r="J178" s="84" t="str">
        <f t="shared" si="39"/>
        <v/>
      </c>
      <c r="K178" s="91"/>
      <c r="L178" s="85"/>
      <c r="M178" s="97"/>
      <c r="N178" s="180"/>
      <c r="O178" s="92"/>
      <c r="P178" s="87">
        <f>IF(D178="",0,IF(I178="LED Lighting",M178*IF(AC178="Studio",Assumptions!$C$15,IF(AC178="1 Bedroom",Assumptions!$C$16,IF(AC178="2 Bedroom",Assumptions!$C$17,IF(AC178="3 Bedroom",Assumptions!$C$18,Assumptions!$C$16))))*N178*365/1000,IFERROR(VLOOKUP(I178,Assumptions!$B$40:$H$50,2,FALSE()),0)*M178))</f>
        <v>0</v>
      </c>
      <c r="Q178" s="87">
        <f>IF(D178="",0,IFERROR(VLOOKUP(I178,Assumptions!$B$40:$H$50,3,FALSE()),0)*M178)</f>
        <v>0</v>
      </c>
      <c r="R178" s="77">
        <f>IF(G178="",0.2161,IFERROR(VLOOKUP(G178,Assumptions!$B$53:$C$61,2,FALSE())/100,0.2161))</f>
        <v>0.21609999999999999</v>
      </c>
      <c r="S178" s="77">
        <f>IF(G178="",0,IFERROR(VLOOKUP(G178,Assumptions!$B$64:$C$72,2,FALSE())/1000,0.008))</f>
        <v>0</v>
      </c>
      <c r="T178" s="93" t="str">
        <f t="shared" si="41"/>
        <v/>
      </c>
      <c r="U178" s="93" t="str">
        <f t="shared" si="42"/>
        <v/>
      </c>
      <c r="V178" s="93" t="str">
        <f t="shared" si="43"/>
        <v/>
      </c>
      <c r="W178" s="94" t="str">
        <f t="shared" si="44"/>
        <v/>
      </c>
      <c r="X178" s="88"/>
      <c r="Y178" s="87" t="str">
        <f>IF(D178="","",IFERROR(VLOOKUP(I178,Assumptions!$B$40:$H$50,6,FALSE()),0)*M178)</f>
        <v/>
      </c>
      <c r="Z178" s="87" t="str">
        <f>IF(D178="","",IFERROR(VLOOKUP(I178,Assumptions!$B$40:$H$50,7,FALSE()),0)*M178)</f>
        <v/>
      </c>
      <c r="AA178" s="96" t="str">
        <f t="shared" si="45"/>
        <v/>
      </c>
      <c r="AB178" s="84" t="str">
        <f t="shared" si="46"/>
        <v/>
      </c>
      <c r="AC178" s="99"/>
      <c r="AD178" s="99"/>
      <c r="AE178" s="99"/>
      <c r="AF178" s="98" t="str">
        <f t="shared" si="47"/>
        <v>-</v>
      </c>
    </row>
    <row r="179" spans="2:32" ht="14.25" customHeight="1" thickBot="1" x14ac:dyDescent="0.4">
      <c r="B179" s="84" t="str">
        <f t="shared" si="40"/>
        <v/>
      </c>
      <c r="C179" s="85"/>
      <c r="D179" s="91"/>
      <c r="E179" s="68" t="str">
        <f>IF(D179="","",IFERROR(VLOOKUP(D179,'Portfolio List'!$B$4:$I$76,5,FALSE()),""))</f>
        <v/>
      </c>
      <c r="F179" s="68" t="str">
        <f>IF(D179="","",IFERROR(VLOOKUP(D179,'Portfolio List'!$B$4:$I$76,6,FALSE()),""))</f>
        <v/>
      </c>
      <c r="G179" s="68" t="str">
        <f>IF(D179="","",IFERROR(VLOOKUP(D179,'Portfolio List'!$B$4:$I$76,7,FALSE()),""))</f>
        <v/>
      </c>
      <c r="H179" s="71" t="str">
        <f>IF(D179="","",IFERROR(VLOOKUP(D179,'Portfolio List'!$B$4:$I$76,4,FALSE()),""))</f>
        <v/>
      </c>
      <c r="I179" s="91"/>
      <c r="J179" s="84" t="str">
        <f t="shared" si="39"/>
        <v/>
      </c>
      <c r="K179" s="91"/>
      <c r="L179" s="85"/>
      <c r="M179" s="97"/>
      <c r="N179" s="180"/>
      <c r="O179" s="92"/>
      <c r="P179" s="87">
        <f>IF(D179="",0,IF(I179="LED Lighting",M179*IF(AC179="Studio",Assumptions!$C$15,IF(AC179="1 Bedroom",Assumptions!$C$16,IF(AC179="2 Bedroom",Assumptions!$C$17,IF(AC179="3 Bedroom",Assumptions!$C$18,Assumptions!$C$16))))*N179*365/1000,IFERROR(VLOOKUP(I179,Assumptions!$B$40:$H$50,2,FALSE()),0)*M179))</f>
        <v>0</v>
      </c>
      <c r="Q179" s="87">
        <f>IF(D179="",0,IFERROR(VLOOKUP(I179,Assumptions!$B$40:$H$50,3,FALSE()),0)*M179)</f>
        <v>0</v>
      </c>
      <c r="R179" s="77">
        <f>IF(G179="",0.2161,IFERROR(VLOOKUP(G179,Assumptions!$B$53:$C$61,2,FALSE())/100,0.2161))</f>
        <v>0.21609999999999999</v>
      </c>
      <c r="S179" s="77">
        <f>IF(G179="",0,IFERROR(VLOOKUP(G179,Assumptions!$B$64:$C$72,2,FALSE())/1000,0.008))</f>
        <v>0</v>
      </c>
      <c r="T179" s="93" t="str">
        <f t="shared" si="41"/>
        <v/>
      </c>
      <c r="U179" s="93" t="str">
        <f t="shared" si="42"/>
        <v/>
      </c>
      <c r="V179" s="93" t="str">
        <f t="shared" si="43"/>
        <v/>
      </c>
      <c r="W179" s="94" t="str">
        <f t="shared" si="44"/>
        <v/>
      </c>
      <c r="X179" s="88"/>
      <c r="Y179" s="87" t="str">
        <f>IF(D179="","",IFERROR(VLOOKUP(I179,Assumptions!$B$40:$H$50,6,FALSE()),0)*M179)</f>
        <v/>
      </c>
      <c r="Z179" s="87" t="str">
        <f>IF(D179="","",IFERROR(VLOOKUP(I179,Assumptions!$B$40:$H$50,7,FALSE()),0)*M179)</f>
        <v/>
      </c>
      <c r="AA179" s="96" t="str">
        <f t="shared" si="45"/>
        <v/>
      </c>
      <c r="AB179" s="84" t="str">
        <f t="shared" si="46"/>
        <v/>
      </c>
      <c r="AC179" s="99"/>
      <c r="AD179" s="99"/>
      <c r="AE179" s="99"/>
      <c r="AF179" s="98" t="str">
        <f t="shared" si="47"/>
        <v>-</v>
      </c>
    </row>
    <row r="180" spans="2:32" ht="14.25" customHeight="1" thickBot="1" x14ac:dyDescent="0.4">
      <c r="B180" s="84" t="str">
        <f t="shared" si="40"/>
        <v/>
      </c>
      <c r="C180" s="85"/>
      <c r="D180" s="91"/>
      <c r="E180" s="68" t="str">
        <f>IF(D180="","",IFERROR(VLOOKUP(D180,'Portfolio List'!$B$4:$I$76,5,FALSE()),""))</f>
        <v/>
      </c>
      <c r="F180" s="68" t="str">
        <f>IF(D180="","",IFERROR(VLOOKUP(D180,'Portfolio List'!$B$4:$I$76,6,FALSE()),""))</f>
        <v/>
      </c>
      <c r="G180" s="68" t="str">
        <f>IF(D180="","",IFERROR(VLOOKUP(D180,'Portfolio List'!$B$4:$I$76,7,FALSE()),""))</f>
        <v/>
      </c>
      <c r="H180" s="71" t="str">
        <f>IF(D180="","",IFERROR(VLOOKUP(D180,'Portfolio List'!$B$4:$I$76,4,FALSE()),""))</f>
        <v/>
      </c>
      <c r="I180" s="91"/>
      <c r="J180" s="84" t="str">
        <f t="shared" si="39"/>
        <v/>
      </c>
      <c r="K180" s="91"/>
      <c r="L180" s="85"/>
      <c r="M180" s="97"/>
      <c r="N180" s="180"/>
      <c r="O180" s="92"/>
      <c r="P180" s="87">
        <f>IF(D180="",0,IF(I180="LED Lighting",M180*IF(AC180="Studio",Assumptions!$C$15,IF(AC180="1 Bedroom",Assumptions!$C$16,IF(AC180="2 Bedroom",Assumptions!$C$17,IF(AC180="3 Bedroom",Assumptions!$C$18,Assumptions!$C$16))))*N180*365/1000,IFERROR(VLOOKUP(I180,Assumptions!$B$40:$H$50,2,FALSE()),0)*M180))</f>
        <v>0</v>
      </c>
      <c r="Q180" s="87">
        <f>IF(D180="",0,IFERROR(VLOOKUP(I180,Assumptions!$B$40:$H$50,3,FALSE()),0)*M180)</f>
        <v>0</v>
      </c>
      <c r="R180" s="77">
        <f>IF(G180="",0.2161,IFERROR(VLOOKUP(G180,Assumptions!$B$53:$C$61,2,FALSE())/100,0.2161))</f>
        <v>0.21609999999999999</v>
      </c>
      <c r="S180" s="77">
        <f>IF(G180="",0,IFERROR(VLOOKUP(G180,Assumptions!$B$64:$C$72,2,FALSE())/1000,0.008))</f>
        <v>0</v>
      </c>
      <c r="T180" s="93" t="str">
        <f t="shared" si="41"/>
        <v/>
      </c>
      <c r="U180" s="93" t="str">
        <f t="shared" si="42"/>
        <v/>
      </c>
      <c r="V180" s="93" t="str">
        <f t="shared" si="43"/>
        <v/>
      </c>
      <c r="W180" s="94" t="str">
        <f t="shared" si="44"/>
        <v/>
      </c>
      <c r="X180" s="88"/>
      <c r="Y180" s="87" t="str">
        <f>IF(D180="","",IFERROR(VLOOKUP(I180,Assumptions!$B$40:$H$50,6,FALSE()),0)*M180)</f>
        <v/>
      </c>
      <c r="Z180" s="87" t="str">
        <f>IF(D180="","",IFERROR(VLOOKUP(I180,Assumptions!$B$40:$H$50,7,FALSE()),0)*M180)</f>
        <v/>
      </c>
      <c r="AA180" s="96" t="str">
        <f t="shared" si="45"/>
        <v/>
      </c>
      <c r="AB180" s="84" t="str">
        <f t="shared" si="46"/>
        <v/>
      </c>
      <c r="AC180" s="99"/>
      <c r="AD180" s="99"/>
      <c r="AE180" s="99"/>
      <c r="AF180" s="98" t="str">
        <f t="shared" si="47"/>
        <v>-</v>
      </c>
    </row>
    <row r="181" spans="2:32" ht="14.25" customHeight="1" thickBot="1" x14ac:dyDescent="0.4">
      <c r="B181" s="84" t="str">
        <f t="shared" si="40"/>
        <v/>
      </c>
      <c r="C181" s="85"/>
      <c r="D181" s="91"/>
      <c r="E181" s="68" t="str">
        <f>IF(D181="","",IFERROR(VLOOKUP(D181,'Portfolio List'!$B$4:$I$76,5,FALSE()),""))</f>
        <v/>
      </c>
      <c r="F181" s="68" t="str">
        <f>IF(D181="","",IFERROR(VLOOKUP(D181,'Portfolio List'!$B$4:$I$76,6,FALSE()),""))</f>
        <v/>
      </c>
      <c r="G181" s="68" t="str">
        <f>IF(D181="","",IFERROR(VLOOKUP(D181,'Portfolio List'!$B$4:$I$76,7,FALSE()),""))</f>
        <v/>
      </c>
      <c r="H181" s="71" t="str">
        <f>IF(D181="","",IFERROR(VLOOKUP(D181,'Portfolio List'!$B$4:$I$76,4,FALSE()),""))</f>
        <v/>
      </c>
      <c r="I181" s="91"/>
      <c r="J181" s="84" t="str">
        <f t="shared" si="39"/>
        <v/>
      </c>
      <c r="K181" s="91"/>
      <c r="L181" s="85"/>
      <c r="M181" s="97"/>
      <c r="N181" s="180"/>
      <c r="O181" s="92"/>
      <c r="P181" s="87">
        <f>IF(D181="",0,IF(I181="LED Lighting",M181*IF(AC181="Studio",Assumptions!$C$15,IF(AC181="1 Bedroom",Assumptions!$C$16,IF(AC181="2 Bedroom",Assumptions!$C$17,IF(AC181="3 Bedroom",Assumptions!$C$18,Assumptions!$C$16))))*N181*365/1000,IFERROR(VLOOKUP(I181,Assumptions!$B$40:$H$50,2,FALSE()),0)*M181))</f>
        <v>0</v>
      </c>
      <c r="Q181" s="87">
        <f>IF(D181="",0,IFERROR(VLOOKUP(I181,Assumptions!$B$40:$H$50,3,FALSE()),0)*M181)</f>
        <v>0</v>
      </c>
      <c r="R181" s="77">
        <f>IF(G181="",0.2161,IFERROR(VLOOKUP(G181,Assumptions!$B$53:$C$61,2,FALSE())/100,0.2161))</f>
        <v>0.21609999999999999</v>
      </c>
      <c r="S181" s="77">
        <f>IF(G181="",0,IFERROR(VLOOKUP(G181,Assumptions!$B$64:$C$72,2,FALSE())/1000,0.008))</f>
        <v>0</v>
      </c>
      <c r="T181" s="93" t="str">
        <f t="shared" si="41"/>
        <v/>
      </c>
      <c r="U181" s="93" t="str">
        <f t="shared" si="42"/>
        <v/>
      </c>
      <c r="V181" s="93" t="str">
        <f t="shared" si="43"/>
        <v/>
      </c>
      <c r="W181" s="94" t="str">
        <f t="shared" si="44"/>
        <v/>
      </c>
      <c r="X181" s="88"/>
      <c r="Y181" s="87" t="str">
        <f>IF(D181="","",IFERROR(VLOOKUP(I181,Assumptions!$B$40:$H$50,6,FALSE()),0)*M181)</f>
        <v/>
      </c>
      <c r="Z181" s="87" t="str">
        <f>IF(D181="","",IFERROR(VLOOKUP(I181,Assumptions!$B$40:$H$50,7,FALSE()),0)*M181)</f>
        <v/>
      </c>
      <c r="AA181" s="96" t="str">
        <f t="shared" si="45"/>
        <v/>
      </c>
      <c r="AB181" s="84" t="str">
        <f t="shared" si="46"/>
        <v/>
      </c>
      <c r="AC181" s="99"/>
      <c r="AD181" s="99"/>
      <c r="AE181" s="99"/>
      <c r="AF181" s="98" t="str">
        <f t="shared" si="47"/>
        <v>-</v>
      </c>
    </row>
    <row r="182" spans="2:32" ht="14.25" customHeight="1" thickBot="1" x14ac:dyDescent="0.4">
      <c r="B182" s="84" t="str">
        <f t="shared" si="40"/>
        <v/>
      </c>
      <c r="C182" s="85"/>
      <c r="D182" s="91"/>
      <c r="E182" s="68" t="str">
        <f>IF(D182="","",IFERROR(VLOOKUP(D182,'Portfolio List'!$B$4:$I$76,5,FALSE()),""))</f>
        <v/>
      </c>
      <c r="F182" s="68" t="str">
        <f>IF(D182="","",IFERROR(VLOOKUP(D182,'Portfolio List'!$B$4:$I$76,6,FALSE()),""))</f>
        <v/>
      </c>
      <c r="G182" s="68" t="str">
        <f>IF(D182="","",IFERROR(VLOOKUP(D182,'Portfolio List'!$B$4:$I$76,7,FALSE()),""))</f>
        <v/>
      </c>
      <c r="H182" s="71" t="str">
        <f>IF(D182="","",IFERROR(VLOOKUP(D182,'Portfolio List'!$B$4:$I$76,4,FALSE()),""))</f>
        <v/>
      </c>
      <c r="I182" s="91"/>
      <c r="J182" s="84" t="str">
        <f t="shared" si="39"/>
        <v/>
      </c>
      <c r="K182" s="91"/>
      <c r="L182" s="85"/>
      <c r="M182" s="97"/>
      <c r="N182" s="180"/>
      <c r="O182" s="92"/>
      <c r="P182" s="87">
        <f>IF(D182="",0,IF(I182="LED Lighting",M182*IF(AC182="Studio",Assumptions!$C$15,IF(AC182="1 Bedroom",Assumptions!$C$16,IF(AC182="2 Bedroom",Assumptions!$C$17,IF(AC182="3 Bedroom",Assumptions!$C$18,Assumptions!$C$16))))*N182*365/1000,IFERROR(VLOOKUP(I182,Assumptions!$B$40:$H$50,2,FALSE()),0)*M182))</f>
        <v>0</v>
      </c>
      <c r="Q182" s="87">
        <f>IF(D182="",0,IFERROR(VLOOKUP(I182,Assumptions!$B$40:$H$50,3,FALSE()),0)*M182)</f>
        <v>0</v>
      </c>
      <c r="R182" s="77">
        <f>IF(G182="",0.2161,IFERROR(VLOOKUP(G182,Assumptions!$B$53:$C$61,2,FALSE())/100,0.2161))</f>
        <v>0.21609999999999999</v>
      </c>
      <c r="S182" s="77">
        <f>IF(G182="",0,IFERROR(VLOOKUP(G182,Assumptions!$B$64:$C$72,2,FALSE())/1000,0.008))</f>
        <v>0</v>
      </c>
      <c r="T182" s="93" t="str">
        <f t="shared" si="41"/>
        <v/>
      </c>
      <c r="U182" s="93" t="str">
        <f t="shared" si="42"/>
        <v/>
      </c>
      <c r="V182" s="93" t="str">
        <f t="shared" si="43"/>
        <v/>
      </c>
      <c r="W182" s="94" t="str">
        <f t="shared" si="44"/>
        <v/>
      </c>
      <c r="X182" s="88"/>
      <c r="Y182" s="87" t="str">
        <f>IF(D182="","",IFERROR(VLOOKUP(I182,Assumptions!$B$40:$H$50,6,FALSE()),0)*M182)</f>
        <v/>
      </c>
      <c r="Z182" s="87" t="str">
        <f>IF(D182="","",IFERROR(VLOOKUP(I182,Assumptions!$B$40:$H$50,7,FALSE()),0)*M182)</f>
        <v/>
      </c>
      <c r="AA182" s="96" t="str">
        <f t="shared" si="45"/>
        <v/>
      </c>
      <c r="AB182" s="84" t="str">
        <f t="shared" si="46"/>
        <v/>
      </c>
      <c r="AC182" s="99"/>
      <c r="AD182" s="99"/>
      <c r="AE182" s="99"/>
      <c r="AF182" s="98" t="str">
        <f t="shared" si="47"/>
        <v>-</v>
      </c>
    </row>
    <row r="183" spans="2:32" ht="14.25" customHeight="1" thickBot="1" x14ac:dyDescent="0.4">
      <c r="B183" s="84" t="str">
        <f t="shared" si="40"/>
        <v/>
      </c>
      <c r="C183" s="85"/>
      <c r="D183" s="91"/>
      <c r="E183" s="68" t="str">
        <f>IF(D183="","",IFERROR(VLOOKUP(D183,'Portfolio List'!$B$4:$I$76,5,FALSE()),""))</f>
        <v/>
      </c>
      <c r="F183" s="68" t="str">
        <f>IF(D183="","",IFERROR(VLOOKUP(D183,'Portfolio List'!$B$4:$I$76,6,FALSE()),""))</f>
        <v/>
      </c>
      <c r="G183" s="68" t="str">
        <f>IF(D183="","",IFERROR(VLOOKUP(D183,'Portfolio List'!$B$4:$I$76,7,FALSE()),""))</f>
        <v/>
      </c>
      <c r="H183" s="71" t="str">
        <f>IF(D183="","",IFERROR(VLOOKUP(D183,'Portfolio List'!$B$4:$I$76,4,FALSE()),""))</f>
        <v/>
      </c>
      <c r="I183" s="91"/>
      <c r="J183" s="84" t="str">
        <f t="shared" si="39"/>
        <v/>
      </c>
      <c r="K183" s="91"/>
      <c r="L183" s="85"/>
      <c r="M183" s="97"/>
      <c r="N183" s="180"/>
      <c r="O183" s="92"/>
      <c r="P183" s="87">
        <f>IF(D183="",0,IF(I183="LED Lighting",M183*IF(AC183="Studio",Assumptions!$C$15,IF(AC183="1 Bedroom",Assumptions!$C$16,IF(AC183="2 Bedroom",Assumptions!$C$17,IF(AC183="3 Bedroom",Assumptions!$C$18,Assumptions!$C$16))))*N183*365/1000,IFERROR(VLOOKUP(I183,Assumptions!$B$40:$H$50,2,FALSE()),0)*M183))</f>
        <v>0</v>
      </c>
      <c r="Q183" s="87">
        <f>IF(D183="",0,IFERROR(VLOOKUP(I183,Assumptions!$B$40:$H$50,3,FALSE()),0)*M183)</f>
        <v>0</v>
      </c>
      <c r="R183" s="77">
        <f>IF(G183="",0.2161,IFERROR(VLOOKUP(G183,Assumptions!$B$53:$C$61,2,FALSE())/100,0.2161))</f>
        <v>0.21609999999999999</v>
      </c>
      <c r="S183" s="77">
        <f>IF(G183="",0,IFERROR(VLOOKUP(G183,Assumptions!$B$64:$C$72,2,FALSE())/1000,0.008))</f>
        <v>0</v>
      </c>
      <c r="T183" s="93" t="str">
        <f t="shared" si="41"/>
        <v/>
      </c>
      <c r="U183" s="93" t="str">
        <f t="shared" si="42"/>
        <v/>
      </c>
      <c r="V183" s="93" t="str">
        <f t="shared" si="43"/>
        <v/>
      </c>
      <c r="W183" s="94" t="str">
        <f t="shared" si="44"/>
        <v/>
      </c>
      <c r="X183" s="88"/>
      <c r="Y183" s="87" t="str">
        <f>IF(D183="","",IFERROR(VLOOKUP(I183,Assumptions!$B$40:$H$50,6,FALSE()),0)*M183)</f>
        <v/>
      </c>
      <c r="Z183" s="87" t="str">
        <f>IF(D183="","",IFERROR(VLOOKUP(I183,Assumptions!$B$40:$H$50,7,FALSE()),0)*M183)</f>
        <v/>
      </c>
      <c r="AA183" s="96" t="str">
        <f t="shared" si="45"/>
        <v/>
      </c>
      <c r="AB183" s="84" t="str">
        <f t="shared" si="46"/>
        <v/>
      </c>
      <c r="AC183" s="99"/>
      <c r="AD183" s="99"/>
      <c r="AE183" s="99"/>
      <c r="AF183" s="98" t="str">
        <f t="shared" si="47"/>
        <v>-</v>
      </c>
    </row>
    <row r="184" spans="2:32" ht="14.25" customHeight="1" thickBot="1" x14ac:dyDescent="0.4">
      <c r="B184" s="84" t="str">
        <f t="shared" si="40"/>
        <v/>
      </c>
      <c r="C184" s="85"/>
      <c r="D184" s="91"/>
      <c r="E184" s="68" t="str">
        <f>IF(D184="","",IFERROR(VLOOKUP(D184,'Portfolio List'!$B$4:$I$76,5,FALSE()),""))</f>
        <v/>
      </c>
      <c r="F184" s="68" t="str">
        <f>IF(D184="","",IFERROR(VLOOKUP(D184,'Portfolio List'!$B$4:$I$76,6,FALSE()),""))</f>
        <v/>
      </c>
      <c r="G184" s="68" t="str">
        <f>IF(D184="","",IFERROR(VLOOKUP(D184,'Portfolio List'!$B$4:$I$76,7,FALSE()),""))</f>
        <v/>
      </c>
      <c r="H184" s="71" t="str">
        <f>IF(D184="","",IFERROR(VLOOKUP(D184,'Portfolio List'!$B$4:$I$76,4,FALSE()),""))</f>
        <v/>
      </c>
      <c r="I184" s="91"/>
      <c r="J184" s="84" t="str">
        <f t="shared" si="39"/>
        <v/>
      </c>
      <c r="K184" s="91"/>
      <c r="L184" s="85"/>
      <c r="M184" s="97"/>
      <c r="N184" s="180"/>
      <c r="O184" s="92"/>
      <c r="P184" s="87">
        <f>IF(D184="",0,IF(I184="LED Lighting",M184*IF(AC184="Studio",Assumptions!$C$15,IF(AC184="1 Bedroom",Assumptions!$C$16,IF(AC184="2 Bedroom",Assumptions!$C$17,IF(AC184="3 Bedroom",Assumptions!$C$18,Assumptions!$C$16))))*N184*365/1000,IFERROR(VLOOKUP(I184,Assumptions!$B$40:$H$50,2,FALSE()),0)*M184))</f>
        <v>0</v>
      </c>
      <c r="Q184" s="87">
        <f>IF(D184="",0,IFERROR(VLOOKUP(I184,Assumptions!$B$40:$H$50,3,FALSE()),0)*M184)</f>
        <v>0</v>
      </c>
      <c r="R184" s="77">
        <f>IF(G184="",0.2161,IFERROR(VLOOKUP(G184,Assumptions!$B$53:$C$61,2,FALSE())/100,0.2161))</f>
        <v>0.21609999999999999</v>
      </c>
      <c r="S184" s="77">
        <f>IF(G184="",0,IFERROR(VLOOKUP(G184,Assumptions!$B$64:$C$72,2,FALSE())/1000,0.008))</f>
        <v>0</v>
      </c>
      <c r="T184" s="93" t="str">
        <f t="shared" si="41"/>
        <v/>
      </c>
      <c r="U184" s="93" t="str">
        <f t="shared" si="42"/>
        <v/>
      </c>
      <c r="V184" s="93" t="str">
        <f t="shared" si="43"/>
        <v/>
      </c>
      <c r="W184" s="94" t="str">
        <f t="shared" si="44"/>
        <v/>
      </c>
      <c r="X184" s="88"/>
      <c r="Y184" s="87" t="str">
        <f>IF(D184="","",IFERROR(VLOOKUP(I184,Assumptions!$B$40:$H$50,6,FALSE()),0)*M184)</f>
        <v/>
      </c>
      <c r="Z184" s="87" t="str">
        <f>IF(D184="","",IFERROR(VLOOKUP(I184,Assumptions!$B$40:$H$50,7,FALSE()),0)*M184)</f>
        <v/>
      </c>
      <c r="AA184" s="96" t="str">
        <f t="shared" si="45"/>
        <v/>
      </c>
      <c r="AB184" s="84" t="str">
        <f t="shared" si="46"/>
        <v/>
      </c>
      <c r="AC184" s="99"/>
      <c r="AD184" s="99"/>
      <c r="AE184" s="99"/>
      <c r="AF184" s="98" t="str">
        <f t="shared" si="47"/>
        <v>-</v>
      </c>
    </row>
    <row r="185" spans="2:32" ht="14.25" customHeight="1" thickBot="1" x14ac:dyDescent="0.4">
      <c r="B185" s="84" t="str">
        <f t="shared" si="40"/>
        <v/>
      </c>
      <c r="C185" s="85"/>
      <c r="D185" s="91"/>
      <c r="E185" s="68" t="str">
        <f>IF(D185="","",IFERROR(VLOOKUP(D185,'Portfolio List'!$B$4:$I$76,5,FALSE()),""))</f>
        <v/>
      </c>
      <c r="F185" s="68" t="str">
        <f>IF(D185="","",IFERROR(VLOOKUP(D185,'Portfolio List'!$B$4:$I$76,6,FALSE()),""))</f>
        <v/>
      </c>
      <c r="G185" s="68" t="str">
        <f>IF(D185="","",IFERROR(VLOOKUP(D185,'Portfolio List'!$B$4:$I$76,7,FALSE()),""))</f>
        <v/>
      </c>
      <c r="H185" s="71" t="str">
        <f>IF(D185="","",IFERROR(VLOOKUP(D185,'Portfolio List'!$B$4:$I$76,4,FALSE()),""))</f>
        <v/>
      </c>
      <c r="I185" s="91"/>
      <c r="J185" s="84" t="str">
        <f t="shared" si="39"/>
        <v/>
      </c>
      <c r="K185" s="91"/>
      <c r="L185" s="85"/>
      <c r="M185" s="97"/>
      <c r="N185" s="180"/>
      <c r="O185" s="92"/>
      <c r="P185" s="87">
        <f>IF(D185="",0,IF(I185="LED Lighting",M185*IF(AC185="Studio",Assumptions!$C$15,IF(AC185="1 Bedroom",Assumptions!$C$16,IF(AC185="2 Bedroom",Assumptions!$C$17,IF(AC185="3 Bedroom",Assumptions!$C$18,Assumptions!$C$16))))*N185*365/1000,IFERROR(VLOOKUP(I185,Assumptions!$B$40:$H$50,2,FALSE()),0)*M185))</f>
        <v>0</v>
      </c>
      <c r="Q185" s="87">
        <f>IF(D185="",0,IFERROR(VLOOKUP(I185,Assumptions!$B$40:$H$50,3,FALSE()),0)*M185)</f>
        <v>0</v>
      </c>
      <c r="R185" s="77">
        <f>IF(G185="",0.2161,IFERROR(VLOOKUP(G185,Assumptions!$B$53:$C$61,2,FALSE())/100,0.2161))</f>
        <v>0.21609999999999999</v>
      </c>
      <c r="S185" s="77">
        <f>IF(G185="",0,IFERROR(VLOOKUP(G185,Assumptions!$B$64:$C$72,2,FALSE())/1000,0.008))</f>
        <v>0</v>
      </c>
      <c r="T185" s="93" t="str">
        <f t="shared" si="41"/>
        <v/>
      </c>
      <c r="U185" s="93" t="str">
        <f t="shared" si="42"/>
        <v/>
      </c>
      <c r="V185" s="93" t="str">
        <f t="shared" si="43"/>
        <v/>
      </c>
      <c r="W185" s="94" t="str">
        <f t="shared" si="44"/>
        <v/>
      </c>
      <c r="X185" s="88"/>
      <c r="Y185" s="87" t="str">
        <f>IF(D185="","",IFERROR(VLOOKUP(I185,Assumptions!$B$40:$H$50,6,FALSE()),0)*M185)</f>
        <v/>
      </c>
      <c r="Z185" s="87" t="str">
        <f>IF(D185="","",IFERROR(VLOOKUP(I185,Assumptions!$B$40:$H$50,7,FALSE()),0)*M185)</f>
        <v/>
      </c>
      <c r="AA185" s="96" t="str">
        <f t="shared" si="45"/>
        <v/>
      </c>
      <c r="AB185" s="84" t="str">
        <f t="shared" si="46"/>
        <v/>
      </c>
      <c r="AC185" s="99"/>
      <c r="AD185" s="99"/>
      <c r="AE185" s="99"/>
      <c r="AF185" s="98" t="str">
        <f t="shared" si="47"/>
        <v>-</v>
      </c>
    </row>
    <row r="186" spans="2:32" ht="14.25" customHeight="1" thickBot="1" x14ac:dyDescent="0.4">
      <c r="B186" s="84" t="str">
        <f t="shared" si="40"/>
        <v/>
      </c>
      <c r="C186" s="85"/>
      <c r="D186" s="91"/>
      <c r="E186" s="68" t="str">
        <f>IF(D186="","",IFERROR(VLOOKUP(D186,'Portfolio List'!$B$4:$I$76,5,FALSE()),""))</f>
        <v/>
      </c>
      <c r="F186" s="68" t="str">
        <f>IF(D186="","",IFERROR(VLOOKUP(D186,'Portfolio List'!$B$4:$I$76,6,FALSE()),""))</f>
        <v/>
      </c>
      <c r="G186" s="68" t="str">
        <f>IF(D186="","",IFERROR(VLOOKUP(D186,'Portfolio List'!$B$4:$I$76,7,FALSE()),""))</f>
        <v/>
      </c>
      <c r="H186" s="71" t="str">
        <f>IF(D186="","",IFERROR(VLOOKUP(D186,'Portfolio List'!$B$4:$I$76,4,FALSE()),""))</f>
        <v/>
      </c>
      <c r="I186" s="91"/>
      <c r="J186" s="84" t="str">
        <f t="shared" si="39"/>
        <v/>
      </c>
      <c r="K186" s="91"/>
      <c r="L186" s="85"/>
      <c r="M186" s="97"/>
      <c r="N186" s="180"/>
      <c r="O186" s="92"/>
      <c r="P186" s="87">
        <f>IF(D186="",0,IF(I186="LED Lighting",M186*IF(AC186="Studio",Assumptions!$C$15,IF(AC186="1 Bedroom",Assumptions!$C$16,IF(AC186="2 Bedroom",Assumptions!$C$17,IF(AC186="3 Bedroom",Assumptions!$C$18,Assumptions!$C$16))))*N186*365/1000,IFERROR(VLOOKUP(I186,Assumptions!$B$40:$H$50,2,FALSE()),0)*M186))</f>
        <v>0</v>
      </c>
      <c r="Q186" s="87">
        <f>IF(D186="",0,IFERROR(VLOOKUP(I186,Assumptions!$B$40:$H$50,3,FALSE()),0)*M186)</f>
        <v>0</v>
      </c>
      <c r="R186" s="77">
        <f>IF(G186="",0.2161,IFERROR(VLOOKUP(G186,Assumptions!$B$53:$C$61,2,FALSE())/100,0.2161))</f>
        <v>0.21609999999999999</v>
      </c>
      <c r="S186" s="77">
        <f>IF(G186="",0,IFERROR(VLOOKUP(G186,Assumptions!$B$64:$C$72,2,FALSE())/1000,0.008))</f>
        <v>0</v>
      </c>
      <c r="T186" s="93" t="str">
        <f t="shared" si="41"/>
        <v/>
      </c>
      <c r="U186" s="93" t="str">
        <f t="shared" si="42"/>
        <v/>
      </c>
      <c r="V186" s="93" t="str">
        <f t="shared" si="43"/>
        <v/>
      </c>
      <c r="W186" s="94" t="str">
        <f t="shared" si="44"/>
        <v/>
      </c>
      <c r="X186" s="88"/>
      <c r="Y186" s="87" t="str">
        <f>IF(D186="","",IFERROR(VLOOKUP(I186,Assumptions!$B$40:$H$50,6,FALSE()),0)*M186)</f>
        <v/>
      </c>
      <c r="Z186" s="87" t="str">
        <f>IF(D186="","",IFERROR(VLOOKUP(I186,Assumptions!$B$40:$H$50,7,FALSE()),0)*M186)</f>
        <v/>
      </c>
      <c r="AA186" s="96" t="str">
        <f t="shared" si="45"/>
        <v/>
      </c>
      <c r="AB186" s="84" t="str">
        <f t="shared" si="46"/>
        <v/>
      </c>
      <c r="AC186" s="99"/>
      <c r="AD186" s="99"/>
      <c r="AE186" s="99"/>
      <c r="AF186" s="98" t="str">
        <f t="shared" si="47"/>
        <v>-</v>
      </c>
    </row>
    <row r="187" spans="2:32" ht="14.25" customHeight="1" thickBot="1" x14ac:dyDescent="0.4">
      <c r="B187" s="84" t="str">
        <f t="shared" si="40"/>
        <v/>
      </c>
      <c r="C187" s="85"/>
      <c r="D187" s="91"/>
      <c r="E187" s="68" t="str">
        <f>IF(D187="","",IFERROR(VLOOKUP(D187,'Portfolio List'!$B$4:$I$76,5,FALSE()),""))</f>
        <v/>
      </c>
      <c r="F187" s="68" t="str">
        <f>IF(D187="","",IFERROR(VLOOKUP(D187,'Portfolio List'!$B$4:$I$76,6,FALSE()),""))</f>
        <v/>
      </c>
      <c r="G187" s="68" t="str">
        <f>IF(D187="","",IFERROR(VLOOKUP(D187,'Portfolio List'!$B$4:$I$76,7,FALSE()),""))</f>
        <v/>
      </c>
      <c r="H187" s="71" t="str">
        <f>IF(D187="","",IFERROR(VLOOKUP(D187,'Portfolio List'!$B$4:$I$76,4,FALSE()),""))</f>
        <v/>
      </c>
      <c r="I187" s="91"/>
      <c r="J187" s="84" t="str">
        <f t="shared" si="39"/>
        <v/>
      </c>
      <c r="K187" s="91"/>
      <c r="L187" s="85"/>
      <c r="M187" s="97"/>
      <c r="N187" s="180"/>
      <c r="O187" s="92"/>
      <c r="P187" s="87">
        <f>IF(D187="",0,IF(I187="LED Lighting",M187*IF(AC187="Studio",Assumptions!$C$15,IF(AC187="1 Bedroom",Assumptions!$C$16,IF(AC187="2 Bedroom",Assumptions!$C$17,IF(AC187="3 Bedroom",Assumptions!$C$18,Assumptions!$C$16))))*N187*365/1000,IFERROR(VLOOKUP(I187,Assumptions!$B$40:$H$50,2,FALSE()),0)*M187))</f>
        <v>0</v>
      </c>
      <c r="Q187" s="87">
        <f>IF(D187="",0,IFERROR(VLOOKUP(I187,Assumptions!$B$40:$H$50,3,FALSE()),0)*M187)</f>
        <v>0</v>
      </c>
      <c r="R187" s="77">
        <f>IF(G187="",0.2161,IFERROR(VLOOKUP(G187,Assumptions!$B$53:$C$61,2,FALSE())/100,0.2161))</f>
        <v>0.21609999999999999</v>
      </c>
      <c r="S187" s="77">
        <f>IF(G187="",0,IFERROR(VLOOKUP(G187,Assumptions!$B$64:$C$72,2,FALSE())/1000,0.008))</f>
        <v>0</v>
      </c>
      <c r="T187" s="93" t="str">
        <f t="shared" si="41"/>
        <v/>
      </c>
      <c r="U187" s="93" t="str">
        <f t="shared" si="42"/>
        <v/>
      </c>
      <c r="V187" s="93" t="str">
        <f t="shared" si="43"/>
        <v/>
      </c>
      <c r="W187" s="94" t="str">
        <f t="shared" si="44"/>
        <v/>
      </c>
      <c r="X187" s="88"/>
      <c r="Y187" s="87" t="str">
        <f>IF(D187="","",IFERROR(VLOOKUP(I187,Assumptions!$B$40:$H$50,6,FALSE()),0)*M187)</f>
        <v/>
      </c>
      <c r="Z187" s="87" t="str">
        <f>IF(D187="","",IFERROR(VLOOKUP(I187,Assumptions!$B$40:$H$50,7,FALSE()),0)*M187)</f>
        <v/>
      </c>
      <c r="AA187" s="96" t="str">
        <f t="shared" si="45"/>
        <v/>
      </c>
      <c r="AB187" s="84" t="str">
        <f t="shared" si="46"/>
        <v/>
      </c>
      <c r="AC187" s="99"/>
      <c r="AD187" s="99"/>
      <c r="AE187" s="99"/>
      <c r="AF187" s="98" t="str">
        <f t="shared" si="47"/>
        <v>-</v>
      </c>
    </row>
    <row r="188" spans="2:32" ht="14.25" customHeight="1" thickBot="1" x14ac:dyDescent="0.4">
      <c r="B188" s="84" t="str">
        <f t="shared" si="40"/>
        <v/>
      </c>
      <c r="C188" s="85"/>
      <c r="D188" s="91"/>
      <c r="E188" s="68" t="str">
        <f>IF(D188="","",IFERROR(VLOOKUP(D188,'Portfolio List'!$B$4:$I$76,5,FALSE()),""))</f>
        <v/>
      </c>
      <c r="F188" s="68" t="str">
        <f>IF(D188="","",IFERROR(VLOOKUP(D188,'Portfolio List'!$B$4:$I$76,6,FALSE()),""))</f>
        <v/>
      </c>
      <c r="G188" s="68" t="str">
        <f>IF(D188="","",IFERROR(VLOOKUP(D188,'Portfolio List'!$B$4:$I$76,7,FALSE()),""))</f>
        <v/>
      </c>
      <c r="H188" s="71" t="str">
        <f>IF(D188="","",IFERROR(VLOOKUP(D188,'Portfolio List'!$B$4:$I$76,4,FALSE()),""))</f>
        <v/>
      </c>
      <c r="I188" s="91"/>
      <c r="J188" s="84" t="str">
        <f t="shared" si="39"/>
        <v/>
      </c>
      <c r="K188" s="91"/>
      <c r="L188" s="85"/>
      <c r="M188" s="97"/>
      <c r="N188" s="180"/>
      <c r="O188" s="92"/>
      <c r="P188" s="87">
        <f>IF(D188="",0,IF(I188="LED Lighting",M188*IF(AC188="Studio",Assumptions!$C$15,IF(AC188="1 Bedroom",Assumptions!$C$16,IF(AC188="2 Bedroom",Assumptions!$C$17,IF(AC188="3 Bedroom",Assumptions!$C$18,Assumptions!$C$16))))*N188*365/1000,IFERROR(VLOOKUP(I188,Assumptions!$B$40:$H$50,2,FALSE()),0)*M188))</f>
        <v>0</v>
      </c>
      <c r="Q188" s="87">
        <f>IF(D188="",0,IFERROR(VLOOKUP(I188,Assumptions!$B$40:$H$50,3,FALSE()),0)*M188)</f>
        <v>0</v>
      </c>
      <c r="R188" s="77">
        <f>IF(G188="",0.2161,IFERROR(VLOOKUP(G188,Assumptions!$B$53:$C$61,2,FALSE())/100,0.2161))</f>
        <v>0.21609999999999999</v>
      </c>
      <c r="S188" s="77">
        <f>IF(G188="",0,IFERROR(VLOOKUP(G188,Assumptions!$B$64:$C$72,2,FALSE())/1000,0.008))</f>
        <v>0</v>
      </c>
      <c r="T188" s="93" t="str">
        <f t="shared" si="41"/>
        <v/>
      </c>
      <c r="U188" s="93" t="str">
        <f t="shared" si="42"/>
        <v/>
      </c>
      <c r="V188" s="93" t="str">
        <f t="shared" si="43"/>
        <v/>
      </c>
      <c r="W188" s="94" t="str">
        <f t="shared" si="44"/>
        <v/>
      </c>
      <c r="X188" s="88"/>
      <c r="Y188" s="87" t="str">
        <f>IF(D188="","",IFERROR(VLOOKUP(I188,Assumptions!$B$40:$H$50,6,FALSE()),0)*M188)</f>
        <v/>
      </c>
      <c r="Z188" s="87" t="str">
        <f>IF(D188="","",IFERROR(VLOOKUP(I188,Assumptions!$B$40:$H$50,7,FALSE()),0)*M188)</f>
        <v/>
      </c>
      <c r="AA188" s="96" t="str">
        <f t="shared" si="45"/>
        <v/>
      </c>
      <c r="AB188" s="84" t="str">
        <f t="shared" si="46"/>
        <v/>
      </c>
      <c r="AC188" s="99"/>
      <c r="AD188" s="99"/>
      <c r="AE188" s="99"/>
      <c r="AF188" s="98" t="str">
        <f t="shared" si="47"/>
        <v>-</v>
      </c>
    </row>
    <row r="189" spans="2:32" ht="14.25" customHeight="1" thickBot="1" x14ac:dyDescent="0.4">
      <c r="B189" s="84" t="str">
        <f t="shared" si="40"/>
        <v/>
      </c>
      <c r="C189" s="85"/>
      <c r="D189" s="91"/>
      <c r="E189" s="68" t="str">
        <f>IF(D189="","",IFERROR(VLOOKUP(D189,'Portfolio List'!$B$4:$I$76,5,FALSE()),""))</f>
        <v/>
      </c>
      <c r="F189" s="68" t="str">
        <f>IF(D189="","",IFERROR(VLOOKUP(D189,'Portfolio List'!$B$4:$I$76,6,FALSE()),""))</f>
        <v/>
      </c>
      <c r="G189" s="68" t="str">
        <f>IF(D189="","",IFERROR(VLOOKUP(D189,'Portfolio List'!$B$4:$I$76,7,FALSE()),""))</f>
        <v/>
      </c>
      <c r="H189" s="71" t="str">
        <f>IF(D189="","",IFERROR(VLOOKUP(D189,'Portfolio List'!$B$4:$I$76,4,FALSE()),""))</f>
        <v/>
      </c>
      <c r="I189" s="91"/>
      <c r="J189" s="84" t="str">
        <f t="shared" si="39"/>
        <v/>
      </c>
      <c r="K189" s="91"/>
      <c r="L189" s="85"/>
      <c r="M189" s="97"/>
      <c r="N189" s="180"/>
      <c r="O189" s="92"/>
      <c r="P189" s="87">
        <f>IF(D189="",0,IF(I189="LED Lighting",M189*IF(AC189="Studio",Assumptions!$C$15,IF(AC189="1 Bedroom",Assumptions!$C$16,IF(AC189="2 Bedroom",Assumptions!$C$17,IF(AC189="3 Bedroom",Assumptions!$C$18,Assumptions!$C$16))))*N189*365/1000,IFERROR(VLOOKUP(I189,Assumptions!$B$40:$H$50,2,FALSE()),0)*M189))</f>
        <v>0</v>
      </c>
      <c r="Q189" s="87">
        <f>IF(D189="",0,IFERROR(VLOOKUP(I189,Assumptions!$B$40:$H$50,3,FALSE()),0)*M189)</f>
        <v>0</v>
      </c>
      <c r="R189" s="77">
        <f>IF(G189="",0.2161,IFERROR(VLOOKUP(G189,Assumptions!$B$53:$C$61,2,FALSE())/100,0.2161))</f>
        <v>0.21609999999999999</v>
      </c>
      <c r="S189" s="77">
        <f>IF(G189="",0,IFERROR(VLOOKUP(G189,Assumptions!$B$64:$C$72,2,FALSE())/1000,0.008))</f>
        <v>0</v>
      </c>
      <c r="T189" s="93" t="str">
        <f t="shared" si="41"/>
        <v/>
      </c>
      <c r="U189" s="93" t="str">
        <f t="shared" si="42"/>
        <v/>
      </c>
      <c r="V189" s="93" t="str">
        <f t="shared" si="43"/>
        <v/>
      </c>
      <c r="W189" s="94" t="str">
        <f t="shared" si="44"/>
        <v/>
      </c>
      <c r="X189" s="88"/>
      <c r="Y189" s="87" t="str">
        <f>IF(D189="","",IFERROR(VLOOKUP(I189,Assumptions!$B$40:$H$50,6,FALSE()),0)*M189)</f>
        <v/>
      </c>
      <c r="Z189" s="87" t="str">
        <f>IF(D189="","",IFERROR(VLOOKUP(I189,Assumptions!$B$40:$H$50,7,FALSE()),0)*M189)</f>
        <v/>
      </c>
      <c r="AA189" s="96" t="str">
        <f t="shared" si="45"/>
        <v/>
      </c>
      <c r="AB189" s="84" t="str">
        <f t="shared" si="46"/>
        <v/>
      </c>
      <c r="AC189" s="99"/>
      <c r="AD189" s="99"/>
      <c r="AE189" s="99"/>
      <c r="AF189" s="98" t="str">
        <f t="shared" si="47"/>
        <v>-</v>
      </c>
    </row>
    <row r="190" spans="2:32" ht="14.25" customHeight="1" thickBot="1" x14ac:dyDescent="0.4">
      <c r="B190" s="84" t="str">
        <f t="shared" si="40"/>
        <v/>
      </c>
      <c r="C190" s="85"/>
      <c r="D190" s="91"/>
      <c r="E190" s="68" t="str">
        <f>IF(D190="","",IFERROR(VLOOKUP(D190,'Portfolio List'!$B$4:$I$76,5,FALSE()),""))</f>
        <v/>
      </c>
      <c r="F190" s="68" t="str">
        <f>IF(D190="","",IFERROR(VLOOKUP(D190,'Portfolio List'!$B$4:$I$76,6,FALSE()),""))</f>
        <v/>
      </c>
      <c r="G190" s="68" t="str">
        <f>IF(D190="","",IFERROR(VLOOKUP(D190,'Portfolio List'!$B$4:$I$76,7,FALSE()),""))</f>
        <v/>
      </c>
      <c r="H190" s="71" t="str">
        <f>IF(D190="","",IFERROR(VLOOKUP(D190,'Portfolio List'!$B$4:$I$76,4,FALSE()),""))</f>
        <v/>
      </c>
      <c r="I190" s="91"/>
      <c r="J190" s="84" t="str">
        <f t="shared" si="39"/>
        <v/>
      </c>
      <c r="K190" s="91"/>
      <c r="L190" s="85"/>
      <c r="M190" s="97"/>
      <c r="N190" s="180"/>
      <c r="O190" s="92"/>
      <c r="P190" s="87">
        <f>IF(D190="",0,IF(I190="LED Lighting",M190*IF(AC190="Studio",Assumptions!$C$15,IF(AC190="1 Bedroom",Assumptions!$C$16,IF(AC190="2 Bedroom",Assumptions!$C$17,IF(AC190="3 Bedroom",Assumptions!$C$18,Assumptions!$C$16))))*N190*365/1000,IFERROR(VLOOKUP(I190,Assumptions!$B$40:$H$50,2,FALSE()),0)*M190))</f>
        <v>0</v>
      </c>
      <c r="Q190" s="87">
        <f>IF(D190="",0,IFERROR(VLOOKUP(I190,Assumptions!$B$40:$H$50,3,FALSE()),0)*M190)</f>
        <v>0</v>
      </c>
      <c r="R190" s="77">
        <f>IF(G190="",0.2161,IFERROR(VLOOKUP(G190,Assumptions!$B$53:$C$61,2,FALSE())/100,0.2161))</f>
        <v>0.21609999999999999</v>
      </c>
      <c r="S190" s="77">
        <f>IF(G190="",0,IFERROR(VLOOKUP(G190,Assumptions!$B$64:$C$72,2,FALSE())/1000,0.008))</f>
        <v>0</v>
      </c>
      <c r="T190" s="93" t="str">
        <f t="shared" si="41"/>
        <v/>
      </c>
      <c r="U190" s="93" t="str">
        <f t="shared" si="42"/>
        <v/>
      </c>
      <c r="V190" s="93" t="str">
        <f t="shared" si="43"/>
        <v/>
      </c>
      <c r="W190" s="94" t="str">
        <f t="shared" si="44"/>
        <v/>
      </c>
      <c r="X190" s="88"/>
      <c r="Y190" s="87" t="str">
        <f>IF(D190="","",IFERROR(VLOOKUP(I190,Assumptions!$B$40:$H$50,6,FALSE()),0)*M190)</f>
        <v/>
      </c>
      <c r="Z190" s="87" t="str">
        <f>IF(D190="","",IFERROR(VLOOKUP(I190,Assumptions!$B$40:$H$50,7,FALSE()),0)*M190)</f>
        <v/>
      </c>
      <c r="AA190" s="96" t="str">
        <f t="shared" si="45"/>
        <v/>
      </c>
      <c r="AB190" s="84" t="str">
        <f t="shared" si="46"/>
        <v/>
      </c>
      <c r="AC190" s="99"/>
      <c r="AD190" s="99"/>
      <c r="AE190" s="99"/>
      <c r="AF190" s="98" t="str">
        <f t="shared" si="47"/>
        <v>-</v>
      </c>
    </row>
    <row r="191" spans="2:32" ht="14.25" customHeight="1" thickBot="1" x14ac:dyDescent="0.4">
      <c r="B191" s="84" t="str">
        <f t="shared" si="40"/>
        <v/>
      </c>
      <c r="C191" s="85"/>
      <c r="D191" s="91"/>
      <c r="E191" s="68" t="str">
        <f>IF(D191="","",IFERROR(VLOOKUP(D191,'Portfolio List'!$B$4:$I$76,5,FALSE()),""))</f>
        <v/>
      </c>
      <c r="F191" s="68" t="str">
        <f>IF(D191="","",IFERROR(VLOOKUP(D191,'Portfolio List'!$B$4:$I$76,6,FALSE()),""))</f>
        <v/>
      </c>
      <c r="G191" s="68" t="str">
        <f>IF(D191="","",IFERROR(VLOOKUP(D191,'Portfolio List'!$B$4:$I$76,7,FALSE()),""))</f>
        <v/>
      </c>
      <c r="H191" s="71" t="str">
        <f>IF(D191="","",IFERROR(VLOOKUP(D191,'Portfolio List'!$B$4:$I$76,4,FALSE()),""))</f>
        <v/>
      </c>
      <c r="I191" s="91"/>
      <c r="J191" s="84" t="str">
        <f t="shared" si="39"/>
        <v/>
      </c>
      <c r="K191" s="91"/>
      <c r="L191" s="85"/>
      <c r="M191" s="97"/>
      <c r="N191" s="180"/>
      <c r="O191" s="92"/>
      <c r="P191" s="87">
        <f>IF(D191="",0,IF(I191="LED Lighting",M191*IF(AC191="Studio",Assumptions!$C$15,IF(AC191="1 Bedroom",Assumptions!$C$16,IF(AC191="2 Bedroom",Assumptions!$C$17,IF(AC191="3 Bedroom",Assumptions!$C$18,Assumptions!$C$16))))*N191*365/1000,IFERROR(VLOOKUP(I191,Assumptions!$B$40:$H$50,2,FALSE()),0)*M191))</f>
        <v>0</v>
      </c>
      <c r="Q191" s="87">
        <f>IF(D191="",0,IFERROR(VLOOKUP(I191,Assumptions!$B$40:$H$50,3,FALSE()),0)*M191)</f>
        <v>0</v>
      </c>
      <c r="R191" s="77">
        <f>IF(G191="",0.2161,IFERROR(VLOOKUP(G191,Assumptions!$B$53:$C$61,2,FALSE())/100,0.2161))</f>
        <v>0.21609999999999999</v>
      </c>
      <c r="S191" s="77">
        <f>IF(G191="",0,IFERROR(VLOOKUP(G191,Assumptions!$B$64:$C$72,2,FALSE())/1000,0.008))</f>
        <v>0</v>
      </c>
      <c r="T191" s="93" t="str">
        <f t="shared" si="41"/>
        <v/>
      </c>
      <c r="U191" s="93" t="str">
        <f t="shared" si="42"/>
        <v/>
      </c>
      <c r="V191" s="93" t="str">
        <f t="shared" si="43"/>
        <v/>
      </c>
      <c r="W191" s="94" t="str">
        <f t="shared" si="44"/>
        <v/>
      </c>
      <c r="X191" s="88"/>
      <c r="Y191" s="87" t="str">
        <f>IF(D191="","",IFERROR(VLOOKUP(I191,Assumptions!$B$40:$H$50,6,FALSE()),0)*M191)</f>
        <v/>
      </c>
      <c r="Z191" s="87" t="str">
        <f>IF(D191="","",IFERROR(VLOOKUP(I191,Assumptions!$B$40:$H$50,7,FALSE()),0)*M191)</f>
        <v/>
      </c>
      <c r="AA191" s="96" t="str">
        <f t="shared" si="45"/>
        <v/>
      </c>
      <c r="AB191" s="84" t="str">
        <f t="shared" si="46"/>
        <v/>
      </c>
      <c r="AC191" s="99"/>
      <c r="AD191" s="99"/>
      <c r="AE191" s="99"/>
      <c r="AF191" s="98" t="str">
        <f t="shared" si="47"/>
        <v>-</v>
      </c>
    </row>
    <row r="192" spans="2:32" ht="14.25" customHeight="1" thickBot="1" x14ac:dyDescent="0.4">
      <c r="B192" s="84" t="str">
        <f t="shared" si="40"/>
        <v/>
      </c>
      <c r="C192" s="85"/>
      <c r="D192" s="91"/>
      <c r="E192" s="68" t="str">
        <f>IF(D192="","",IFERROR(VLOOKUP(D192,'Portfolio List'!$B$4:$I$76,5,FALSE()),""))</f>
        <v/>
      </c>
      <c r="F192" s="68" t="str">
        <f>IF(D192="","",IFERROR(VLOOKUP(D192,'Portfolio List'!$B$4:$I$76,6,FALSE()),""))</f>
        <v/>
      </c>
      <c r="G192" s="68" t="str">
        <f>IF(D192="","",IFERROR(VLOOKUP(D192,'Portfolio List'!$B$4:$I$76,7,FALSE()),""))</f>
        <v/>
      </c>
      <c r="H192" s="71" t="str">
        <f>IF(D192="","",IFERROR(VLOOKUP(D192,'Portfolio List'!$B$4:$I$76,4,FALSE()),""))</f>
        <v/>
      </c>
      <c r="I192" s="91"/>
      <c r="J192" s="84" t="str">
        <f t="shared" si="39"/>
        <v/>
      </c>
      <c r="K192" s="91"/>
      <c r="L192" s="85"/>
      <c r="M192" s="97"/>
      <c r="N192" s="180"/>
      <c r="O192" s="92"/>
      <c r="P192" s="87">
        <f>IF(D192="",0,IF(I192="LED Lighting",M192*IF(AC192="Studio",Assumptions!$C$15,IF(AC192="1 Bedroom",Assumptions!$C$16,IF(AC192="2 Bedroom",Assumptions!$C$17,IF(AC192="3 Bedroom",Assumptions!$C$18,Assumptions!$C$16))))*N192*365/1000,IFERROR(VLOOKUP(I192,Assumptions!$B$40:$H$50,2,FALSE()),0)*M192))</f>
        <v>0</v>
      </c>
      <c r="Q192" s="87">
        <f>IF(D192="",0,IFERROR(VLOOKUP(I192,Assumptions!$B$40:$H$50,3,FALSE()),0)*M192)</f>
        <v>0</v>
      </c>
      <c r="R192" s="77">
        <f>IF(G192="",0.2161,IFERROR(VLOOKUP(G192,Assumptions!$B$53:$C$61,2,FALSE())/100,0.2161))</f>
        <v>0.21609999999999999</v>
      </c>
      <c r="S192" s="77">
        <f>IF(G192="",0,IFERROR(VLOOKUP(G192,Assumptions!$B$64:$C$72,2,FALSE())/1000,0.008))</f>
        <v>0</v>
      </c>
      <c r="T192" s="93" t="str">
        <f t="shared" si="41"/>
        <v/>
      </c>
      <c r="U192" s="93" t="str">
        <f t="shared" si="42"/>
        <v/>
      </c>
      <c r="V192" s="93" t="str">
        <f t="shared" si="43"/>
        <v/>
      </c>
      <c r="W192" s="94" t="str">
        <f t="shared" si="44"/>
        <v/>
      </c>
      <c r="X192" s="88"/>
      <c r="Y192" s="87" t="str">
        <f>IF(D192="","",IFERROR(VLOOKUP(I192,Assumptions!$B$40:$H$50,6,FALSE()),0)*M192)</f>
        <v/>
      </c>
      <c r="Z192" s="87" t="str">
        <f>IF(D192="","",IFERROR(VLOOKUP(I192,Assumptions!$B$40:$H$50,7,FALSE()),0)*M192)</f>
        <v/>
      </c>
      <c r="AA192" s="96" t="str">
        <f t="shared" si="45"/>
        <v/>
      </c>
      <c r="AB192" s="84" t="str">
        <f t="shared" si="46"/>
        <v/>
      </c>
      <c r="AC192" s="99"/>
      <c r="AD192" s="99"/>
      <c r="AE192" s="99"/>
      <c r="AF192" s="98" t="str">
        <f t="shared" si="47"/>
        <v>-</v>
      </c>
    </row>
    <row r="193" spans="2:32" ht="14.25" customHeight="1" thickBot="1" x14ac:dyDescent="0.4">
      <c r="B193" s="84" t="str">
        <f t="shared" si="40"/>
        <v/>
      </c>
      <c r="C193" s="85"/>
      <c r="D193" s="91"/>
      <c r="E193" s="68" t="str">
        <f>IF(D193="","",IFERROR(VLOOKUP(D193,'Portfolio List'!$B$4:$I$76,5,FALSE()),""))</f>
        <v/>
      </c>
      <c r="F193" s="68" t="str">
        <f>IF(D193="","",IFERROR(VLOOKUP(D193,'Portfolio List'!$B$4:$I$76,6,FALSE()),""))</f>
        <v/>
      </c>
      <c r="G193" s="68" t="str">
        <f>IF(D193="","",IFERROR(VLOOKUP(D193,'Portfolio List'!$B$4:$I$76,7,FALSE()),""))</f>
        <v/>
      </c>
      <c r="H193" s="71" t="str">
        <f>IF(D193="","",IFERROR(VLOOKUP(D193,'Portfolio List'!$B$4:$I$76,4,FALSE()),""))</f>
        <v/>
      </c>
      <c r="I193" s="91"/>
      <c r="J193" s="84" t="str">
        <f t="shared" si="39"/>
        <v/>
      </c>
      <c r="K193" s="91"/>
      <c r="L193" s="85"/>
      <c r="M193" s="97"/>
      <c r="N193" s="180"/>
      <c r="O193" s="92"/>
      <c r="P193" s="87">
        <f>IF(D193="",0,IF(I193="LED Lighting",M193*IF(AC193="Studio",Assumptions!$C$15,IF(AC193="1 Bedroom",Assumptions!$C$16,IF(AC193="2 Bedroom",Assumptions!$C$17,IF(AC193="3 Bedroom",Assumptions!$C$18,Assumptions!$C$16))))*N193*365/1000,IFERROR(VLOOKUP(I193,Assumptions!$B$40:$H$50,2,FALSE()),0)*M193))</f>
        <v>0</v>
      </c>
      <c r="Q193" s="87">
        <f>IF(D193="",0,IFERROR(VLOOKUP(I193,Assumptions!$B$40:$H$50,3,FALSE()),0)*M193)</f>
        <v>0</v>
      </c>
      <c r="R193" s="77">
        <f>IF(G193="",0.2161,IFERROR(VLOOKUP(G193,Assumptions!$B$53:$C$61,2,FALSE())/100,0.2161))</f>
        <v>0.21609999999999999</v>
      </c>
      <c r="S193" s="77">
        <f>IF(G193="",0,IFERROR(VLOOKUP(G193,Assumptions!$B$64:$C$72,2,FALSE())/1000,0.008))</f>
        <v>0</v>
      </c>
      <c r="T193" s="93" t="str">
        <f t="shared" si="41"/>
        <v/>
      </c>
      <c r="U193" s="93" t="str">
        <f t="shared" si="42"/>
        <v/>
      </c>
      <c r="V193" s="93" t="str">
        <f t="shared" si="43"/>
        <v/>
      </c>
      <c r="W193" s="94" t="str">
        <f t="shared" si="44"/>
        <v/>
      </c>
      <c r="X193" s="88"/>
      <c r="Y193" s="87" t="str">
        <f>IF(D193="","",IFERROR(VLOOKUP(I193,Assumptions!$B$40:$H$50,6,FALSE()),0)*M193)</f>
        <v/>
      </c>
      <c r="Z193" s="87" t="str">
        <f>IF(D193="","",IFERROR(VLOOKUP(I193,Assumptions!$B$40:$H$50,7,FALSE()),0)*M193)</f>
        <v/>
      </c>
      <c r="AA193" s="96" t="str">
        <f t="shared" si="45"/>
        <v/>
      </c>
      <c r="AB193" s="84" t="str">
        <f t="shared" si="46"/>
        <v/>
      </c>
      <c r="AC193" s="99"/>
      <c r="AD193" s="99"/>
      <c r="AE193" s="99"/>
      <c r="AF193" s="98" t="str">
        <f t="shared" si="47"/>
        <v>-</v>
      </c>
    </row>
    <row r="194" spans="2:32" ht="14.25" customHeight="1" thickBot="1" x14ac:dyDescent="0.4">
      <c r="B194" s="84" t="str">
        <f t="shared" si="40"/>
        <v/>
      </c>
      <c r="C194" s="85"/>
      <c r="D194" s="91"/>
      <c r="E194" s="68" t="str">
        <f>IF(D194="","",IFERROR(VLOOKUP(D194,'Portfolio List'!$B$4:$I$76,5,FALSE()),""))</f>
        <v/>
      </c>
      <c r="F194" s="68" t="str">
        <f>IF(D194="","",IFERROR(VLOOKUP(D194,'Portfolio List'!$B$4:$I$76,6,FALSE()),""))</f>
        <v/>
      </c>
      <c r="G194" s="68" t="str">
        <f>IF(D194="","",IFERROR(VLOOKUP(D194,'Portfolio List'!$B$4:$I$76,7,FALSE()),""))</f>
        <v/>
      </c>
      <c r="H194" s="71" t="str">
        <f>IF(D194="","",IFERROR(VLOOKUP(D194,'Portfolio List'!$B$4:$I$76,4,FALSE()),""))</f>
        <v/>
      </c>
      <c r="I194" s="91"/>
      <c r="J194" s="84" t="str">
        <f t="shared" si="39"/>
        <v/>
      </c>
      <c r="K194" s="91"/>
      <c r="L194" s="85"/>
      <c r="M194" s="97"/>
      <c r="N194" s="180"/>
      <c r="O194" s="92"/>
      <c r="P194" s="87">
        <f>IF(D194="",0,IF(I194="LED Lighting",M194*IF(AC194="Studio",Assumptions!$C$15,IF(AC194="1 Bedroom",Assumptions!$C$16,IF(AC194="2 Bedroom",Assumptions!$C$17,IF(AC194="3 Bedroom",Assumptions!$C$18,Assumptions!$C$16))))*N194*365/1000,IFERROR(VLOOKUP(I194,Assumptions!$B$40:$H$50,2,FALSE()),0)*M194))</f>
        <v>0</v>
      </c>
      <c r="Q194" s="87">
        <f>IF(D194="",0,IFERROR(VLOOKUP(I194,Assumptions!$B$40:$H$50,3,FALSE()),0)*M194)</f>
        <v>0</v>
      </c>
      <c r="R194" s="77">
        <f>IF(G194="",0.2161,IFERROR(VLOOKUP(G194,Assumptions!$B$53:$C$61,2,FALSE())/100,0.2161))</f>
        <v>0.21609999999999999</v>
      </c>
      <c r="S194" s="77">
        <f>IF(G194="",0,IFERROR(VLOOKUP(G194,Assumptions!$B$64:$C$72,2,FALSE())/1000,0.008))</f>
        <v>0</v>
      </c>
      <c r="T194" s="93" t="str">
        <f t="shared" si="41"/>
        <v/>
      </c>
      <c r="U194" s="93" t="str">
        <f t="shared" si="42"/>
        <v/>
      </c>
      <c r="V194" s="93" t="str">
        <f t="shared" si="43"/>
        <v/>
      </c>
      <c r="W194" s="94" t="str">
        <f t="shared" si="44"/>
        <v/>
      </c>
      <c r="X194" s="88"/>
      <c r="Y194" s="87" t="str">
        <f>IF(D194="","",IFERROR(VLOOKUP(I194,Assumptions!$B$40:$H$50,6,FALSE()),0)*M194)</f>
        <v/>
      </c>
      <c r="Z194" s="87" t="str">
        <f>IF(D194="","",IFERROR(VLOOKUP(I194,Assumptions!$B$40:$H$50,7,FALSE()),0)*M194)</f>
        <v/>
      </c>
      <c r="AA194" s="96" t="str">
        <f t="shared" si="45"/>
        <v/>
      </c>
      <c r="AB194" s="84" t="str">
        <f t="shared" si="46"/>
        <v/>
      </c>
      <c r="AC194" s="99"/>
      <c r="AD194" s="99"/>
      <c r="AE194" s="99"/>
      <c r="AF194" s="98" t="str">
        <f t="shared" si="47"/>
        <v>-</v>
      </c>
    </row>
    <row r="195" spans="2:32" ht="14.25" customHeight="1" thickBot="1" x14ac:dyDescent="0.4">
      <c r="B195" s="84" t="str">
        <f t="shared" si="40"/>
        <v/>
      </c>
      <c r="C195" s="85"/>
      <c r="D195" s="91"/>
      <c r="E195" s="68" t="str">
        <f>IF(D195="","",IFERROR(VLOOKUP(D195,'Portfolio List'!$B$4:$I$76,5,FALSE()),""))</f>
        <v/>
      </c>
      <c r="F195" s="68" t="str">
        <f>IF(D195="","",IFERROR(VLOOKUP(D195,'Portfolio List'!$B$4:$I$76,6,FALSE()),""))</f>
        <v/>
      </c>
      <c r="G195" s="68" t="str">
        <f>IF(D195="","",IFERROR(VLOOKUP(D195,'Portfolio List'!$B$4:$I$76,7,FALSE()),""))</f>
        <v/>
      </c>
      <c r="H195" s="71" t="str">
        <f>IF(D195="","",IFERROR(VLOOKUP(D195,'Portfolio List'!$B$4:$I$76,4,FALSE()),""))</f>
        <v/>
      </c>
      <c r="I195" s="91"/>
      <c r="J195" s="84" t="str">
        <f t="shared" si="39"/>
        <v/>
      </c>
      <c r="K195" s="91"/>
      <c r="L195" s="85"/>
      <c r="M195" s="97"/>
      <c r="N195" s="180"/>
      <c r="O195" s="92"/>
      <c r="P195" s="87">
        <f>IF(D195="",0,IF(I195="LED Lighting",M195*IF(AC195="Studio",Assumptions!$C$15,IF(AC195="1 Bedroom",Assumptions!$C$16,IF(AC195="2 Bedroom",Assumptions!$C$17,IF(AC195="3 Bedroom",Assumptions!$C$18,Assumptions!$C$16))))*N195*365/1000,IFERROR(VLOOKUP(I195,Assumptions!$B$40:$H$50,2,FALSE()),0)*M195))</f>
        <v>0</v>
      </c>
      <c r="Q195" s="87">
        <f>IF(D195="",0,IFERROR(VLOOKUP(I195,Assumptions!$B$40:$H$50,3,FALSE()),0)*M195)</f>
        <v>0</v>
      </c>
      <c r="R195" s="77">
        <f>IF(G195="",0.2161,IFERROR(VLOOKUP(G195,Assumptions!$B$53:$C$61,2,FALSE())/100,0.2161))</f>
        <v>0.21609999999999999</v>
      </c>
      <c r="S195" s="77">
        <f>IF(G195="",0,IFERROR(VLOOKUP(G195,Assumptions!$B$64:$C$72,2,FALSE())/1000,0.008))</f>
        <v>0</v>
      </c>
      <c r="T195" s="93" t="str">
        <f t="shared" si="41"/>
        <v/>
      </c>
      <c r="U195" s="93" t="str">
        <f t="shared" si="42"/>
        <v/>
      </c>
      <c r="V195" s="93" t="str">
        <f t="shared" si="43"/>
        <v/>
      </c>
      <c r="W195" s="94" t="str">
        <f t="shared" si="44"/>
        <v/>
      </c>
      <c r="X195" s="88"/>
      <c r="Y195" s="87" t="str">
        <f>IF(D195="","",IFERROR(VLOOKUP(I195,Assumptions!$B$40:$H$50,6,FALSE()),0)*M195)</f>
        <v/>
      </c>
      <c r="Z195" s="87" t="str">
        <f>IF(D195="","",IFERROR(VLOOKUP(I195,Assumptions!$B$40:$H$50,7,FALSE()),0)*M195)</f>
        <v/>
      </c>
      <c r="AA195" s="96" t="str">
        <f t="shared" si="45"/>
        <v/>
      </c>
      <c r="AB195" s="84" t="str">
        <f t="shared" si="46"/>
        <v/>
      </c>
      <c r="AC195" s="99"/>
      <c r="AD195" s="99"/>
      <c r="AE195" s="99"/>
      <c r="AF195" s="98" t="str">
        <f t="shared" si="47"/>
        <v>-</v>
      </c>
    </row>
    <row r="196" spans="2:32" ht="14.25" customHeight="1" thickBot="1" x14ac:dyDescent="0.4">
      <c r="B196" s="84" t="str">
        <f t="shared" si="40"/>
        <v/>
      </c>
      <c r="C196" s="85"/>
      <c r="D196" s="91"/>
      <c r="E196" s="68" t="str">
        <f>IF(D196="","",IFERROR(VLOOKUP(D196,'Portfolio List'!$B$4:$I$76,5,FALSE()),""))</f>
        <v/>
      </c>
      <c r="F196" s="68" t="str">
        <f>IF(D196="","",IFERROR(VLOOKUP(D196,'Portfolio List'!$B$4:$I$76,6,FALSE()),""))</f>
        <v/>
      </c>
      <c r="G196" s="68" t="str">
        <f>IF(D196="","",IFERROR(VLOOKUP(D196,'Portfolio List'!$B$4:$I$76,7,FALSE()),""))</f>
        <v/>
      </c>
      <c r="H196" s="71" t="str">
        <f>IF(D196="","",IFERROR(VLOOKUP(D196,'Portfolio List'!$B$4:$I$76,4,FALSE()),""))</f>
        <v/>
      </c>
      <c r="I196" s="91"/>
      <c r="J196" s="84" t="str">
        <f t="shared" si="39"/>
        <v/>
      </c>
      <c r="K196" s="91"/>
      <c r="L196" s="85"/>
      <c r="M196" s="97"/>
      <c r="N196" s="180"/>
      <c r="O196" s="92"/>
      <c r="P196" s="87">
        <f>IF(D196="",0,IF(I196="LED Lighting",M196*IF(AC196="Studio",Assumptions!$C$15,IF(AC196="1 Bedroom",Assumptions!$C$16,IF(AC196="2 Bedroom",Assumptions!$C$17,IF(AC196="3 Bedroom",Assumptions!$C$18,Assumptions!$C$16))))*N196*365/1000,IFERROR(VLOOKUP(I196,Assumptions!$B$40:$H$50,2,FALSE()),0)*M196))</f>
        <v>0</v>
      </c>
      <c r="Q196" s="87">
        <f>IF(D196="",0,IFERROR(VLOOKUP(I196,Assumptions!$B$40:$H$50,3,FALSE()),0)*M196)</f>
        <v>0</v>
      </c>
      <c r="R196" s="77">
        <f>IF(G196="",0.2161,IFERROR(VLOOKUP(G196,Assumptions!$B$53:$C$61,2,FALSE())/100,0.2161))</f>
        <v>0.21609999999999999</v>
      </c>
      <c r="S196" s="77">
        <f>IF(G196="",0,IFERROR(VLOOKUP(G196,Assumptions!$B$64:$C$72,2,FALSE())/1000,0.008))</f>
        <v>0</v>
      </c>
      <c r="T196" s="93" t="str">
        <f t="shared" si="41"/>
        <v/>
      </c>
      <c r="U196" s="93" t="str">
        <f t="shared" si="42"/>
        <v/>
      </c>
      <c r="V196" s="93" t="str">
        <f t="shared" si="43"/>
        <v/>
      </c>
      <c r="W196" s="94" t="str">
        <f t="shared" si="44"/>
        <v/>
      </c>
      <c r="X196" s="88"/>
      <c r="Y196" s="87" t="str">
        <f>IF(D196="","",IFERROR(VLOOKUP(I196,Assumptions!$B$40:$H$50,6,FALSE()),0)*M196)</f>
        <v/>
      </c>
      <c r="Z196" s="87" t="str">
        <f>IF(D196="","",IFERROR(VLOOKUP(I196,Assumptions!$B$40:$H$50,7,FALSE()),0)*M196)</f>
        <v/>
      </c>
      <c r="AA196" s="96" t="str">
        <f t="shared" si="45"/>
        <v/>
      </c>
      <c r="AB196" s="84" t="str">
        <f t="shared" si="46"/>
        <v/>
      </c>
      <c r="AC196" s="99"/>
      <c r="AD196" s="99"/>
      <c r="AE196" s="99"/>
      <c r="AF196" s="98" t="str">
        <f t="shared" si="47"/>
        <v>-</v>
      </c>
    </row>
    <row r="197" spans="2:32" ht="14.25" customHeight="1" thickBot="1" x14ac:dyDescent="0.4">
      <c r="B197" s="84" t="str">
        <f t="shared" si="40"/>
        <v/>
      </c>
      <c r="C197" s="85"/>
      <c r="D197" s="91"/>
      <c r="E197" s="68" t="str">
        <f>IF(D197="","",IFERROR(VLOOKUP(D197,'Portfolio List'!$B$4:$I$76,5,FALSE()),""))</f>
        <v/>
      </c>
      <c r="F197" s="68" t="str">
        <f>IF(D197="","",IFERROR(VLOOKUP(D197,'Portfolio List'!$B$4:$I$76,6,FALSE()),""))</f>
        <v/>
      </c>
      <c r="G197" s="68" t="str">
        <f>IF(D197="","",IFERROR(VLOOKUP(D197,'Portfolio List'!$B$4:$I$76,7,FALSE()),""))</f>
        <v/>
      </c>
      <c r="H197" s="71" t="str">
        <f>IF(D197="","",IFERROR(VLOOKUP(D197,'Portfolio List'!$B$4:$I$76,4,FALSE()),""))</f>
        <v/>
      </c>
      <c r="I197" s="91"/>
      <c r="J197" s="84" t="str">
        <f t="shared" si="39"/>
        <v/>
      </c>
      <c r="K197" s="91"/>
      <c r="L197" s="85"/>
      <c r="M197" s="97"/>
      <c r="N197" s="180"/>
      <c r="O197" s="92"/>
      <c r="P197" s="87">
        <f>IF(D197="",0,IF(I197="LED Lighting",M197*IF(AC197="Studio",Assumptions!$C$15,IF(AC197="1 Bedroom",Assumptions!$C$16,IF(AC197="2 Bedroom",Assumptions!$C$17,IF(AC197="3 Bedroom",Assumptions!$C$18,Assumptions!$C$16))))*N197*365/1000,IFERROR(VLOOKUP(I197,Assumptions!$B$40:$H$50,2,FALSE()),0)*M197))</f>
        <v>0</v>
      </c>
      <c r="Q197" s="87">
        <f>IF(D197="",0,IFERROR(VLOOKUP(I197,Assumptions!$B$40:$H$50,3,FALSE()),0)*M197)</f>
        <v>0</v>
      </c>
      <c r="R197" s="77">
        <f>IF(G197="",0.2161,IFERROR(VLOOKUP(G197,Assumptions!$B$53:$C$61,2,FALSE())/100,0.2161))</f>
        <v>0.21609999999999999</v>
      </c>
      <c r="S197" s="77">
        <f>IF(G197="",0,IFERROR(VLOOKUP(G197,Assumptions!$B$64:$C$72,2,FALSE())/1000,0.008))</f>
        <v>0</v>
      </c>
      <c r="T197" s="93" t="str">
        <f t="shared" si="41"/>
        <v/>
      </c>
      <c r="U197" s="93" t="str">
        <f t="shared" si="42"/>
        <v/>
      </c>
      <c r="V197" s="93" t="str">
        <f t="shared" si="43"/>
        <v/>
      </c>
      <c r="W197" s="94" t="str">
        <f t="shared" si="44"/>
        <v/>
      </c>
      <c r="X197" s="88"/>
      <c r="Y197" s="87" t="str">
        <f>IF(D197="","",IFERROR(VLOOKUP(I197,Assumptions!$B$40:$H$50,6,FALSE()),0)*M197)</f>
        <v/>
      </c>
      <c r="Z197" s="87" t="str">
        <f>IF(D197="","",IFERROR(VLOOKUP(I197,Assumptions!$B$40:$H$50,7,FALSE()),0)*M197)</f>
        <v/>
      </c>
      <c r="AA197" s="96" t="str">
        <f t="shared" si="45"/>
        <v/>
      </c>
      <c r="AB197" s="84" t="str">
        <f t="shared" si="46"/>
        <v/>
      </c>
      <c r="AC197" s="99"/>
      <c r="AD197" s="99"/>
      <c r="AE197" s="99"/>
      <c r="AF197" s="98" t="str">
        <f t="shared" si="47"/>
        <v>-</v>
      </c>
    </row>
    <row r="198" spans="2:32" ht="14.25" customHeight="1" thickBot="1" x14ac:dyDescent="0.4">
      <c r="B198" s="84" t="str">
        <f t="shared" si="40"/>
        <v/>
      </c>
      <c r="C198" s="85"/>
      <c r="D198" s="91"/>
      <c r="E198" s="68" t="str">
        <f>IF(D198="","",IFERROR(VLOOKUP(D198,'Portfolio List'!$B$4:$I$76,5,FALSE()),""))</f>
        <v/>
      </c>
      <c r="F198" s="68" t="str">
        <f>IF(D198="","",IFERROR(VLOOKUP(D198,'Portfolio List'!$B$4:$I$76,6,FALSE()),""))</f>
        <v/>
      </c>
      <c r="G198" s="68" t="str">
        <f>IF(D198="","",IFERROR(VLOOKUP(D198,'Portfolio List'!$B$4:$I$76,7,FALSE()),""))</f>
        <v/>
      </c>
      <c r="H198" s="71" t="str">
        <f>IF(D198="","",IFERROR(VLOOKUP(D198,'Portfolio List'!$B$4:$I$76,4,FALSE()),""))</f>
        <v/>
      </c>
      <c r="I198" s="91"/>
      <c r="J198" s="84" t="str">
        <f t="shared" si="39"/>
        <v/>
      </c>
      <c r="K198" s="91"/>
      <c r="L198" s="85"/>
      <c r="M198" s="97"/>
      <c r="N198" s="180"/>
      <c r="O198" s="92"/>
      <c r="P198" s="87">
        <f>IF(D198="",0,IF(I198="LED Lighting",M198*IF(AC198="Studio",Assumptions!$C$15,IF(AC198="1 Bedroom",Assumptions!$C$16,IF(AC198="2 Bedroom",Assumptions!$C$17,IF(AC198="3 Bedroom",Assumptions!$C$18,Assumptions!$C$16))))*N198*365/1000,IFERROR(VLOOKUP(I198,Assumptions!$B$40:$H$50,2,FALSE()),0)*M198))</f>
        <v>0</v>
      </c>
      <c r="Q198" s="87">
        <f>IF(D198="",0,IFERROR(VLOOKUP(I198,Assumptions!$B$40:$H$50,3,FALSE()),0)*M198)</f>
        <v>0</v>
      </c>
      <c r="R198" s="77">
        <f>IF(G198="",0.2161,IFERROR(VLOOKUP(G198,Assumptions!$B$53:$C$61,2,FALSE())/100,0.2161))</f>
        <v>0.21609999999999999</v>
      </c>
      <c r="S198" s="77">
        <f>IF(G198="",0,IFERROR(VLOOKUP(G198,Assumptions!$B$64:$C$72,2,FALSE())/1000,0.008))</f>
        <v>0</v>
      </c>
      <c r="T198" s="93" t="str">
        <f t="shared" ref="T198:T205" si="48">IF(D198="","",P198*R198)</f>
        <v/>
      </c>
      <c r="U198" s="93" t="str">
        <f t="shared" ref="U198:U205" si="49">IF(D198="","",Q198*S198)</f>
        <v/>
      </c>
      <c r="V198" s="93" t="str">
        <f t="shared" ref="V198:V205" si="50">IF(D198="","",T198+U198)</f>
        <v/>
      </c>
      <c r="W198" s="94" t="str">
        <f t="shared" ref="W198:W205" si="51">IF(OR(D198="",O198="",O198&lt;=0,V198="",V198&lt;=0),"",IFERROR(O198/V198,""))</f>
        <v/>
      </c>
      <c r="X198" s="88"/>
      <c r="Y198" s="87" t="str">
        <f>IF(D198="","",IFERROR(VLOOKUP(I198,Assumptions!$B$40:$H$50,6,FALSE()),0)*M198)</f>
        <v/>
      </c>
      <c r="Z198" s="87" t="str">
        <f>IF(D198="","",IFERROR(VLOOKUP(I198,Assumptions!$B$40:$H$50,7,FALSE()),0)*M198)</f>
        <v/>
      </c>
      <c r="AA198" s="96" t="str">
        <f t="shared" ref="AA198:AA205" si="52">IF(L198="","",YEAR(L198))</f>
        <v/>
      </c>
      <c r="AB198" s="84" t="str">
        <f t="shared" ref="AB198:AB205" si="53">IF(L198="","","Q"&amp;INT((MONTH(L198)+2)/3))</f>
        <v/>
      </c>
      <c r="AC198" s="99"/>
      <c r="AD198" s="99"/>
      <c r="AE198" s="99"/>
      <c r="AF198" s="98" t="str">
        <f t="shared" ref="AF198:AF205" si="54">IFERROR(AE198/AD198,"-")</f>
        <v>-</v>
      </c>
    </row>
    <row r="199" spans="2:32" ht="14.25" customHeight="1" thickBot="1" x14ac:dyDescent="0.4">
      <c r="B199" s="84" t="str">
        <f t="shared" si="40"/>
        <v/>
      </c>
      <c r="C199" s="85"/>
      <c r="D199" s="91"/>
      <c r="E199" s="68" t="str">
        <f>IF(D199="","",IFERROR(VLOOKUP(D199,'Portfolio List'!$B$4:$I$76,5,FALSE()),""))</f>
        <v/>
      </c>
      <c r="F199" s="68" t="str">
        <f>IF(D199="","",IFERROR(VLOOKUP(D199,'Portfolio List'!$B$4:$I$76,6,FALSE()),""))</f>
        <v/>
      </c>
      <c r="G199" s="68" t="str">
        <f>IF(D199="","",IFERROR(VLOOKUP(D199,'Portfolio List'!$B$4:$I$76,7,FALSE()),""))</f>
        <v/>
      </c>
      <c r="H199" s="71" t="str">
        <f>IF(D199="","",IFERROR(VLOOKUP(D199,'Portfolio List'!$B$4:$I$76,4,FALSE()),""))</f>
        <v/>
      </c>
      <c r="I199" s="91"/>
      <c r="J199" s="84" t="str">
        <f t="shared" ref="J199:J205" si="55">IF(I199="","",IF(OR(I199="LED Lighting",I199="Energy Star Refrigerator",I199="Energy Star Range",I199="Energy Star AC Unit"),"Energy",IF(OR(I199="Low-Flow Toilet",I199="Low-Flow Faucet (Bathroom)",I199="Low-Flow Faucet (Kitchen)",I199="Low-Flow Shower Head"),"Water",IF(OR(I199="Energy Star Dishwasher",I199="Energy Star Washer/Dryer"),"Both","Other"))))</f>
        <v/>
      </c>
      <c r="K199" s="91"/>
      <c r="L199" s="85"/>
      <c r="M199" s="97"/>
      <c r="N199" s="180"/>
      <c r="O199" s="92"/>
      <c r="P199" s="87">
        <f>IF(D199="",0,IF(I199="LED Lighting",M199*IF(AC199="Studio",Assumptions!$C$15,IF(AC199="1 Bedroom",Assumptions!$C$16,IF(AC199="2 Bedroom",Assumptions!$C$17,IF(AC199="3 Bedroom",Assumptions!$C$18,Assumptions!$C$16))))*N199*365/1000,IFERROR(VLOOKUP(I199,Assumptions!$B$40:$H$50,2,FALSE()),0)*M199))</f>
        <v>0</v>
      </c>
      <c r="Q199" s="87">
        <f>IF(D199="",0,IFERROR(VLOOKUP(I199,Assumptions!$B$40:$H$50,3,FALSE()),0)*M199)</f>
        <v>0</v>
      </c>
      <c r="R199" s="77">
        <f>IF(G199="",0.2161,IFERROR(VLOOKUP(G199,Assumptions!$B$53:$C$61,2,FALSE())/100,0.2161))</f>
        <v>0.21609999999999999</v>
      </c>
      <c r="S199" s="77">
        <f>IF(G199="",0,IFERROR(VLOOKUP(G199,Assumptions!$B$64:$C$72,2,FALSE())/1000,0.008))</f>
        <v>0</v>
      </c>
      <c r="T199" s="93" t="str">
        <f t="shared" si="48"/>
        <v/>
      </c>
      <c r="U199" s="93" t="str">
        <f t="shared" si="49"/>
        <v/>
      </c>
      <c r="V199" s="93" t="str">
        <f t="shared" si="50"/>
        <v/>
      </c>
      <c r="W199" s="94" t="str">
        <f t="shared" si="51"/>
        <v/>
      </c>
      <c r="X199" s="88"/>
      <c r="Y199" s="87" t="str">
        <f>IF(D199="","",IFERROR(VLOOKUP(I199,Assumptions!$B$40:$H$50,6,FALSE()),0)*M199)</f>
        <v/>
      </c>
      <c r="Z199" s="87" t="str">
        <f>IF(D199="","",IFERROR(VLOOKUP(I199,Assumptions!$B$40:$H$50,7,FALSE()),0)*M199)</f>
        <v/>
      </c>
      <c r="AA199" s="96" t="str">
        <f t="shared" si="52"/>
        <v/>
      </c>
      <c r="AB199" s="84" t="str">
        <f t="shared" si="53"/>
        <v/>
      </c>
      <c r="AC199" s="99"/>
      <c r="AD199" s="99"/>
      <c r="AE199" s="99"/>
      <c r="AF199" s="98" t="str">
        <f t="shared" si="54"/>
        <v>-</v>
      </c>
    </row>
    <row r="200" spans="2:32" ht="14.25" customHeight="1" thickBot="1" x14ac:dyDescent="0.4">
      <c r="B200" s="84" t="str">
        <f t="shared" ref="B200:B205" si="56">IF($D200="","",B199+1)</f>
        <v/>
      </c>
      <c r="C200" s="85"/>
      <c r="D200" s="91"/>
      <c r="E200" s="68" t="str">
        <f>IF(D200="","",IFERROR(VLOOKUP(D200,'Portfolio List'!$B$4:$I$76,5,FALSE()),""))</f>
        <v/>
      </c>
      <c r="F200" s="68" t="str">
        <f>IF(D200="","",IFERROR(VLOOKUP(D200,'Portfolio List'!$B$4:$I$76,6,FALSE()),""))</f>
        <v/>
      </c>
      <c r="G200" s="68" t="str">
        <f>IF(D200="","",IFERROR(VLOOKUP(D200,'Portfolio List'!$B$4:$I$76,7,FALSE()),""))</f>
        <v/>
      </c>
      <c r="H200" s="71" t="str">
        <f>IF(D200="","",IFERROR(VLOOKUP(D200,'Portfolio List'!$B$4:$I$76,4,FALSE()),""))</f>
        <v/>
      </c>
      <c r="I200" s="91"/>
      <c r="J200" s="84" t="str">
        <f t="shared" si="55"/>
        <v/>
      </c>
      <c r="K200" s="91"/>
      <c r="L200" s="85"/>
      <c r="M200" s="97"/>
      <c r="N200" s="180"/>
      <c r="O200" s="92"/>
      <c r="P200" s="87">
        <f>IF(D200="",0,IF(I200="LED Lighting",M200*IF(AC200="Studio",Assumptions!$C$15,IF(AC200="1 Bedroom",Assumptions!$C$16,IF(AC200="2 Bedroom",Assumptions!$C$17,IF(AC200="3 Bedroom",Assumptions!$C$18,Assumptions!$C$16))))*N200*365/1000,IFERROR(VLOOKUP(I200,Assumptions!$B$40:$H$50,2,FALSE()),0)*M200))</f>
        <v>0</v>
      </c>
      <c r="Q200" s="87">
        <f>IF(D200="",0,IFERROR(VLOOKUP(I200,Assumptions!$B$40:$H$50,3,FALSE()),0)*M200)</f>
        <v>0</v>
      </c>
      <c r="R200" s="77">
        <f>IF(G200="",0.2161,IFERROR(VLOOKUP(G200,Assumptions!$B$53:$C$61,2,FALSE())/100,0.2161))</f>
        <v>0.21609999999999999</v>
      </c>
      <c r="S200" s="77">
        <f>IF(G200="",0,IFERROR(VLOOKUP(G200,Assumptions!$B$64:$C$72,2,FALSE())/1000,0.008))</f>
        <v>0</v>
      </c>
      <c r="T200" s="93" t="str">
        <f t="shared" si="48"/>
        <v/>
      </c>
      <c r="U200" s="93" t="str">
        <f t="shared" si="49"/>
        <v/>
      </c>
      <c r="V200" s="93" t="str">
        <f t="shared" si="50"/>
        <v/>
      </c>
      <c r="W200" s="94" t="str">
        <f t="shared" si="51"/>
        <v/>
      </c>
      <c r="X200" s="88"/>
      <c r="Y200" s="87" t="str">
        <f>IF(D200="","",IFERROR(VLOOKUP(I200,Assumptions!$B$40:$H$50,6,FALSE()),0)*M200)</f>
        <v/>
      </c>
      <c r="Z200" s="87" t="str">
        <f>IF(D200="","",IFERROR(VLOOKUP(I200,Assumptions!$B$40:$H$50,7,FALSE()),0)*M200)</f>
        <v/>
      </c>
      <c r="AA200" s="96" t="str">
        <f t="shared" si="52"/>
        <v/>
      </c>
      <c r="AB200" s="84" t="str">
        <f t="shared" si="53"/>
        <v/>
      </c>
      <c r="AC200" s="99"/>
      <c r="AD200" s="99"/>
      <c r="AE200" s="99"/>
      <c r="AF200" s="98" t="str">
        <f t="shared" si="54"/>
        <v>-</v>
      </c>
    </row>
    <row r="201" spans="2:32" ht="14.25" customHeight="1" thickBot="1" x14ac:dyDescent="0.4">
      <c r="B201" s="84" t="str">
        <f t="shared" si="56"/>
        <v/>
      </c>
      <c r="C201" s="85"/>
      <c r="D201" s="91"/>
      <c r="E201" s="68" t="str">
        <f>IF(D201="","",IFERROR(VLOOKUP(D201,'Portfolio List'!$B$4:$I$76,5,FALSE()),""))</f>
        <v/>
      </c>
      <c r="F201" s="68" t="str">
        <f>IF(D201="","",IFERROR(VLOOKUP(D201,'Portfolio List'!$B$4:$I$76,6,FALSE()),""))</f>
        <v/>
      </c>
      <c r="G201" s="68" t="str">
        <f>IF(D201="","",IFERROR(VLOOKUP(D201,'Portfolio List'!$B$4:$I$76,7,FALSE()),""))</f>
        <v/>
      </c>
      <c r="H201" s="71" t="str">
        <f>IF(D201="","",IFERROR(VLOOKUP(D201,'Portfolio List'!$B$4:$I$76,4,FALSE()),""))</f>
        <v/>
      </c>
      <c r="I201" s="91"/>
      <c r="J201" s="84" t="str">
        <f t="shared" si="55"/>
        <v/>
      </c>
      <c r="K201" s="91"/>
      <c r="L201" s="85"/>
      <c r="M201" s="97"/>
      <c r="N201" s="180"/>
      <c r="O201" s="92"/>
      <c r="P201" s="87">
        <f>IF(D201="",0,IF(I201="LED Lighting",M201*IF(AC201="Studio",Assumptions!$C$15,IF(AC201="1 Bedroom",Assumptions!$C$16,IF(AC201="2 Bedroom",Assumptions!$C$17,IF(AC201="3 Bedroom",Assumptions!$C$18,Assumptions!$C$16))))*N201*365/1000,IFERROR(VLOOKUP(I201,Assumptions!$B$40:$H$50,2,FALSE()),0)*M201))</f>
        <v>0</v>
      </c>
      <c r="Q201" s="87">
        <f>IF(D201="",0,IFERROR(VLOOKUP(I201,Assumptions!$B$40:$H$50,3,FALSE()),0)*M201)</f>
        <v>0</v>
      </c>
      <c r="R201" s="77">
        <f>IF(G201="",0.2161,IFERROR(VLOOKUP(G201,Assumptions!$B$53:$C$61,2,FALSE())/100,0.2161))</f>
        <v>0.21609999999999999</v>
      </c>
      <c r="S201" s="77">
        <f>IF(G201="",0,IFERROR(VLOOKUP(G201,Assumptions!$B$64:$C$72,2,FALSE())/1000,0.008))</f>
        <v>0</v>
      </c>
      <c r="T201" s="93" t="str">
        <f t="shared" si="48"/>
        <v/>
      </c>
      <c r="U201" s="93" t="str">
        <f t="shared" si="49"/>
        <v/>
      </c>
      <c r="V201" s="93" t="str">
        <f t="shared" si="50"/>
        <v/>
      </c>
      <c r="W201" s="94" t="str">
        <f t="shared" si="51"/>
        <v/>
      </c>
      <c r="X201" s="88"/>
      <c r="Y201" s="87" t="str">
        <f>IF(D201="","",IFERROR(VLOOKUP(I201,Assumptions!$B$40:$H$50,6,FALSE()),0)*M201)</f>
        <v/>
      </c>
      <c r="Z201" s="87" t="str">
        <f>IF(D201="","",IFERROR(VLOOKUP(I201,Assumptions!$B$40:$H$50,7,FALSE()),0)*M201)</f>
        <v/>
      </c>
      <c r="AA201" s="96" t="str">
        <f t="shared" si="52"/>
        <v/>
      </c>
      <c r="AB201" s="84" t="str">
        <f t="shared" si="53"/>
        <v/>
      </c>
      <c r="AC201" s="99"/>
      <c r="AD201" s="99"/>
      <c r="AE201" s="99"/>
      <c r="AF201" s="98" t="str">
        <f t="shared" si="54"/>
        <v>-</v>
      </c>
    </row>
    <row r="202" spans="2:32" ht="14.25" customHeight="1" thickBot="1" x14ac:dyDescent="0.4">
      <c r="B202" s="84" t="str">
        <f t="shared" si="56"/>
        <v/>
      </c>
      <c r="C202" s="85"/>
      <c r="D202" s="91"/>
      <c r="E202" s="68" t="str">
        <f>IF(D202="","",IFERROR(VLOOKUP(D202,'Portfolio List'!$B$4:$I$76,5,FALSE()),""))</f>
        <v/>
      </c>
      <c r="F202" s="68" t="str">
        <f>IF(D202="","",IFERROR(VLOOKUP(D202,'Portfolio List'!$B$4:$I$76,6,FALSE()),""))</f>
        <v/>
      </c>
      <c r="G202" s="68" t="str">
        <f>IF(D202="","",IFERROR(VLOOKUP(D202,'Portfolio List'!$B$4:$I$76,7,FALSE()),""))</f>
        <v/>
      </c>
      <c r="H202" s="71" t="str">
        <f>IF(D202="","",IFERROR(VLOOKUP(D202,'Portfolio List'!$B$4:$I$76,4,FALSE()),""))</f>
        <v/>
      </c>
      <c r="I202" s="91"/>
      <c r="J202" s="84" t="str">
        <f t="shared" si="55"/>
        <v/>
      </c>
      <c r="K202" s="91"/>
      <c r="L202" s="85"/>
      <c r="M202" s="97"/>
      <c r="N202" s="180"/>
      <c r="O202" s="92"/>
      <c r="P202" s="87">
        <f>IF(D202="",0,IF(I202="LED Lighting",M202*IF(AC202="Studio",Assumptions!$C$15,IF(AC202="1 Bedroom",Assumptions!$C$16,IF(AC202="2 Bedroom",Assumptions!$C$17,IF(AC202="3 Bedroom",Assumptions!$C$18,Assumptions!$C$16))))*N202*365/1000,IFERROR(VLOOKUP(I202,Assumptions!$B$40:$H$50,2,FALSE()),0)*M202))</f>
        <v>0</v>
      </c>
      <c r="Q202" s="87">
        <f>IF(D202="",0,IFERROR(VLOOKUP(I202,Assumptions!$B$40:$H$50,3,FALSE()),0)*M202)</f>
        <v>0</v>
      </c>
      <c r="R202" s="77">
        <f>IF(G202="",0.2161,IFERROR(VLOOKUP(G202,Assumptions!$B$53:$C$61,2,FALSE())/100,0.2161))</f>
        <v>0.21609999999999999</v>
      </c>
      <c r="S202" s="77">
        <f>IF(G202="",0,IFERROR(VLOOKUP(G202,Assumptions!$B$64:$C$72,2,FALSE())/1000,0.008))</f>
        <v>0</v>
      </c>
      <c r="T202" s="93" t="str">
        <f t="shared" si="48"/>
        <v/>
      </c>
      <c r="U202" s="93" t="str">
        <f t="shared" si="49"/>
        <v/>
      </c>
      <c r="V202" s="93" t="str">
        <f t="shared" si="50"/>
        <v/>
      </c>
      <c r="W202" s="94" t="str">
        <f t="shared" si="51"/>
        <v/>
      </c>
      <c r="X202" s="88"/>
      <c r="Y202" s="87" t="str">
        <f>IF(D202="","",IFERROR(VLOOKUP(I202,Assumptions!$B$40:$H$50,6,FALSE()),0)*M202)</f>
        <v/>
      </c>
      <c r="Z202" s="87" t="str">
        <f>IF(D202="","",IFERROR(VLOOKUP(I202,Assumptions!$B$40:$H$50,7,FALSE()),0)*M202)</f>
        <v/>
      </c>
      <c r="AA202" s="96" t="str">
        <f t="shared" si="52"/>
        <v/>
      </c>
      <c r="AB202" s="84" t="str">
        <f t="shared" si="53"/>
        <v/>
      </c>
      <c r="AC202" s="99"/>
      <c r="AD202" s="99"/>
      <c r="AE202" s="99"/>
      <c r="AF202" s="98" t="str">
        <f t="shared" si="54"/>
        <v>-</v>
      </c>
    </row>
    <row r="203" spans="2:32" ht="14.25" customHeight="1" thickBot="1" x14ac:dyDescent="0.4">
      <c r="B203" s="84" t="str">
        <f t="shared" si="56"/>
        <v/>
      </c>
      <c r="C203" s="85"/>
      <c r="D203" s="91"/>
      <c r="E203" s="68" t="str">
        <f>IF(D203="","",IFERROR(VLOOKUP(D203,'Portfolio List'!$B$4:$I$76,5,FALSE()),""))</f>
        <v/>
      </c>
      <c r="F203" s="68" t="str">
        <f>IF(D203="","",IFERROR(VLOOKUP(D203,'Portfolio List'!$B$4:$I$76,6,FALSE()),""))</f>
        <v/>
      </c>
      <c r="G203" s="68" t="str">
        <f>IF(D203="","",IFERROR(VLOOKUP(D203,'Portfolio List'!$B$4:$I$76,7,FALSE()),""))</f>
        <v/>
      </c>
      <c r="H203" s="71" t="str">
        <f>IF(D203="","",IFERROR(VLOOKUP(D203,'Portfolio List'!$B$4:$I$76,4,FALSE()),""))</f>
        <v/>
      </c>
      <c r="I203" s="91"/>
      <c r="J203" s="84" t="str">
        <f t="shared" si="55"/>
        <v/>
      </c>
      <c r="K203" s="91"/>
      <c r="L203" s="85"/>
      <c r="M203" s="97"/>
      <c r="N203" s="180"/>
      <c r="O203" s="92"/>
      <c r="P203" s="87">
        <f>IF(D203="",0,IF(I203="LED Lighting",M203*IF(AC203="Studio",Assumptions!$C$15,IF(AC203="1 Bedroom",Assumptions!$C$16,IF(AC203="2 Bedroom",Assumptions!$C$17,IF(AC203="3 Bedroom",Assumptions!$C$18,Assumptions!$C$16))))*N203*365/1000,IFERROR(VLOOKUP(I203,Assumptions!$B$40:$H$50,2,FALSE()),0)*M203))</f>
        <v>0</v>
      </c>
      <c r="Q203" s="87">
        <f>IF(D203="",0,IFERROR(VLOOKUP(I203,Assumptions!$B$40:$H$50,3,FALSE()),0)*M203)</f>
        <v>0</v>
      </c>
      <c r="R203" s="77">
        <f>IF(G203="",0.2161,IFERROR(VLOOKUP(G203,Assumptions!$B$53:$C$61,2,FALSE())/100,0.2161))</f>
        <v>0.21609999999999999</v>
      </c>
      <c r="S203" s="77">
        <f>IF(G203="",0,IFERROR(VLOOKUP(G203,Assumptions!$B$64:$C$72,2,FALSE())/1000,0.008))</f>
        <v>0</v>
      </c>
      <c r="T203" s="93" t="str">
        <f t="shared" si="48"/>
        <v/>
      </c>
      <c r="U203" s="93" t="str">
        <f t="shared" si="49"/>
        <v/>
      </c>
      <c r="V203" s="93" t="str">
        <f t="shared" si="50"/>
        <v/>
      </c>
      <c r="W203" s="94" t="str">
        <f t="shared" si="51"/>
        <v/>
      </c>
      <c r="X203" s="88"/>
      <c r="Y203" s="87" t="str">
        <f>IF(D203="","",IFERROR(VLOOKUP(I203,Assumptions!$B$40:$H$50,6,FALSE()),0)*M203)</f>
        <v/>
      </c>
      <c r="Z203" s="87" t="str">
        <f>IF(D203="","",IFERROR(VLOOKUP(I203,Assumptions!$B$40:$H$50,7,FALSE()),0)*M203)</f>
        <v/>
      </c>
      <c r="AA203" s="96" t="str">
        <f t="shared" si="52"/>
        <v/>
      </c>
      <c r="AB203" s="84" t="str">
        <f t="shared" si="53"/>
        <v/>
      </c>
      <c r="AC203" s="99"/>
      <c r="AD203" s="99"/>
      <c r="AE203" s="99"/>
      <c r="AF203" s="98" t="str">
        <f t="shared" si="54"/>
        <v>-</v>
      </c>
    </row>
    <row r="204" spans="2:32" ht="14.25" customHeight="1" thickBot="1" x14ac:dyDescent="0.4">
      <c r="B204" s="84" t="str">
        <f t="shared" si="56"/>
        <v/>
      </c>
      <c r="C204" s="85"/>
      <c r="D204" s="91"/>
      <c r="E204" s="68" t="str">
        <f>IF(D204="","",IFERROR(VLOOKUP(D204,'Portfolio List'!$B$4:$I$76,5,FALSE()),""))</f>
        <v/>
      </c>
      <c r="F204" s="68" t="str">
        <f>IF(D204="","",IFERROR(VLOOKUP(D204,'Portfolio List'!$B$4:$I$76,6,FALSE()),""))</f>
        <v/>
      </c>
      <c r="G204" s="68" t="str">
        <f>IF(D204="","",IFERROR(VLOOKUP(D204,'Portfolio List'!$B$4:$I$76,7,FALSE()),""))</f>
        <v/>
      </c>
      <c r="H204" s="71" t="str">
        <f>IF(D204="","",IFERROR(VLOOKUP(D204,'Portfolio List'!$B$4:$I$76,4,FALSE()),""))</f>
        <v/>
      </c>
      <c r="I204" s="91"/>
      <c r="J204" s="84" t="str">
        <f t="shared" si="55"/>
        <v/>
      </c>
      <c r="K204" s="91"/>
      <c r="L204" s="85"/>
      <c r="M204" s="97"/>
      <c r="N204" s="180"/>
      <c r="O204" s="92"/>
      <c r="P204" s="87">
        <f>IF(D204="",0,IF(I204="LED Lighting",M204*IF(AC204="Studio",Assumptions!$C$15,IF(AC204="1 Bedroom",Assumptions!$C$16,IF(AC204="2 Bedroom",Assumptions!$C$17,IF(AC204="3 Bedroom",Assumptions!$C$18,Assumptions!$C$16))))*N204*365/1000,IFERROR(VLOOKUP(I204,Assumptions!$B$40:$H$50,2,FALSE()),0)*M204))</f>
        <v>0</v>
      </c>
      <c r="Q204" s="87">
        <f>IF(D204="",0,IFERROR(VLOOKUP(I204,Assumptions!$B$40:$H$50,3,FALSE()),0)*M204)</f>
        <v>0</v>
      </c>
      <c r="R204" s="77">
        <f>IF(G204="",0.2161,IFERROR(VLOOKUP(G204,Assumptions!$B$53:$C$61,2,FALSE())/100,0.2161))</f>
        <v>0.21609999999999999</v>
      </c>
      <c r="S204" s="77">
        <f>IF(G204="",0,IFERROR(VLOOKUP(G204,Assumptions!$B$64:$C$72,2,FALSE())/1000,0.008))</f>
        <v>0</v>
      </c>
      <c r="T204" s="93" t="str">
        <f t="shared" si="48"/>
        <v/>
      </c>
      <c r="U204" s="93" t="str">
        <f t="shared" si="49"/>
        <v/>
      </c>
      <c r="V204" s="93" t="str">
        <f t="shared" si="50"/>
        <v/>
      </c>
      <c r="W204" s="94" t="str">
        <f t="shared" si="51"/>
        <v/>
      </c>
      <c r="X204" s="88"/>
      <c r="Y204" s="87" t="str">
        <f>IF(D204="","",IFERROR(VLOOKUP(I204,Assumptions!$B$40:$H$50,6,FALSE()),0)*M204)</f>
        <v/>
      </c>
      <c r="Z204" s="87" t="str">
        <f>IF(D204="","",IFERROR(VLOOKUP(I204,Assumptions!$B$40:$H$50,7,FALSE()),0)*M204)</f>
        <v/>
      </c>
      <c r="AA204" s="96" t="str">
        <f t="shared" si="52"/>
        <v/>
      </c>
      <c r="AB204" s="84" t="str">
        <f t="shared" si="53"/>
        <v/>
      </c>
      <c r="AC204" s="99"/>
      <c r="AD204" s="99"/>
      <c r="AE204" s="99"/>
      <c r="AF204" s="98" t="str">
        <f t="shared" si="54"/>
        <v>-</v>
      </c>
    </row>
    <row r="205" spans="2:32" ht="14.25" customHeight="1" x14ac:dyDescent="0.35">
      <c r="B205" s="84" t="str">
        <f t="shared" si="56"/>
        <v/>
      </c>
      <c r="C205" s="85"/>
      <c r="D205" s="91"/>
      <c r="E205" s="68" t="str">
        <f>IF(D205="","",IFERROR(VLOOKUP(D205,'Portfolio List'!$B$4:$I$76,5,FALSE()),""))</f>
        <v/>
      </c>
      <c r="F205" s="68" t="str">
        <f>IF(D205="","",IFERROR(VLOOKUP(D205,'Portfolio List'!$B$4:$I$76,6,FALSE()),""))</f>
        <v/>
      </c>
      <c r="G205" s="68" t="str">
        <f>IF(D205="","",IFERROR(VLOOKUP(D205,'Portfolio List'!$B$4:$I$76,7,FALSE()),""))</f>
        <v/>
      </c>
      <c r="H205" s="71" t="str">
        <f>IF(D205="","",IFERROR(VLOOKUP(D205,'Portfolio List'!$B$4:$I$76,4,FALSE()),""))</f>
        <v/>
      </c>
      <c r="I205" s="91"/>
      <c r="J205" s="84" t="str">
        <f t="shared" si="55"/>
        <v/>
      </c>
      <c r="K205" s="91"/>
      <c r="L205" s="85"/>
      <c r="M205" s="97"/>
      <c r="N205" s="180"/>
      <c r="O205" s="92"/>
      <c r="P205" s="87">
        <f>IF(D205="",0,IF(I205="LED Lighting",M205*IF(AC205="Studio",Assumptions!$C$15,IF(AC205="1 Bedroom",Assumptions!$C$16,IF(AC205="2 Bedroom",Assumptions!$C$17,IF(AC205="3 Bedroom",Assumptions!$C$18,Assumptions!$C$16))))*N205*365/1000,IFERROR(VLOOKUP(I205,Assumptions!$B$40:$H$50,2,FALSE()),0)*M205))</f>
        <v>0</v>
      </c>
      <c r="Q205" s="87">
        <f>IF(D205="",0,IFERROR(VLOOKUP(I205,Assumptions!$B$40:$H$50,3,FALSE()),0)*M205)</f>
        <v>0</v>
      </c>
      <c r="R205" s="77">
        <f>IF(G205="",0.2161,IFERROR(VLOOKUP(G205,Assumptions!$B$53:$C$61,2,FALSE())/100,0.2161))</f>
        <v>0.21609999999999999</v>
      </c>
      <c r="S205" s="77">
        <f>IF(G205="",0,IFERROR(VLOOKUP(G205,Assumptions!$B$64:$C$72,2,FALSE())/1000,0.008))</f>
        <v>0</v>
      </c>
      <c r="T205" s="93" t="str">
        <f t="shared" si="48"/>
        <v/>
      </c>
      <c r="U205" s="93" t="str">
        <f t="shared" si="49"/>
        <v/>
      </c>
      <c r="V205" s="93" t="str">
        <f t="shared" si="50"/>
        <v/>
      </c>
      <c r="W205" s="94" t="str">
        <f t="shared" si="51"/>
        <v/>
      </c>
      <c r="X205" s="88"/>
      <c r="Y205" s="87" t="str">
        <f>IF(D205="","",IFERROR(VLOOKUP(I205,Assumptions!$B$40:$H$50,6,FALSE()),0)*M205)</f>
        <v/>
      </c>
      <c r="Z205" s="87" t="str">
        <f>IF(D205="","",IFERROR(VLOOKUP(I205,Assumptions!$B$40:$H$50,7,FALSE()),0)*M205)</f>
        <v/>
      </c>
      <c r="AA205" s="96" t="str">
        <f t="shared" si="52"/>
        <v/>
      </c>
      <c r="AB205" s="84" t="str">
        <f t="shared" si="53"/>
        <v/>
      </c>
      <c r="AC205" s="99"/>
      <c r="AD205" s="99"/>
      <c r="AE205" s="99"/>
      <c r="AF205" s="98" t="str">
        <f t="shared" si="54"/>
        <v>-</v>
      </c>
    </row>
  </sheetData>
  <mergeCells count="10">
    <mergeCell ref="B2:AF2"/>
    <mergeCell ref="Y4:Z4"/>
    <mergeCell ref="AC4:AF4"/>
    <mergeCell ref="B3:X3"/>
    <mergeCell ref="D4:H4"/>
    <mergeCell ref="I4:J4"/>
    <mergeCell ref="K4:L4"/>
    <mergeCell ref="M4:N4"/>
    <mergeCell ref="P4:S4"/>
    <mergeCell ref="T4:V4"/>
  </mergeCells>
  <dataValidations count="2">
    <dataValidation type="list" operator="equal" allowBlank="1" sqref="K6:K205" xr:uid="{00000000-0002-0000-0200-000001000000}">
      <formula1>"Planned,In Progress,Completed"</formula1>
      <formula2>0</formula2>
    </dataValidation>
    <dataValidation type="list" operator="equal" allowBlank="1" showErrorMessage="1" errorTitle="Invalid Unit Type" error="Select a unit type from the list." sqref="AC6:AC205" xr:uid="{00000000-0002-0000-0200-000003000000}">
      <formula1>"Studio,1 Bedroom,2 Bedroom,3 Bedroom,Mixed,Common Area"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error="Select an initiative type from the dropdown." xr:uid="{00000000-0002-0000-0200-000000000000}">
          <x14:formula1>
            <xm:f>Assumptions!$B$40:$B$50</xm:f>
          </x14:formula1>
          <xm:sqref>I6:I205</xm:sqref>
        </x14:dataValidation>
        <x14:dataValidation type="list" allowBlank="1" showInputMessage="1" showErrorMessage="1" xr:uid="{2419091A-EC9C-488B-8A52-32CCFCCBCDBA}">
          <x14:formula1>
            <xm:f>'Portfolio List'!$B$4:$B$76</xm:f>
          </x14:formula1>
          <xm:sqref>D6:D1048576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D9F1"/>
  </sheetPr>
  <dimension ref="B1:K81"/>
  <sheetViews>
    <sheetView zoomScaleNormal="100" workbookViewId="0">
      <selection activeCell="C54" sqref="C54"/>
    </sheetView>
  </sheetViews>
  <sheetFormatPr defaultColWidth="8.6328125" defaultRowHeight="14.5" x14ac:dyDescent="0.35"/>
  <cols>
    <col min="1" max="1" width="3.453125" customWidth="1"/>
    <col min="2" max="2" width="28" customWidth="1"/>
    <col min="3" max="5" width="14" customWidth="1"/>
    <col min="6" max="6" width="12" customWidth="1"/>
    <col min="7" max="7" width="18.36328125" customWidth="1"/>
    <col min="8" max="8" width="16" customWidth="1"/>
    <col min="9" max="9" width="13.6328125" customWidth="1"/>
    <col min="10" max="10" width="14" customWidth="1"/>
    <col min="11" max="11" width="40" customWidth="1"/>
  </cols>
  <sheetData>
    <row r="1" spans="2:11" ht="15" customHeight="1" x14ac:dyDescent="0.35"/>
    <row r="2" spans="2:11" ht="27.75" customHeight="1" x14ac:dyDescent="0.35">
      <c r="B2" s="217" t="s">
        <v>106</v>
      </c>
      <c r="C2" s="217"/>
      <c r="D2" s="217"/>
      <c r="E2" s="217"/>
      <c r="F2" s="217"/>
      <c r="G2" s="217"/>
      <c r="H2" s="217"/>
      <c r="I2" s="217"/>
      <c r="J2" s="217"/>
      <c r="K2" s="217"/>
    </row>
    <row r="3" spans="2:11" ht="13.5" customHeight="1" x14ac:dyDescent="0.35">
      <c r="B3" s="25"/>
      <c r="C3" s="25"/>
      <c r="D3" s="25"/>
      <c r="E3" s="25"/>
      <c r="F3" s="25"/>
    </row>
    <row r="4" spans="2:11" ht="15" customHeight="1" x14ac:dyDescent="0.35">
      <c r="B4" s="190" t="s">
        <v>107</v>
      </c>
      <c r="C4" s="190"/>
      <c r="D4" s="190"/>
      <c r="E4" s="190"/>
      <c r="F4" s="190"/>
      <c r="G4" s="190"/>
      <c r="H4" s="190"/>
      <c r="I4" s="190"/>
      <c r="J4" s="190"/>
      <c r="K4" s="190"/>
    </row>
    <row r="5" spans="2:11" ht="18" customHeight="1" x14ac:dyDescent="0.35">
      <c r="B5" s="218" t="s">
        <v>108</v>
      </c>
      <c r="C5" s="218"/>
      <c r="D5" s="218"/>
      <c r="E5" s="218"/>
      <c r="F5" s="218"/>
      <c r="G5" s="218"/>
      <c r="H5" s="218"/>
      <c r="I5" s="218"/>
      <c r="J5" s="218"/>
      <c r="K5" s="218"/>
    </row>
    <row r="6" spans="2:11" ht="27.75" customHeight="1" x14ac:dyDescent="0.35">
      <c r="B6" s="10" t="s">
        <v>109</v>
      </c>
      <c r="C6" s="100" t="s">
        <v>110</v>
      </c>
      <c r="D6" s="10" t="s">
        <v>111</v>
      </c>
      <c r="E6" s="10" t="s">
        <v>112</v>
      </c>
      <c r="F6" s="10" t="s">
        <v>113</v>
      </c>
      <c r="G6" s="10" t="s">
        <v>114</v>
      </c>
      <c r="H6" s="10" t="s">
        <v>115</v>
      </c>
      <c r="I6" s="10" t="s">
        <v>101</v>
      </c>
      <c r="J6" s="101"/>
      <c r="K6" s="101"/>
    </row>
    <row r="7" spans="2:11" ht="15" customHeight="1" x14ac:dyDescent="0.35">
      <c r="B7" s="102" t="s">
        <v>116</v>
      </c>
      <c r="C7" s="103">
        <v>150</v>
      </c>
      <c r="D7" s="103">
        <v>34</v>
      </c>
      <c r="E7" s="104">
        <f>C7-D7</f>
        <v>116</v>
      </c>
      <c r="F7" s="105">
        <v>71</v>
      </c>
      <c r="G7" s="106" t="s">
        <v>117</v>
      </c>
      <c r="H7" s="106" t="s">
        <v>118</v>
      </c>
      <c r="I7" s="107"/>
    </row>
    <row r="8" spans="2:11" ht="15" customHeight="1" x14ac:dyDescent="0.35">
      <c r="B8" s="108" t="s">
        <v>119</v>
      </c>
      <c r="C8" s="109">
        <v>60</v>
      </c>
      <c r="D8" s="109">
        <v>10</v>
      </c>
      <c r="E8" s="110">
        <f>C8-D8</f>
        <v>50</v>
      </c>
      <c r="F8" s="111">
        <v>62.5</v>
      </c>
      <c r="G8" s="112" t="s">
        <v>120</v>
      </c>
      <c r="H8" s="112" t="s">
        <v>121</v>
      </c>
      <c r="I8" s="113" t="s">
        <v>122</v>
      </c>
    </row>
    <row r="9" spans="2:11" ht="15" customHeight="1" x14ac:dyDescent="0.35">
      <c r="B9" s="108" t="s">
        <v>123</v>
      </c>
      <c r="C9" s="109">
        <v>60</v>
      </c>
      <c r="D9" s="109">
        <v>10</v>
      </c>
      <c r="E9" s="110">
        <f>C9-D9</f>
        <v>50</v>
      </c>
      <c r="F9" s="111">
        <v>70</v>
      </c>
      <c r="G9" s="112" t="s">
        <v>124</v>
      </c>
      <c r="H9" s="112" t="s">
        <v>121</v>
      </c>
      <c r="I9" s="113" t="s">
        <v>125</v>
      </c>
    </row>
    <row r="10" spans="2:11" ht="15" customHeight="1" x14ac:dyDescent="0.35">
      <c r="B10" s="108" t="s">
        <v>126</v>
      </c>
      <c r="C10" s="109">
        <v>60</v>
      </c>
      <c r="D10" s="109">
        <v>10</v>
      </c>
      <c r="E10" s="110">
        <f>C10-D10</f>
        <v>50</v>
      </c>
      <c r="F10" s="111">
        <v>83</v>
      </c>
      <c r="G10" s="112" t="s">
        <v>127</v>
      </c>
      <c r="H10" s="112" t="s">
        <v>121</v>
      </c>
      <c r="I10" s="113" t="s">
        <v>128</v>
      </c>
    </row>
    <row r="11" spans="2:11" ht="13.5" customHeight="1" x14ac:dyDescent="0.35">
      <c r="B11" s="25"/>
      <c r="C11" s="25"/>
      <c r="D11" s="25"/>
      <c r="E11" s="25"/>
      <c r="F11" s="25"/>
    </row>
    <row r="12" spans="2:11" ht="6" customHeight="1" x14ac:dyDescent="0.35">
      <c r="B12" s="25"/>
      <c r="C12" s="25"/>
      <c r="D12" s="25"/>
      <c r="E12" s="25"/>
      <c r="F12" s="25"/>
    </row>
    <row r="13" spans="2:11" ht="27" customHeight="1" thickBot="1" x14ac:dyDescent="0.4">
      <c r="B13" s="219" t="s">
        <v>129</v>
      </c>
      <c r="C13" s="219"/>
      <c r="D13" s="219"/>
      <c r="E13" s="219"/>
      <c r="F13" s="219"/>
      <c r="G13" s="219"/>
      <c r="H13" s="219"/>
      <c r="I13" s="219"/>
      <c r="J13" s="219"/>
      <c r="K13" s="219"/>
    </row>
    <row r="14" spans="2:11" ht="27.75" customHeight="1" thickBot="1" x14ac:dyDescent="0.4">
      <c r="B14" s="10" t="s">
        <v>51</v>
      </c>
      <c r="C14" s="100" t="s">
        <v>130</v>
      </c>
      <c r="D14" s="10" t="s">
        <v>131</v>
      </c>
      <c r="E14" s="10" t="s">
        <v>132</v>
      </c>
      <c r="F14" s="114"/>
      <c r="G14" s="101"/>
      <c r="H14" s="101"/>
      <c r="I14" s="101"/>
      <c r="J14" s="101"/>
      <c r="K14" s="101"/>
    </row>
    <row r="15" spans="2:11" ht="18" customHeight="1" x14ac:dyDescent="0.35">
      <c r="B15" s="108" t="s">
        <v>58</v>
      </c>
      <c r="C15" s="115">
        <v>250</v>
      </c>
      <c r="D15" s="116">
        <v>3</v>
      </c>
      <c r="E15" s="117">
        <f>C15*D15*365/1000</f>
        <v>273.75</v>
      </c>
      <c r="F15" s="25"/>
    </row>
    <row r="16" spans="2:11" ht="18" customHeight="1" x14ac:dyDescent="0.35">
      <c r="B16" s="108" t="s">
        <v>59</v>
      </c>
      <c r="C16" s="115">
        <v>250</v>
      </c>
      <c r="D16" s="116">
        <v>3</v>
      </c>
      <c r="E16" s="117">
        <f>C16*D16*365/1000</f>
        <v>273.75</v>
      </c>
      <c r="F16" s="25"/>
    </row>
    <row r="17" spans="2:11" ht="18" customHeight="1" x14ac:dyDescent="0.35">
      <c r="B17" s="108" t="s">
        <v>60</v>
      </c>
      <c r="C17" s="115">
        <v>250</v>
      </c>
      <c r="D17" s="116">
        <v>3</v>
      </c>
      <c r="E17" s="117">
        <f>C17*D17*365/1000</f>
        <v>273.75</v>
      </c>
      <c r="F17" s="25"/>
    </row>
    <row r="18" spans="2:11" ht="18" customHeight="1" x14ac:dyDescent="0.35">
      <c r="B18" s="108" t="s">
        <v>61</v>
      </c>
      <c r="C18" s="115">
        <v>250</v>
      </c>
      <c r="D18" s="116">
        <v>3</v>
      </c>
      <c r="E18" s="117">
        <f>C18*D18*365/1000</f>
        <v>273.75</v>
      </c>
      <c r="F18" s="25"/>
    </row>
    <row r="19" spans="2:11" ht="15" customHeight="1" x14ac:dyDescent="0.35">
      <c r="B19" s="118"/>
      <c r="C19" s="119"/>
      <c r="D19" s="120"/>
      <c r="E19" s="121"/>
      <c r="F19" s="25"/>
    </row>
    <row r="20" spans="2:11" ht="15" customHeight="1" thickBot="1" x14ac:dyDescent="0.4">
      <c r="B20" s="220" t="s">
        <v>133</v>
      </c>
      <c r="C20" s="220"/>
      <c r="D20" s="220"/>
      <c r="E20" s="220"/>
      <c r="F20" s="220"/>
      <c r="G20" s="220"/>
      <c r="H20" s="220"/>
      <c r="I20" s="220"/>
      <c r="J20" s="220"/>
      <c r="K20" s="220"/>
    </row>
    <row r="21" spans="2:11" ht="27.75" customHeight="1" thickBot="1" x14ac:dyDescent="0.4">
      <c r="B21" s="10" t="s">
        <v>109</v>
      </c>
      <c r="C21" s="100" t="s">
        <v>134</v>
      </c>
      <c r="D21" s="10" t="s">
        <v>135</v>
      </c>
      <c r="E21" s="10" t="s">
        <v>136</v>
      </c>
      <c r="F21" s="10" t="s">
        <v>137</v>
      </c>
      <c r="G21" s="10" t="s">
        <v>138</v>
      </c>
      <c r="H21" s="10" t="s">
        <v>139</v>
      </c>
      <c r="I21" s="10" t="s">
        <v>140</v>
      </c>
      <c r="J21" s="10" t="s">
        <v>141</v>
      </c>
      <c r="K21" s="10" t="s">
        <v>142</v>
      </c>
    </row>
    <row r="22" spans="2:11" ht="54" customHeight="1" x14ac:dyDescent="0.35">
      <c r="B22" s="108" t="s">
        <v>143</v>
      </c>
      <c r="C22" s="122">
        <v>1.8</v>
      </c>
      <c r="D22" s="122">
        <v>0.8</v>
      </c>
      <c r="E22" s="123">
        <f>C22-D22</f>
        <v>1</v>
      </c>
      <c r="F22" s="124" t="s">
        <v>144</v>
      </c>
      <c r="G22" s="125" t="s">
        <v>145</v>
      </c>
      <c r="H22" s="126">
        <v>3600</v>
      </c>
      <c r="I22" s="126">
        <v>1600</v>
      </c>
      <c r="J22" s="127">
        <v>2000</v>
      </c>
      <c r="K22" s="113" t="s">
        <v>146</v>
      </c>
    </row>
    <row r="23" spans="2:11" ht="54" customHeight="1" x14ac:dyDescent="0.35">
      <c r="B23" s="108" t="s">
        <v>147</v>
      </c>
      <c r="C23" s="122">
        <v>2.5</v>
      </c>
      <c r="D23" s="122">
        <v>1.75</v>
      </c>
      <c r="E23" s="123">
        <f>C23-D23</f>
        <v>0.75</v>
      </c>
      <c r="F23" s="124" t="s">
        <v>148</v>
      </c>
      <c r="G23" s="125"/>
      <c r="H23" s="126">
        <v>9000</v>
      </c>
      <c r="I23" s="126">
        <v>6300</v>
      </c>
      <c r="J23" s="127">
        <v>2700</v>
      </c>
      <c r="K23" s="113"/>
    </row>
    <row r="24" spans="2:11" ht="48" customHeight="1" x14ac:dyDescent="0.35">
      <c r="B24" s="108" t="s">
        <v>149</v>
      </c>
      <c r="C24" s="122">
        <v>1.75</v>
      </c>
      <c r="D24" s="122">
        <v>1.2</v>
      </c>
      <c r="E24" s="123">
        <f>C24-D24</f>
        <v>0.55000000000000004</v>
      </c>
      <c r="F24" s="124" t="s">
        <v>148</v>
      </c>
      <c r="G24" s="125"/>
      <c r="H24" s="126">
        <v>2625</v>
      </c>
      <c r="I24" s="126">
        <v>1800</v>
      </c>
      <c r="J24" s="127">
        <v>825</v>
      </c>
      <c r="K24" s="128"/>
    </row>
    <row r="25" spans="2:11" ht="39.75" customHeight="1" x14ac:dyDescent="0.35">
      <c r="B25" s="108" t="s">
        <v>150</v>
      </c>
      <c r="C25" s="122">
        <v>1.75</v>
      </c>
      <c r="D25" s="122">
        <v>1.2</v>
      </c>
      <c r="E25" s="123">
        <f>C25-D25</f>
        <v>0.55000000000000004</v>
      </c>
      <c r="F25" s="124" t="s">
        <v>148</v>
      </c>
      <c r="G25" s="125"/>
      <c r="H25" s="126">
        <v>3500</v>
      </c>
      <c r="I25" s="126">
        <v>2400</v>
      </c>
      <c r="J25" s="127">
        <v>1100</v>
      </c>
      <c r="K25" s="128"/>
    </row>
    <row r="26" spans="2:11" ht="15" customHeight="1" x14ac:dyDescent="0.35">
      <c r="B26" s="25"/>
      <c r="C26" s="25"/>
      <c r="D26" s="25"/>
      <c r="E26" s="25"/>
      <c r="F26" s="25"/>
    </row>
    <row r="27" spans="2:11" ht="14" customHeight="1" thickBot="1" x14ac:dyDescent="0.4">
      <c r="B27" s="220" t="s">
        <v>151</v>
      </c>
      <c r="C27" s="220"/>
      <c r="D27" s="220"/>
      <c r="E27" s="220"/>
      <c r="F27" s="220"/>
      <c r="G27" s="220"/>
      <c r="H27" s="220"/>
      <c r="I27" s="220"/>
      <c r="J27" s="220"/>
      <c r="K27" s="220"/>
    </row>
    <row r="28" spans="2:11" ht="3.5" hidden="1" customHeight="1" thickBot="1" x14ac:dyDescent="0.4">
      <c r="B28" s="221"/>
      <c r="C28" s="221"/>
      <c r="D28" s="221"/>
      <c r="E28" s="221"/>
      <c r="F28" s="221"/>
      <c r="G28" s="221"/>
      <c r="H28" s="221"/>
      <c r="I28" s="221"/>
      <c r="J28" s="221"/>
      <c r="K28" s="221"/>
    </row>
    <row r="29" spans="2:11" ht="27.75" customHeight="1" thickBot="1" x14ac:dyDescent="0.4">
      <c r="B29" s="10" t="s">
        <v>152</v>
      </c>
      <c r="C29" s="100" t="s">
        <v>153</v>
      </c>
      <c r="D29" s="10" t="s">
        <v>154</v>
      </c>
      <c r="E29" s="10" t="s">
        <v>155</v>
      </c>
      <c r="F29" s="10" t="s">
        <v>156</v>
      </c>
      <c r="G29" s="10" t="s">
        <v>157</v>
      </c>
      <c r="H29" s="10" t="s">
        <v>158</v>
      </c>
      <c r="I29" s="10" t="s">
        <v>159</v>
      </c>
      <c r="J29" s="10" t="s">
        <v>160</v>
      </c>
      <c r="K29" s="10" t="s">
        <v>161</v>
      </c>
    </row>
    <row r="30" spans="2:11" ht="30" customHeight="1" x14ac:dyDescent="0.35">
      <c r="B30" s="102" t="s">
        <v>162</v>
      </c>
      <c r="C30" s="129" t="s">
        <v>163</v>
      </c>
      <c r="D30" s="130" t="s">
        <v>164</v>
      </c>
      <c r="E30" s="131">
        <v>600</v>
      </c>
      <c r="F30" s="132">
        <v>400</v>
      </c>
      <c r="G30" s="133">
        <f t="shared" ref="G30:G35" si="0">E30-F30</f>
        <v>200</v>
      </c>
      <c r="H30" s="131">
        <v>0</v>
      </c>
      <c r="I30" s="131">
        <v>0</v>
      </c>
      <c r="J30" s="133">
        <f t="shared" ref="J30:J35" si="1">H30-I30</f>
        <v>0</v>
      </c>
      <c r="K30" s="130" t="s">
        <v>165</v>
      </c>
    </row>
    <row r="31" spans="2:11" ht="30" customHeight="1" x14ac:dyDescent="0.35">
      <c r="B31" s="108" t="s">
        <v>166</v>
      </c>
      <c r="C31" s="134"/>
      <c r="D31" s="128"/>
      <c r="E31" s="135">
        <v>650</v>
      </c>
      <c r="F31" s="135">
        <v>500</v>
      </c>
      <c r="G31" s="127">
        <f t="shared" si="0"/>
        <v>150</v>
      </c>
      <c r="H31" s="126">
        <v>0</v>
      </c>
      <c r="I31" s="126">
        <v>0</v>
      </c>
      <c r="J31" s="127">
        <f t="shared" si="1"/>
        <v>0</v>
      </c>
      <c r="K31" s="128" t="s">
        <v>167</v>
      </c>
    </row>
    <row r="32" spans="2:11" ht="30" customHeight="1" x14ac:dyDescent="0.35">
      <c r="B32" s="108" t="s">
        <v>168</v>
      </c>
      <c r="C32" s="134"/>
      <c r="D32" s="128"/>
      <c r="E32" s="135">
        <v>270</v>
      </c>
      <c r="F32" s="135">
        <v>240</v>
      </c>
      <c r="G32" s="127">
        <f t="shared" si="0"/>
        <v>30</v>
      </c>
      <c r="H32" s="135">
        <v>5000</v>
      </c>
      <c r="I32" s="135">
        <v>4550</v>
      </c>
      <c r="J32" s="127">
        <f t="shared" si="1"/>
        <v>450</v>
      </c>
      <c r="K32" s="128" t="s">
        <v>169</v>
      </c>
    </row>
    <row r="33" spans="2:11" ht="21" customHeight="1" x14ac:dyDescent="0.35">
      <c r="B33" s="108" t="s">
        <v>170</v>
      </c>
      <c r="C33" s="134"/>
      <c r="D33" s="128"/>
      <c r="E33" s="135">
        <v>500</v>
      </c>
      <c r="F33" s="135">
        <v>130</v>
      </c>
      <c r="G33" s="127">
        <f t="shared" si="0"/>
        <v>370</v>
      </c>
      <c r="H33" s="135">
        <v>3500</v>
      </c>
      <c r="I33" s="135">
        <v>3350</v>
      </c>
      <c r="J33" s="127">
        <f t="shared" si="1"/>
        <v>150</v>
      </c>
      <c r="K33" s="128" t="s">
        <v>172</v>
      </c>
    </row>
    <row r="34" spans="2:11" ht="15.75" customHeight="1" x14ac:dyDescent="0.35">
      <c r="B34" s="108" t="s">
        <v>173</v>
      </c>
      <c r="C34" s="134" t="s">
        <v>174</v>
      </c>
      <c r="D34" s="128" t="s">
        <v>171</v>
      </c>
      <c r="E34" s="135">
        <v>700</v>
      </c>
      <c r="F34" s="135">
        <v>400</v>
      </c>
      <c r="G34" s="127">
        <f t="shared" si="0"/>
        <v>300</v>
      </c>
      <c r="H34" s="126">
        <v>0</v>
      </c>
      <c r="I34" s="126">
        <v>0</v>
      </c>
      <c r="J34" s="127">
        <f t="shared" si="1"/>
        <v>0</v>
      </c>
      <c r="K34" s="128" t="s">
        <v>175</v>
      </c>
    </row>
    <row r="35" spans="2:11" ht="30" customHeight="1" x14ac:dyDescent="0.35">
      <c r="B35" s="108" t="s">
        <v>176</v>
      </c>
      <c r="C35" s="128"/>
      <c r="D35" s="128"/>
      <c r="E35" s="135">
        <v>400</v>
      </c>
      <c r="F35" s="135">
        <v>150</v>
      </c>
      <c r="G35" s="127">
        <f t="shared" si="0"/>
        <v>250</v>
      </c>
      <c r="H35" s="126">
        <v>0</v>
      </c>
      <c r="I35" s="126">
        <v>0</v>
      </c>
      <c r="J35" s="127">
        <f t="shared" si="1"/>
        <v>0</v>
      </c>
      <c r="K35" s="128" t="s">
        <v>177</v>
      </c>
    </row>
    <row r="36" spans="2:11" ht="15" customHeight="1" thickBot="1" x14ac:dyDescent="0.4">
      <c r="B36" s="25"/>
      <c r="C36" s="25"/>
      <c r="D36" s="25"/>
      <c r="E36" s="25"/>
      <c r="F36" s="25"/>
    </row>
    <row r="37" spans="2:11" ht="15" customHeight="1" thickBot="1" x14ac:dyDescent="0.4">
      <c r="B37" s="208" t="s">
        <v>178</v>
      </c>
      <c r="C37" s="209"/>
      <c r="D37" s="209"/>
      <c r="E37" s="209"/>
      <c r="F37" s="209"/>
      <c r="G37" s="209"/>
      <c r="H37" s="209"/>
      <c r="I37" s="210"/>
      <c r="J37" s="176"/>
      <c r="K37" s="179"/>
    </row>
    <row r="38" spans="2:11" ht="0.75" customHeight="1" thickBot="1" x14ac:dyDescent="0.4">
      <c r="B38" s="221"/>
      <c r="C38" s="221"/>
      <c r="D38" s="221"/>
      <c r="E38" s="221"/>
      <c r="F38" s="221"/>
      <c r="G38" s="221"/>
      <c r="H38" s="221"/>
      <c r="I38" s="221"/>
      <c r="J38" s="222"/>
      <c r="K38" s="222"/>
    </row>
    <row r="39" spans="2:11" ht="27.75" customHeight="1" x14ac:dyDescent="0.35">
      <c r="B39" s="136" t="s">
        <v>16</v>
      </c>
      <c r="C39" s="137" t="s">
        <v>179</v>
      </c>
      <c r="D39" s="136" t="s">
        <v>180</v>
      </c>
      <c r="E39" s="136" t="s">
        <v>181</v>
      </c>
      <c r="F39" s="136" t="s">
        <v>182</v>
      </c>
      <c r="G39" s="136" t="s">
        <v>183</v>
      </c>
      <c r="H39" s="136" t="s">
        <v>184</v>
      </c>
      <c r="I39" s="138" t="s">
        <v>101</v>
      </c>
      <c r="J39" s="101"/>
      <c r="K39" s="101"/>
    </row>
    <row r="40" spans="2:11" ht="15" customHeight="1" x14ac:dyDescent="0.35">
      <c r="B40" s="102" t="s">
        <v>21</v>
      </c>
      <c r="C40" s="131">
        <v>0</v>
      </c>
      <c r="D40" s="131">
        <v>0</v>
      </c>
      <c r="E40" s="131">
        <v>0</v>
      </c>
      <c r="F40" s="131">
        <v>0</v>
      </c>
      <c r="G40" s="131">
        <v>0</v>
      </c>
      <c r="H40" s="131">
        <v>0</v>
      </c>
      <c r="I40" s="139" t="s">
        <v>185</v>
      </c>
    </row>
    <row r="41" spans="2:11" ht="15" customHeight="1" x14ac:dyDescent="0.35">
      <c r="B41" s="108" t="s">
        <v>22</v>
      </c>
      <c r="C41" s="126">
        <v>0</v>
      </c>
      <c r="D41" s="126">
        <v>2000</v>
      </c>
      <c r="E41" s="126">
        <v>0</v>
      </c>
      <c r="F41" s="126">
        <v>0</v>
      </c>
      <c r="G41" s="126">
        <v>3600</v>
      </c>
      <c r="H41" s="126">
        <v>1600</v>
      </c>
      <c r="I41" s="140"/>
    </row>
    <row r="42" spans="2:11" ht="15" customHeight="1" x14ac:dyDescent="0.35">
      <c r="B42" s="108" t="s">
        <v>23</v>
      </c>
      <c r="C42" s="126">
        <v>0</v>
      </c>
      <c r="D42" s="126">
        <v>825</v>
      </c>
      <c r="E42" s="126">
        <v>0</v>
      </c>
      <c r="F42" s="126">
        <v>0</v>
      </c>
      <c r="G42" s="126">
        <v>2625</v>
      </c>
      <c r="H42" s="126">
        <v>1800</v>
      </c>
      <c r="I42" s="140"/>
    </row>
    <row r="43" spans="2:11" ht="15" customHeight="1" x14ac:dyDescent="0.35">
      <c r="B43" s="108" t="s">
        <v>24</v>
      </c>
      <c r="C43" s="126">
        <v>0</v>
      </c>
      <c r="D43" s="126">
        <v>1100</v>
      </c>
      <c r="E43" s="126">
        <v>0</v>
      </c>
      <c r="F43" s="126">
        <v>0</v>
      </c>
      <c r="G43" s="126">
        <v>3500</v>
      </c>
      <c r="H43" s="126">
        <v>2400</v>
      </c>
      <c r="I43" s="140"/>
    </row>
    <row r="44" spans="2:11" ht="15" customHeight="1" x14ac:dyDescent="0.35">
      <c r="B44" s="108" t="s">
        <v>25</v>
      </c>
      <c r="C44" s="135">
        <v>200</v>
      </c>
      <c r="D44" s="126">
        <v>0</v>
      </c>
      <c r="E44" s="126">
        <v>600</v>
      </c>
      <c r="F44" s="135">
        <v>400</v>
      </c>
      <c r="G44" s="126">
        <v>0</v>
      </c>
      <c r="H44" s="126">
        <v>0</v>
      </c>
      <c r="I44" s="140"/>
    </row>
    <row r="45" spans="2:11" ht="15" customHeight="1" x14ac:dyDescent="0.35">
      <c r="B45" s="108" t="s">
        <v>26</v>
      </c>
      <c r="C45" s="135">
        <v>150</v>
      </c>
      <c r="D45" s="126">
        <v>0</v>
      </c>
      <c r="E45" s="135">
        <v>650</v>
      </c>
      <c r="F45" s="135">
        <v>500</v>
      </c>
      <c r="G45" s="126">
        <v>0</v>
      </c>
      <c r="H45" s="126">
        <v>0</v>
      </c>
      <c r="I45" s="140"/>
    </row>
    <row r="46" spans="2:11" ht="36.75" customHeight="1" x14ac:dyDescent="0.35">
      <c r="B46" s="108" t="s">
        <v>27</v>
      </c>
      <c r="C46" s="135">
        <v>30</v>
      </c>
      <c r="D46" s="135">
        <v>450</v>
      </c>
      <c r="E46" s="135">
        <v>270</v>
      </c>
      <c r="F46" s="135">
        <v>240</v>
      </c>
      <c r="G46" s="135">
        <v>5000</v>
      </c>
      <c r="H46" s="135">
        <v>4550</v>
      </c>
      <c r="I46" s="140"/>
    </row>
    <row r="47" spans="2:11" ht="36.75" customHeight="1" x14ac:dyDescent="0.35">
      <c r="B47" s="108" t="s">
        <v>28</v>
      </c>
      <c r="C47" s="135">
        <v>670</v>
      </c>
      <c r="D47" s="135">
        <v>150</v>
      </c>
      <c r="E47" s="135">
        <v>1200</v>
      </c>
      <c r="F47" s="135">
        <v>530</v>
      </c>
      <c r="G47" s="135">
        <v>3500</v>
      </c>
      <c r="H47" s="135">
        <v>3350</v>
      </c>
      <c r="I47" s="140"/>
    </row>
    <row r="48" spans="2:11" ht="36.75" customHeight="1" x14ac:dyDescent="0.35">
      <c r="B48" s="108" t="s">
        <v>29</v>
      </c>
      <c r="C48" s="135">
        <v>250</v>
      </c>
      <c r="D48" s="126">
        <v>0</v>
      </c>
      <c r="E48" s="135">
        <v>400</v>
      </c>
      <c r="F48" s="135">
        <v>150</v>
      </c>
      <c r="G48" s="126">
        <v>0</v>
      </c>
      <c r="H48" s="126">
        <v>0</v>
      </c>
      <c r="I48" s="140"/>
    </row>
    <row r="49" spans="2:9" ht="36.75" customHeight="1" x14ac:dyDescent="0.35">
      <c r="B49" s="108" t="s">
        <v>37</v>
      </c>
      <c r="C49" s="126">
        <v>0</v>
      </c>
      <c r="D49" s="126">
        <v>2700</v>
      </c>
      <c r="E49" s="126">
        <v>0</v>
      </c>
      <c r="F49" s="126">
        <v>0</v>
      </c>
      <c r="G49" s="126">
        <v>9000</v>
      </c>
      <c r="H49" s="126">
        <v>6300</v>
      </c>
      <c r="I49" s="140"/>
    </row>
    <row r="50" spans="2:9" x14ac:dyDescent="0.35">
      <c r="B50" s="108" t="s">
        <v>30</v>
      </c>
      <c r="C50" s="126">
        <v>0</v>
      </c>
      <c r="D50" s="126">
        <v>0</v>
      </c>
      <c r="E50" s="126">
        <v>0</v>
      </c>
      <c r="F50" s="126">
        <v>0</v>
      </c>
      <c r="G50" s="126">
        <v>0</v>
      </c>
      <c r="H50" s="126">
        <v>0</v>
      </c>
      <c r="I50" s="140"/>
    </row>
    <row r="51" spans="2:9" ht="13.5" customHeight="1" thickBot="1" x14ac:dyDescent="0.4">
      <c r="B51" s="192"/>
      <c r="C51" s="192"/>
      <c r="D51" s="192"/>
      <c r="E51" s="192"/>
      <c r="F51" s="192"/>
    </row>
    <row r="52" spans="2:9" ht="13.5" customHeight="1" thickBot="1" x14ac:dyDescent="0.4">
      <c r="B52" s="208" t="s">
        <v>186</v>
      </c>
      <c r="C52" s="209"/>
      <c r="D52" s="209"/>
      <c r="E52" s="210"/>
      <c r="F52" s="176"/>
    </row>
    <row r="53" spans="2:9" ht="21.75" customHeight="1" thickBot="1" x14ac:dyDescent="0.4">
      <c r="B53" s="10" t="s">
        <v>67</v>
      </c>
      <c r="C53" s="10" t="s">
        <v>187</v>
      </c>
      <c r="D53" s="10" t="s">
        <v>188</v>
      </c>
      <c r="E53" s="10" t="s">
        <v>189</v>
      </c>
      <c r="F53" s="2"/>
    </row>
    <row r="54" spans="2:9" ht="13.5" customHeight="1" x14ac:dyDescent="0.35">
      <c r="B54" s="141" t="s">
        <v>643</v>
      </c>
      <c r="C54" s="142">
        <v>26.5</v>
      </c>
      <c r="D54" s="143">
        <f t="shared" ref="D54:D61" si="2">C54/100</f>
        <v>0.26500000000000001</v>
      </c>
      <c r="E54" s="107" t="s">
        <v>190</v>
      </c>
    </row>
    <row r="55" spans="2:9" ht="13.5" customHeight="1" x14ac:dyDescent="0.35">
      <c r="B55" s="144" t="s">
        <v>640</v>
      </c>
      <c r="C55" s="116">
        <v>26</v>
      </c>
      <c r="D55" s="145">
        <f t="shared" si="2"/>
        <v>0.26</v>
      </c>
      <c r="E55" s="113" t="s">
        <v>190</v>
      </c>
    </row>
    <row r="56" spans="2:9" ht="13.5" customHeight="1" x14ac:dyDescent="0.35">
      <c r="B56" s="144" t="s">
        <v>641</v>
      </c>
      <c r="C56" s="116">
        <v>18.5</v>
      </c>
      <c r="D56" s="145">
        <f t="shared" si="2"/>
        <v>0.185</v>
      </c>
      <c r="E56" s="113" t="s">
        <v>190</v>
      </c>
    </row>
    <row r="57" spans="2:9" ht="13.5" customHeight="1" x14ac:dyDescent="0.35">
      <c r="B57" s="144" t="s">
        <v>642</v>
      </c>
      <c r="C57" s="116">
        <v>24.5</v>
      </c>
      <c r="D57" s="145">
        <f t="shared" si="2"/>
        <v>0.245</v>
      </c>
      <c r="E57" s="113" t="s">
        <v>190</v>
      </c>
    </row>
    <row r="58" spans="2:9" ht="13.5" customHeight="1" x14ac:dyDescent="0.35">
      <c r="B58" s="144" t="s">
        <v>644</v>
      </c>
      <c r="C58" s="116">
        <v>20.5</v>
      </c>
      <c r="D58" s="145">
        <f t="shared" si="2"/>
        <v>0.20499999999999999</v>
      </c>
      <c r="E58" s="113" t="s">
        <v>190</v>
      </c>
    </row>
    <row r="59" spans="2:9" ht="13.5" customHeight="1" x14ac:dyDescent="0.35">
      <c r="B59" s="144" t="s">
        <v>639</v>
      </c>
      <c r="C59" s="116">
        <v>22</v>
      </c>
      <c r="D59" s="145">
        <f t="shared" si="2"/>
        <v>0.22</v>
      </c>
      <c r="E59" s="113" t="s">
        <v>190</v>
      </c>
    </row>
    <row r="60" spans="2:9" ht="13.5" customHeight="1" x14ac:dyDescent="0.35">
      <c r="B60" s="144" t="s">
        <v>645</v>
      </c>
      <c r="C60" s="116">
        <v>16.5</v>
      </c>
      <c r="D60" s="145">
        <f t="shared" si="2"/>
        <v>0.16500000000000001</v>
      </c>
      <c r="E60" s="113" t="s">
        <v>190</v>
      </c>
    </row>
    <row r="61" spans="2:9" x14ac:dyDescent="0.35">
      <c r="B61" s="144" t="s">
        <v>646</v>
      </c>
      <c r="C61" s="116">
        <v>15.5</v>
      </c>
      <c r="D61" s="145">
        <f t="shared" si="2"/>
        <v>0.155</v>
      </c>
      <c r="E61" s="113" t="s">
        <v>190</v>
      </c>
    </row>
    <row r="62" spans="2:9" ht="13.5" customHeight="1" thickBot="1" x14ac:dyDescent="0.4">
      <c r="B62" s="192"/>
      <c r="C62" s="192"/>
      <c r="D62" s="192"/>
      <c r="E62" s="192"/>
      <c r="F62" s="192"/>
    </row>
    <row r="63" spans="2:9" ht="13.5" customHeight="1" thickBot="1" x14ac:dyDescent="0.4">
      <c r="B63" s="211" t="s">
        <v>191</v>
      </c>
      <c r="C63" s="212"/>
      <c r="D63" s="212"/>
      <c r="E63" s="213"/>
      <c r="F63" s="176"/>
    </row>
    <row r="64" spans="2:9" ht="21.75" customHeight="1" thickBot="1" x14ac:dyDescent="0.4">
      <c r="B64" s="10" t="s">
        <v>67</v>
      </c>
      <c r="C64" s="10" t="s">
        <v>192</v>
      </c>
      <c r="D64" s="10" t="s">
        <v>193</v>
      </c>
      <c r="E64" s="10" t="s">
        <v>189</v>
      </c>
    </row>
    <row r="65" spans="2:11" ht="13.5" customHeight="1" x14ac:dyDescent="0.35">
      <c r="B65" s="141" t="s">
        <v>643</v>
      </c>
      <c r="C65" s="146">
        <v>8.5</v>
      </c>
      <c r="D65" s="147">
        <f t="shared" ref="D65:D72" si="3">C65/1000</f>
        <v>8.5000000000000006E-3</v>
      </c>
      <c r="E65" s="107" t="s">
        <v>190</v>
      </c>
    </row>
    <row r="66" spans="2:11" ht="13.5" customHeight="1" x14ac:dyDescent="0.35">
      <c r="B66" s="144" t="s">
        <v>640</v>
      </c>
      <c r="C66" s="148">
        <v>9.1999999999999993</v>
      </c>
      <c r="D66" s="149">
        <f t="shared" si="3"/>
        <v>9.1999999999999998E-3</v>
      </c>
      <c r="E66" s="113" t="s">
        <v>190</v>
      </c>
    </row>
    <row r="67" spans="2:11" ht="13.5" customHeight="1" x14ac:dyDescent="0.35">
      <c r="B67" s="144" t="s">
        <v>641</v>
      </c>
      <c r="C67" s="148">
        <v>7.8</v>
      </c>
      <c r="D67" s="149">
        <f t="shared" si="3"/>
        <v>7.7999999999999996E-3</v>
      </c>
      <c r="E67" s="113" t="s">
        <v>190</v>
      </c>
    </row>
    <row r="68" spans="2:11" ht="13.5" customHeight="1" x14ac:dyDescent="0.35">
      <c r="B68" s="144" t="s">
        <v>642</v>
      </c>
      <c r="C68" s="148">
        <v>6.9</v>
      </c>
      <c r="D68" s="149">
        <f t="shared" si="3"/>
        <v>6.9000000000000008E-3</v>
      </c>
      <c r="E68" s="113" t="s">
        <v>190</v>
      </c>
    </row>
    <row r="69" spans="2:11" ht="13.5" customHeight="1" x14ac:dyDescent="0.35">
      <c r="B69" s="144" t="s">
        <v>644</v>
      </c>
      <c r="C69" s="148">
        <v>7.4</v>
      </c>
      <c r="D69" s="149">
        <f t="shared" si="3"/>
        <v>7.4000000000000003E-3</v>
      </c>
      <c r="E69" s="113" t="s">
        <v>190</v>
      </c>
    </row>
    <row r="70" spans="2:11" ht="13.5" customHeight="1" x14ac:dyDescent="0.35">
      <c r="B70" s="144" t="s">
        <v>639</v>
      </c>
      <c r="C70" s="148">
        <v>8</v>
      </c>
      <c r="D70" s="149">
        <f t="shared" si="3"/>
        <v>8.0000000000000002E-3</v>
      </c>
      <c r="E70" s="113" t="s">
        <v>190</v>
      </c>
    </row>
    <row r="71" spans="2:11" ht="13.5" customHeight="1" x14ac:dyDescent="0.35">
      <c r="B71" s="144" t="s">
        <v>645</v>
      </c>
      <c r="C71" s="148">
        <v>7.2</v>
      </c>
      <c r="D71" s="149">
        <f t="shared" si="3"/>
        <v>7.1999999999999998E-3</v>
      </c>
      <c r="E71" s="113" t="s">
        <v>190</v>
      </c>
    </row>
    <row r="72" spans="2:11" ht="13.5" customHeight="1" x14ac:dyDescent="0.35">
      <c r="B72" s="144" t="s">
        <v>646</v>
      </c>
      <c r="C72" s="148">
        <v>7</v>
      </c>
      <c r="D72" s="149">
        <f t="shared" si="3"/>
        <v>7.0000000000000001E-3</v>
      </c>
      <c r="E72" s="113" t="s">
        <v>190</v>
      </c>
    </row>
    <row r="73" spans="2:11" ht="13.5" customHeight="1" x14ac:dyDescent="0.35"/>
    <row r="74" spans="2:11" ht="13.5" customHeight="1" thickBot="1" x14ac:dyDescent="0.4"/>
    <row r="75" spans="2:11" ht="18" customHeight="1" thickBot="1" x14ac:dyDescent="0.4">
      <c r="B75" s="214" t="s">
        <v>194</v>
      </c>
      <c r="C75" s="215"/>
      <c r="D75" s="215"/>
      <c r="E75" s="215"/>
      <c r="F75" s="215"/>
      <c r="G75" s="215"/>
      <c r="H75" s="216"/>
      <c r="I75" s="177"/>
      <c r="J75" s="178"/>
      <c r="K75" s="178"/>
    </row>
    <row r="76" spans="2:11" ht="27.75" customHeight="1" thickBot="1" x14ac:dyDescent="0.4">
      <c r="B76" s="10" t="s">
        <v>51</v>
      </c>
      <c r="C76" s="10" t="s">
        <v>195</v>
      </c>
      <c r="D76" s="10" t="s">
        <v>196</v>
      </c>
      <c r="E76" s="10" t="s">
        <v>359</v>
      </c>
      <c r="F76" s="10" t="s">
        <v>197</v>
      </c>
      <c r="G76" s="10" t="s">
        <v>198</v>
      </c>
      <c r="H76" s="10" t="s">
        <v>101</v>
      </c>
    </row>
    <row r="77" spans="2:11" ht="18" customHeight="1" x14ac:dyDescent="0.35">
      <c r="B77" s="102" t="s">
        <v>58</v>
      </c>
      <c r="C77" s="131"/>
      <c r="D77" s="150" t="str">
        <f>IFERROR(C77/C81,"-")</f>
        <v>-</v>
      </c>
      <c r="E77" s="131">
        <v>450</v>
      </c>
      <c r="F77" s="151">
        <v>0</v>
      </c>
      <c r="G77" s="151">
        <v>1</v>
      </c>
      <c r="H77" s="130"/>
    </row>
    <row r="78" spans="2:11" ht="18" customHeight="1" x14ac:dyDescent="0.35">
      <c r="B78" s="108" t="s">
        <v>59</v>
      </c>
      <c r="C78" s="126"/>
      <c r="D78" s="152" t="str">
        <f>IFERROR(C78/C81,"-")</f>
        <v>-</v>
      </c>
      <c r="E78" s="126">
        <v>650</v>
      </c>
      <c r="F78" s="153">
        <v>1</v>
      </c>
      <c r="G78" s="153">
        <v>1</v>
      </c>
      <c r="H78" s="128"/>
    </row>
    <row r="79" spans="2:11" ht="18" customHeight="1" x14ac:dyDescent="0.35">
      <c r="B79" s="108" t="s">
        <v>60</v>
      </c>
      <c r="C79" s="126"/>
      <c r="D79" s="152" t="str">
        <f>IFERROR(C79/C81,"-")</f>
        <v>-</v>
      </c>
      <c r="E79" s="126">
        <v>900</v>
      </c>
      <c r="F79" s="153">
        <v>2</v>
      </c>
      <c r="G79" s="153">
        <v>1.5</v>
      </c>
      <c r="H79" s="128"/>
    </row>
    <row r="80" spans="2:11" ht="18" customHeight="1" x14ac:dyDescent="0.35">
      <c r="B80" s="108" t="s">
        <v>61</v>
      </c>
      <c r="C80" s="126"/>
      <c r="D80" s="152" t="str">
        <f>IFERROR(C80/C81,"-")</f>
        <v>-</v>
      </c>
      <c r="E80" s="126">
        <v>1150</v>
      </c>
      <c r="F80" s="153">
        <v>3</v>
      </c>
      <c r="G80" s="153">
        <v>2</v>
      </c>
      <c r="H80" s="128"/>
    </row>
    <row r="81" spans="2:8" ht="18" customHeight="1" x14ac:dyDescent="0.35">
      <c r="B81" s="154" t="s">
        <v>199</v>
      </c>
      <c r="C81" s="155">
        <f>SUM(C77:C80)</f>
        <v>0</v>
      </c>
      <c r="D81" s="156">
        <f>SUM(D77:D80)</f>
        <v>0</v>
      </c>
      <c r="E81" s="157"/>
      <c r="F81" s="157"/>
      <c r="G81" s="157"/>
      <c r="H81" s="157"/>
    </row>
  </sheetData>
  <mergeCells count="14">
    <mergeCell ref="B52:E52"/>
    <mergeCell ref="B63:E63"/>
    <mergeCell ref="B75:H75"/>
    <mergeCell ref="B37:I37"/>
    <mergeCell ref="B2:K2"/>
    <mergeCell ref="B4:K4"/>
    <mergeCell ref="B5:K5"/>
    <mergeCell ref="B13:K13"/>
    <mergeCell ref="B20:K20"/>
    <mergeCell ref="B62:F62"/>
    <mergeCell ref="B27:K27"/>
    <mergeCell ref="B28:K28"/>
    <mergeCell ref="B38:K38"/>
    <mergeCell ref="B51:F5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77"/>
  <sheetViews>
    <sheetView zoomScaleNormal="100" workbookViewId="0"/>
  </sheetViews>
  <sheetFormatPr defaultColWidth="8.6328125" defaultRowHeight="14.5" x14ac:dyDescent="0.35"/>
  <cols>
    <col min="1" max="1" width="3.54296875" customWidth="1"/>
    <col min="2" max="2" width="28" customWidth="1"/>
    <col min="3" max="3" width="48" customWidth="1"/>
    <col min="4" max="4" width="40" customWidth="1"/>
    <col min="5" max="5" width="12" customWidth="1"/>
    <col min="6" max="6" width="10" customWidth="1"/>
    <col min="7" max="7" width="15" customWidth="1"/>
    <col min="8" max="8" width="8" customWidth="1"/>
    <col min="9" max="9" width="14.26953125" customWidth="1"/>
  </cols>
  <sheetData>
    <row r="2" spans="2:9" ht="27.75" customHeight="1" x14ac:dyDescent="0.35">
      <c r="B2" s="223" t="s">
        <v>628</v>
      </c>
      <c r="C2" s="223"/>
      <c r="D2" s="223"/>
      <c r="E2" s="223"/>
      <c r="F2" s="223"/>
      <c r="G2" s="223"/>
      <c r="H2" s="223"/>
      <c r="I2" s="223"/>
    </row>
    <row r="3" spans="2:9" ht="21.75" customHeight="1" x14ac:dyDescent="0.35">
      <c r="B3" s="158" t="s">
        <v>200</v>
      </c>
      <c r="C3" s="158" t="s">
        <v>201</v>
      </c>
      <c r="D3" s="158" t="s">
        <v>202</v>
      </c>
      <c r="E3" s="158" t="s">
        <v>68</v>
      </c>
      <c r="F3" s="158" t="s">
        <v>9</v>
      </c>
      <c r="G3" s="158" t="s">
        <v>66</v>
      </c>
      <c r="H3" s="158" t="s">
        <v>67</v>
      </c>
      <c r="I3" s="158" t="s">
        <v>203</v>
      </c>
    </row>
    <row r="4" spans="2:9" ht="15" customHeight="1" x14ac:dyDescent="0.35">
      <c r="B4" s="159" t="s">
        <v>402</v>
      </c>
      <c r="C4" s="159" t="s">
        <v>475</v>
      </c>
      <c r="D4" s="159" t="s">
        <v>548</v>
      </c>
      <c r="E4" s="153">
        <v>180</v>
      </c>
      <c r="F4" s="153" t="s">
        <v>621</v>
      </c>
      <c r="G4" s="153" t="s">
        <v>631</v>
      </c>
      <c r="H4" s="153" t="s">
        <v>639</v>
      </c>
      <c r="I4" s="160">
        <v>40338</v>
      </c>
    </row>
    <row r="5" spans="2:9" ht="15" customHeight="1" x14ac:dyDescent="0.35">
      <c r="B5" s="159" t="s">
        <v>403</v>
      </c>
      <c r="C5" s="159" t="s">
        <v>476</v>
      </c>
      <c r="D5" s="159" t="s">
        <v>549</v>
      </c>
      <c r="E5" s="153">
        <v>112</v>
      </c>
      <c r="F5" s="153" t="s">
        <v>621</v>
      </c>
      <c r="G5" s="153" t="s">
        <v>631</v>
      </c>
      <c r="H5" s="153" t="s">
        <v>639</v>
      </c>
      <c r="I5" s="160">
        <v>40338</v>
      </c>
    </row>
    <row r="6" spans="2:9" ht="15" customHeight="1" x14ac:dyDescent="0.35">
      <c r="B6" s="159" t="s">
        <v>404</v>
      </c>
      <c r="C6" s="159" t="s">
        <v>477</v>
      </c>
      <c r="D6" s="159" t="s">
        <v>550</v>
      </c>
      <c r="E6" s="153">
        <v>128</v>
      </c>
      <c r="F6" s="153" t="s">
        <v>621</v>
      </c>
      <c r="G6" s="153" t="s">
        <v>631</v>
      </c>
      <c r="H6" s="153" t="s">
        <v>639</v>
      </c>
      <c r="I6" s="160">
        <v>40338</v>
      </c>
    </row>
    <row r="7" spans="2:9" ht="15" customHeight="1" x14ac:dyDescent="0.35">
      <c r="B7" s="159" t="s">
        <v>405</v>
      </c>
      <c r="C7" s="159" t="s">
        <v>478</v>
      </c>
      <c r="D7" s="159" t="s">
        <v>551</v>
      </c>
      <c r="E7" s="153">
        <v>320</v>
      </c>
      <c r="F7" s="153" t="s">
        <v>621</v>
      </c>
      <c r="G7" s="153" t="s">
        <v>631</v>
      </c>
      <c r="H7" s="153" t="s">
        <v>639</v>
      </c>
      <c r="I7" s="160">
        <v>40338</v>
      </c>
    </row>
    <row r="8" spans="2:9" ht="15" customHeight="1" x14ac:dyDescent="0.35">
      <c r="B8" s="159" t="s">
        <v>406</v>
      </c>
      <c r="C8" s="159" t="s">
        <v>479</v>
      </c>
      <c r="D8" s="159" t="s">
        <v>552</v>
      </c>
      <c r="E8" s="153">
        <v>300</v>
      </c>
      <c r="F8" s="153" t="s">
        <v>621</v>
      </c>
      <c r="G8" s="153" t="s">
        <v>631</v>
      </c>
      <c r="H8" s="153" t="s">
        <v>639</v>
      </c>
      <c r="I8" s="160">
        <v>40338</v>
      </c>
    </row>
    <row r="9" spans="2:9" ht="15" customHeight="1" x14ac:dyDescent="0.35">
      <c r="B9" s="159" t="s">
        <v>407</v>
      </c>
      <c r="C9" s="159" t="s">
        <v>480</v>
      </c>
      <c r="D9" s="159" t="s">
        <v>553</v>
      </c>
      <c r="E9" s="153">
        <v>144</v>
      </c>
      <c r="F9" s="153" t="s">
        <v>621</v>
      </c>
      <c r="G9" s="153" t="s">
        <v>631</v>
      </c>
      <c r="H9" s="153" t="s">
        <v>639</v>
      </c>
      <c r="I9" s="160">
        <v>40338</v>
      </c>
    </row>
    <row r="10" spans="2:9" ht="15" customHeight="1" x14ac:dyDescent="0.35">
      <c r="B10" s="159" t="s">
        <v>408</v>
      </c>
      <c r="C10" s="159" t="s">
        <v>481</v>
      </c>
      <c r="D10" s="159" t="s">
        <v>554</v>
      </c>
      <c r="E10" s="153">
        <v>482</v>
      </c>
      <c r="F10" s="153" t="s">
        <v>621</v>
      </c>
      <c r="G10" s="153" t="s">
        <v>632</v>
      </c>
      <c r="H10" s="153" t="s">
        <v>639</v>
      </c>
      <c r="I10" s="160">
        <v>40338</v>
      </c>
    </row>
    <row r="11" spans="2:9" ht="15" customHeight="1" x14ac:dyDescent="0.35">
      <c r="B11" s="159" t="s">
        <v>409</v>
      </c>
      <c r="C11" s="159" t="s">
        <v>482</v>
      </c>
      <c r="D11" s="159" t="s">
        <v>555</v>
      </c>
      <c r="E11" s="153">
        <v>44</v>
      </c>
      <c r="F11" s="153" t="s">
        <v>621</v>
      </c>
      <c r="G11" s="153" t="s">
        <v>631</v>
      </c>
      <c r="H11" s="153" t="s">
        <v>639</v>
      </c>
      <c r="I11" s="160">
        <v>40338</v>
      </c>
    </row>
    <row r="12" spans="2:9" ht="15" customHeight="1" x14ac:dyDescent="0.35">
      <c r="B12" s="159" t="s">
        <v>410</v>
      </c>
      <c r="C12" s="159" t="s">
        <v>483</v>
      </c>
      <c r="D12" s="159" t="s">
        <v>556</v>
      </c>
      <c r="E12" s="153">
        <v>184</v>
      </c>
      <c r="F12" s="153" t="s">
        <v>621</v>
      </c>
      <c r="G12" s="153" t="s">
        <v>631</v>
      </c>
      <c r="H12" s="153" t="s">
        <v>639</v>
      </c>
      <c r="I12" s="160">
        <v>40338</v>
      </c>
    </row>
    <row r="13" spans="2:9" ht="15" customHeight="1" x14ac:dyDescent="0.35">
      <c r="B13" s="159" t="s">
        <v>411</v>
      </c>
      <c r="C13" s="159" t="s">
        <v>484</v>
      </c>
      <c r="D13" s="159" t="s">
        <v>557</v>
      </c>
      <c r="E13" s="153">
        <v>45</v>
      </c>
      <c r="F13" s="153" t="s">
        <v>621</v>
      </c>
      <c r="G13" s="153" t="s">
        <v>631</v>
      </c>
      <c r="H13" s="153" t="s">
        <v>639</v>
      </c>
      <c r="I13" s="160">
        <v>40338</v>
      </c>
    </row>
    <row r="14" spans="2:9" ht="15" customHeight="1" x14ac:dyDescent="0.35">
      <c r="B14" s="159" t="s">
        <v>412</v>
      </c>
      <c r="C14" s="159" t="s">
        <v>485</v>
      </c>
      <c r="D14" s="159" t="s">
        <v>558</v>
      </c>
      <c r="E14" s="153">
        <v>232</v>
      </c>
      <c r="F14" s="153" t="s">
        <v>622</v>
      </c>
      <c r="G14" s="153" t="s">
        <v>631</v>
      </c>
      <c r="H14" s="153" t="s">
        <v>639</v>
      </c>
      <c r="I14" s="160">
        <v>40338</v>
      </c>
    </row>
    <row r="15" spans="2:9" ht="15" customHeight="1" x14ac:dyDescent="0.35">
      <c r="B15" s="159" t="s">
        <v>413</v>
      </c>
      <c r="C15" s="159" t="s">
        <v>486</v>
      </c>
      <c r="D15" s="159" t="s">
        <v>559</v>
      </c>
      <c r="E15" s="153">
        <v>44</v>
      </c>
      <c r="F15" s="153" t="s">
        <v>621</v>
      </c>
      <c r="G15" s="153" t="s">
        <v>631</v>
      </c>
      <c r="H15" s="153" t="s">
        <v>639</v>
      </c>
      <c r="I15" s="160">
        <v>40338</v>
      </c>
    </row>
    <row r="16" spans="2:9" ht="15" customHeight="1" x14ac:dyDescent="0.35">
      <c r="B16" s="159" t="s">
        <v>414</v>
      </c>
      <c r="C16" s="159" t="s">
        <v>487</v>
      </c>
      <c r="D16" s="159" t="s">
        <v>560</v>
      </c>
      <c r="E16" s="153">
        <v>22</v>
      </c>
      <c r="F16" s="153" t="s">
        <v>621</v>
      </c>
      <c r="G16" s="153" t="s">
        <v>631</v>
      </c>
      <c r="H16" s="153" t="s">
        <v>639</v>
      </c>
      <c r="I16" s="160">
        <v>40338</v>
      </c>
    </row>
    <row r="17" spans="2:9" ht="15" customHeight="1" x14ac:dyDescent="0.35">
      <c r="B17" s="159" t="s">
        <v>415</v>
      </c>
      <c r="C17" s="159" t="s">
        <v>488</v>
      </c>
      <c r="D17" s="159" t="s">
        <v>561</v>
      </c>
      <c r="E17" s="153">
        <v>24</v>
      </c>
      <c r="F17" s="153" t="s">
        <v>621</v>
      </c>
      <c r="G17" s="153" t="s">
        <v>631</v>
      </c>
      <c r="H17" s="153" t="s">
        <v>639</v>
      </c>
      <c r="I17" s="160">
        <v>40338</v>
      </c>
    </row>
    <row r="18" spans="2:9" ht="15" customHeight="1" x14ac:dyDescent="0.35">
      <c r="B18" s="159" t="s">
        <v>416</v>
      </c>
      <c r="C18" s="159" t="s">
        <v>489</v>
      </c>
      <c r="D18" s="159" t="s">
        <v>562</v>
      </c>
      <c r="E18" s="153">
        <v>24</v>
      </c>
      <c r="F18" s="153" t="s">
        <v>621</v>
      </c>
      <c r="G18" s="153" t="s">
        <v>631</v>
      </c>
      <c r="H18" s="153" t="s">
        <v>639</v>
      </c>
      <c r="I18" s="160">
        <v>40338</v>
      </c>
    </row>
    <row r="19" spans="2:9" ht="15" customHeight="1" x14ac:dyDescent="0.35">
      <c r="B19" s="159" t="s">
        <v>417</v>
      </c>
      <c r="C19" s="159" t="s">
        <v>490</v>
      </c>
      <c r="D19" s="159" t="s">
        <v>563</v>
      </c>
      <c r="E19" s="153">
        <v>8</v>
      </c>
      <c r="F19" s="153" t="s">
        <v>621</v>
      </c>
      <c r="G19" s="153" t="s">
        <v>631</v>
      </c>
      <c r="H19" s="153" t="s">
        <v>639</v>
      </c>
      <c r="I19" s="160">
        <v>40338</v>
      </c>
    </row>
    <row r="20" spans="2:9" ht="15" customHeight="1" x14ac:dyDescent="0.35">
      <c r="B20" s="159" t="s">
        <v>418</v>
      </c>
      <c r="C20" s="159" t="s">
        <v>491</v>
      </c>
      <c r="D20" s="159" t="s">
        <v>564</v>
      </c>
      <c r="E20" s="153">
        <v>34</v>
      </c>
      <c r="F20" s="153" t="s">
        <v>621</v>
      </c>
      <c r="G20" s="153" t="s">
        <v>631</v>
      </c>
      <c r="H20" s="153" t="s">
        <v>639</v>
      </c>
      <c r="I20" s="160">
        <v>40338</v>
      </c>
    </row>
    <row r="21" spans="2:9" ht="15" customHeight="1" x14ac:dyDescent="0.35">
      <c r="B21" s="159" t="s">
        <v>419</v>
      </c>
      <c r="C21" s="159" t="s">
        <v>492</v>
      </c>
      <c r="D21" s="159" t="s">
        <v>565</v>
      </c>
      <c r="E21" s="153">
        <v>100</v>
      </c>
      <c r="F21" s="153" t="s">
        <v>621</v>
      </c>
      <c r="G21" s="153" t="s">
        <v>631</v>
      </c>
      <c r="H21" s="153" t="s">
        <v>639</v>
      </c>
      <c r="I21" s="160">
        <v>40338</v>
      </c>
    </row>
    <row r="22" spans="2:9" ht="15" customHeight="1" x14ac:dyDescent="0.35">
      <c r="B22" s="159" t="s">
        <v>420</v>
      </c>
      <c r="C22" s="159" t="s">
        <v>493</v>
      </c>
      <c r="D22" s="159" t="s">
        <v>566</v>
      </c>
      <c r="E22" s="153">
        <v>55</v>
      </c>
      <c r="F22" s="153" t="s">
        <v>621</v>
      </c>
      <c r="G22" s="153" t="s">
        <v>631</v>
      </c>
      <c r="H22" s="153" t="s">
        <v>639</v>
      </c>
      <c r="I22" s="160">
        <v>40338</v>
      </c>
    </row>
    <row r="23" spans="2:9" ht="15" customHeight="1" x14ac:dyDescent="0.35">
      <c r="B23" s="159" t="s">
        <v>421</v>
      </c>
      <c r="C23" s="159" t="s">
        <v>494</v>
      </c>
      <c r="D23" s="159" t="s">
        <v>567</v>
      </c>
      <c r="E23" s="153">
        <v>41</v>
      </c>
      <c r="F23" s="153" t="s">
        <v>621</v>
      </c>
      <c r="G23" s="153" t="s">
        <v>633</v>
      </c>
      <c r="H23" s="153" t="s">
        <v>640</v>
      </c>
      <c r="I23" s="160">
        <v>40338</v>
      </c>
    </row>
    <row r="24" spans="2:9" ht="15" customHeight="1" x14ac:dyDescent="0.35">
      <c r="B24" s="159" t="s">
        <v>422</v>
      </c>
      <c r="C24" s="159" t="s">
        <v>495</v>
      </c>
      <c r="D24" s="159" t="s">
        <v>568</v>
      </c>
      <c r="E24" s="153">
        <v>184</v>
      </c>
      <c r="F24" s="153" t="s">
        <v>623</v>
      </c>
      <c r="G24" s="153" t="s">
        <v>634</v>
      </c>
      <c r="H24" s="153" t="s">
        <v>641</v>
      </c>
      <c r="I24" s="160">
        <v>40338</v>
      </c>
    </row>
    <row r="25" spans="2:9" ht="15" customHeight="1" x14ac:dyDescent="0.35">
      <c r="B25" s="159" t="s">
        <v>423</v>
      </c>
      <c r="C25" s="159" t="s">
        <v>496</v>
      </c>
      <c r="D25" s="159" t="s">
        <v>569</v>
      </c>
      <c r="E25" s="153">
        <v>167</v>
      </c>
      <c r="F25" s="153" t="s">
        <v>623</v>
      </c>
      <c r="G25" s="153" t="s">
        <v>634</v>
      </c>
      <c r="H25" s="153" t="s">
        <v>641</v>
      </c>
      <c r="I25" s="160">
        <v>40338</v>
      </c>
    </row>
    <row r="26" spans="2:9" ht="15" customHeight="1" x14ac:dyDescent="0.35">
      <c r="B26" s="159" t="s">
        <v>424</v>
      </c>
      <c r="C26" s="159" t="s">
        <v>497</v>
      </c>
      <c r="D26" s="159" t="s">
        <v>570</v>
      </c>
      <c r="E26" s="153">
        <v>225</v>
      </c>
      <c r="F26" s="153" t="s">
        <v>623</v>
      </c>
      <c r="G26" s="153" t="s">
        <v>633</v>
      </c>
      <c r="H26" s="153" t="s">
        <v>642</v>
      </c>
      <c r="I26" s="160">
        <v>40338</v>
      </c>
    </row>
    <row r="27" spans="2:9" ht="15" customHeight="1" x14ac:dyDescent="0.35">
      <c r="B27" s="159" t="s">
        <v>425</v>
      </c>
      <c r="C27" s="159" t="s">
        <v>498</v>
      </c>
      <c r="D27" s="159" t="s">
        <v>571</v>
      </c>
      <c r="E27" s="153">
        <v>217</v>
      </c>
      <c r="F27" s="153" t="s">
        <v>623</v>
      </c>
      <c r="G27" s="153" t="s">
        <v>633</v>
      </c>
      <c r="H27" s="153" t="s">
        <v>642</v>
      </c>
      <c r="I27" s="160">
        <v>40338</v>
      </c>
    </row>
    <row r="28" spans="2:9" ht="15" customHeight="1" x14ac:dyDescent="0.35">
      <c r="B28" s="159" t="s">
        <v>426</v>
      </c>
      <c r="C28" s="159" t="s">
        <v>499</v>
      </c>
      <c r="D28" s="159" t="s">
        <v>572</v>
      </c>
      <c r="E28" s="153">
        <v>185</v>
      </c>
      <c r="F28" s="153" t="s">
        <v>623</v>
      </c>
      <c r="G28" s="153" t="s">
        <v>633</v>
      </c>
      <c r="H28" s="153" t="s">
        <v>643</v>
      </c>
      <c r="I28" s="160">
        <v>40338</v>
      </c>
    </row>
    <row r="29" spans="2:9" ht="15" customHeight="1" x14ac:dyDescent="0.35">
      <c r="B29" s="159" t="s">
        <v>427</v>
      </c>
      <c r="C29" s="159" t="s">
        <v>500</v>
      </c>
      <c r="D29" s="159" t="s">
        <v>573</v>
      </c>
      <c r="E29" s="153">
        <v>165</v>
      </c>
      <c r="F29" s="153" t="s">
        <v>623</v>
      </c>
      <c r="G29" s="153" t="s">
        <v>633</v>
      </c>
      <c r="H29" s="153" t="s">
        <v>643</v>
      </c>
      <c r="I29" s="160">
        <v>40338</v>
      </c>
    </row>
    <row r="30" spans="2:9" ht="15" customHeight="1" x14ac:dyDescent="0.35">
      <c r="B30" s="159" t="s">
        <v>428</v>
      </c>
      <c r="C30" s="159" t="s">
        <v>501</v>
      </c>
      <c r="D30" s="159" t="s">
        <v>574</v>
      </c>
      <c r="E30" s="153">
        <v>102</v>
      </c>
      <c r="F30" s="153" t="s">
        <v>623</v>
      </c>
      <c r="G30" s="153" t="s">
        <v>633</v>
      </c>
      <c r="H30" s="153" t="s">
        <v>642</v>
      </c>
      <c r="I30" s="160">
        <v>40338</v>
      </c>
    </row>
    <row r="31" spans="2:9" ht="15" customHeight="1" x14ac:dyDescent="0.35">
      <c r="B31" s="159" t="s">
        <v>429</v>
      </c>
      <c r="C31" s="159" t="s">
        <v>502</v>
      </c>
      <c r="D31" s="159" t="s">
        <v>575</v>
      </c>
      <c r="E31" s="153">
        <v>125</v>
      </c>
      <c r="F31" s="153" t="s">
        <v>623</v>
      </c>
      <c r="G31" s="153" t="s">
        <v>633</v>
      </c>
      <c r="H31" s="153" t="s">
        <v>642</v>
      </c>
      <c r="I31" s="160">
        <v>40338</v>
      </c>
    </row>
    <row r="32" spans="2:9" ht="15" customHeight="1" x14ac:dyDescent="0.35">
      <c r="B32" s="159" t="s">
        <v>430</v>
      </c>
      <c r="C32" s="159" t="s">
        <v>503</v>
      </c>
      <c r="D32" s="159" t="s">
        <v>576</v>
      </c>
      <c r="E32" s="153">
        <v>208</v>
      </c>
      <c r="F32" s="153" t="s">
        <v>623</v>
      </c>
      <c r="G32" s="153" t="s">
        <v>633</v>
      </c>
      <c r="H32" s="153" t="s">
        <v>643</v>
      </c>
      <c r="I32" s="160">
        <v>40338</v>
      </c>
    </row>
    <row r="33" spans="2:9" ht="15" customHeight="1" x14ac:dyDescent="0.35">
      <c r="B33" s="159" t="s">
        <v>431</v>
      </c>
      <c r="C33" s="159" t="s">
        <v>504</v>
      </c>
      <c r="D33" s="159" t="s">
        <v>577</v>
      </c>
      <c r="E33" s="153">
        <v>412</v>
      </c>
      <c r="F33" s="153" t="s">
        <v>624</v>
      </c>
      <c r="G33" s="153" t="s">
        <v>633</v>
      </c>
      <c r="H33" s="153" t="s">
        <v>642</v>
      </c>
      <c r="I33" s="160">
        <v>40338</v>
      </c>
    </row>
    <row r="34" spans="2:9" ht="15" customHeight="1" x14ac:dyDescent="0.35">
      <c r="B34" s="159" t="s">
        <v>432</v>
      </c>
      <c r="C34" s="159" t="s">
        <v>505</v>
      </c>
      <c r="D34" s="159" t="s">
        <v>578</v>
      </c>
      <c r="E34" s="153">
        <v>96</v>
      </c>
      <c r="F34" s="153" t="s">
        <v>624</v>
      </c>
      <c r="G34" s="153" t="s">
        <v>633</v>
      </c>
      <c r="H34" s="153" t="s">
        <v>640</v>
      </c>
      <c r="I34" s="160">
        <v>40338</v>
      </c>
    </row>
    <row r="35" spans="2:9" ht="15" customHeight="1" x14ac:dyDescent="0.35">
      <c r="B35" s="159" t="s">
        <v>433</v>
      </c>
      <c r="C35" s="159" t="s">
        <v>506</v>
      </c>
      <c r="D35" s="159" t="s">
        <v>579</v>
      </c>
      <c r="E35" s="153">
        <v>103</v>
      </c>
      <c r="F35" s="153" t="s">
        <v>624</v>
      </c>
      <c r="G35" s="153" t="s">
        <v>633</v>
      </c>
      <c r="H35" s="153" t="s">
        <v>640</v>
      </c>
      <c r="I35" s="160">
        <v>40338</v>
      </c>
    </row>
    <row r="36" spans="2:9" ht="15" customHeight="1" x14ac:dyDescent="0.35">
      <c r="B36" s="159" t="s">
        <v>434</v>
      </c>
      <c r="C36" s="159" t="s">
        <v>507</v>
      </c>
      <c r="D36" s="159" t="s">
        <v>580</v>
      </c>
      <c r="E36" s="153">
        <v>424</v>
      </c>
      <c r="F36" s="153" t="s">
        <v>624</v>
      </c>
      <c r="G36" s="153" t="s">
        <v>633</v>
      </c>
      <c r="H36" s="153" t="s">
        <v>640</v>
      </c>
      <c r="I36" s="160">
        <v>40338</v>
      </c>
    </row>
    <row r="37" spans="2:9" ht="15" customHeight="1" x14ac:dyDescent="0.35">
      <c r="B37" s="159" t="s">
        <v>435</v>
      </c>
      <c r="C37" s="159" t="s">
        <v>508</v>
      </c>
      <c r="D37" s="159" t="s">
        <v>581</v>
      </c>
      <c r="E37" s="153">
        <v>279</v>
      </c>
      <c r="F37" s="153" t="s">
        <v>624</v>
      </c>
      <c r="G37" s="153" t="s">
        <v>633</v>
      </c>
      <c r="H37" s="153" t="s">
        <v>640</v>
      </c>
      <c r="I37" s="160">
        <v>40338</v>
      </c>
    </row>
    <row r="38" spans="2:9" ht="15" customHeight="1" x14ac:dyDescent="0.35">
      <c r="B38" s="159" t="s">
        <v>436</v>
      </c>
      <c r="C38" s="159" t="s">
        <v>509</v>
      </c>
      <c r="D38" s="159" t="s">
        <v>582</v>
      </c>
      <c r="E38" s="153">
        <v>128</v>
      </c>
      <c r="F38" s="153" t="s">
        <v>623</v>
      </c>
      <c r="G38" s="153" t="s">
        <v>633</v>
      </c>
      <c r="H38" s="153" t="s">
        <v>643</v>
      </c>
      <c r="I38" s="160">
        <v>40338</v>
      </c>
    </row>
    <row r="39" spans="2:9" ht="15" customHeight="1" x14ac:dyDescent="0.35">
      <c r="B39" s="159" t="s">
        <v>437</v>
      </c>
      <c r="C39" s="159" t="s">
        <v>510</v>
      </c>
      <c r="D39" s="159" t="s">
        <v>583</v>
      </c>
      <c r="E39" s="153">
        <v>96</v>
      </c>
      <c r="F39" s="153" t="s">
        <v>623</v>
      </c>
      <c r="G39" s="153" t="s">
        <v>633</v>
      </c>
      <c r="H39" s="153" t="s">
        <v>643</v>
      </c>
      <c r="I39" s="160">
        <v>40338</v>
      </c>
    </row>
    <row r="40" spans="2:9" ht="15" customHeight="1" x14ac:dyDescent="0.35">
      <c r="B40" s="159" t="s">
        <v>438</v>
      </c>
      <c r="C40" s="159" t="s">
        <v>511</v>
      </c>
      <c r="D40" s="159" t="s">
        <v>584</v>
      </c>
      <c r="E40" s="153">
        <v>48</v>
      </c>
      <c r="F40" s="153" t="s">
        <v>623</v>
      </c>
      <c r="G40" s="153" t="s">
        <v>633</v>
      </c>
      <c r="H40" s="153" t="s">
        <v>643</v>
      </c>
      <c r="I40" s="160">
        <v>40338</v>
      </c>
    </row>
    <row r="41" spans="2:9" ht="15" customHeight="1" x14ac:dyDescent="0.35">
      <c r="B41" s="159" t="s">
        <v>439</v>
      </c>
      <c r="C41" s="159" t="s">
        <v>512</v>
      </c>
      <c r="D41" s="159" t="s">
        <v>585</v>
      </c>
      <c r="E41" s="153">
        <v>504</v>
      </c>
      <c r="F41" s="153" t="s">
        <v>622</v>
      </c>
      <c r="G41" s="153" t="s">
        <v>635</v>
      </c>
      <c r="H41" s="153" t="s">
        <v>644</v>
      </c>
      <c r="I41" s="160">
        <v>40338</v>
      </c>
    </row>
    <row r="42" spans="2:9" ht="15" customHeight="1" x14ac:dyDescent="0.35">
      <c r="B42" s="159" t="s">
        <v>440</v>
      </c>
      <c r="C42" s="159" t="s">
        <v>513</v>
      </c>
      <c r="D42" s="159" t="s">
        <v>586</v>
      </c>
      <c r="E42" s="153">
        <v>296</v>
      </c>
      <c r="F42" s="153" t="s">
        <v>622</v>
      </c>
      <c r="G42" s="153" t="s">
        <v>635</v>
      </c>
      <c r="H42" s="153" t="s">
        <v>644</v>
      </c>
      <c r="I42" s="160">
        <v>40338</v>
      </c>
    </row>
    <row r="43" spans="2:9" ht="15" customHeight="1" x14ac:dyDescent="0.35">
      <c r="B43" s="159" t="s">
        <v>441</v>
      </c>
      <c r="C43" s="159" t="s">
        <v>514</v>
      </c>
      <c r="D43" s="159" t="s">
        <v>587</v>
      </c>
      <c r="E43" s="153">
        <v>134</v>
      </c>
      <c r="F43" s="153" t="s">
        <v>623</v>
      </c>
      <c r="G43" s="153" t="s">
        <v>635</v>
      </c>
      <c r="H43" s="153" t="s">
        <v>644</v>
      </c>
      <c r="I43" s="160">
        <v>40338</v>
      </c>
    </row>
    <row r="44" spans="2:9" ht="15" customHeight="1" x14ac:dyDescent="0.35">
      <c r="B44" s="159" t="s">
        <v>442</v>
      </c>
      <c r="C44" s="159" t="s">
        <v>515</v>
      </c>
      <c r="D44" s="159" t="s">
        <v>588</v>
      </c>
      <c r="E44" s="153">
        <v>88</v>
      </c>
      <c r="F44" s="153" t="s">
        <v>623</v>
      </c>
      <c r="G44" s="153" t="s">
        <v>635</v>
      </c>
      <c r="H44" s="153" t="s">
        <v>644</v>
      </c>
      <c r="I44" s="160">
        <v>40338</v>
      </c>
    </row>
    <row r="45" spans="2:9" ht="15" customHeight="1" x14ac:dyDescent="0.35">
      <c r="B45" s="159" t="s">
        <v>443</v>
      </c>
      <c r="C45" s="159" t="s">
        <v>516</v>
      </c>
      <c r="D45" s="159" t="s">
        <v>589</v>
      </c>
      <c r="E45" s="153">
        <v>228</v>
      </c>
      <c r="F45" s="153" t="s">
        <v>625</v>
      </c>
      <c r="G45" s="153" t="s">
        <v>636</v>
      </c>
      <c r="H45" s="153" t="s">
        <v>645</v>
      </c>
      <c r="I45" s="160">
        <v>40338</v>
      </c>
    </row>
    <row r="46" spans="2:9" ht="15" customHeight="1" x14ac:dyDescent="0.35">
      <c r="B46" s="159" t="s">
        <v>444</v>
      </c>
      <c r="C46" s="159" t="s">
        <v>517</v>
      </c>
      <c r="D46" s="159" t="s">
        <v>590</v>
      </c>
      <c r="E46" s="153">
        <v>129</v>
      </c>
      <c r="F46" s="153" t="s">
        <v>625</v>
      </c>
      <c r="G46" s="153" t="s">
        <v>636</v>
      </c>
      <c r="H46" s="153" t="s">
        <v>645</v>
      </c>
      <c r="I46" s="160">
        <v>40338</v>
      </c>
    </row>
    <row r="47" spans="2:9" ht="15" customHeight="1" x14ac:dyDescent="0.35">
      <c r="B47" s="159" t="s">
        <v>445</v>
      </c>
      <c r="C47" s="159" t="s">
        <v>518</v>
      </c>
      <c r="D47" s="159" t="s">
        <v>591</v>
      </c>
      <c r="E47" s="153">
        <v>288</v>
      </c>
      <c r="F47" s="153" t="s">
        <v>622</v>
      </c>
      <c r="G47" s="153" t="s">
        <v>632</v>
      </c>
      <c r="H47" s="153" t="s">
        <v>639</v>
      </c>
      <c r="I47" s="160">
        <v>40338</v>
      </c>
    </row>
    <row r="48" spans="2:9" ht="15" customHeight="1" x14ac:dyDescent="0.35">
      <c r="B48" s="159" t="s">
        <v>446</v>
      </c>
      <c r="C48" s="159" t="s">
        <v>519</v>
      </c>
      <c r="D48" s="159" t="s">
        <v>592</v>
      </c>
      <c r="E48" s="153">
        <v>360</v>
      </c>
      <c r="F48" s="153" t="s">
        <v>623</v>
      </c>
      <c r="G48" s="153" t="s">
        <v>632</v>
      </c>
      <c r="H48" s="153" t="s">
        <v>639</v>
      </c>
      <c r="I48" s="160">
        <v>40338</v>
      </c>
    </row>
    <row r="49" spans="2:9" ht="15" customHeight="1" x14ac:dyDescent="0.35">
      <c r="B49" s="159" t="s">
        <v>447</v>
      </c>
      <c r="C49" s="159" t="s">
        <v>520</v>
      </c>
      <c r="D49" s="159" t="s">
        <v>593</v>
      </c>
      <c r="E49" s="153">
        <v>220</v>
      </c>
      <c r="F49" s="153" t="s">
        <v>623</v>
      </c>
      <c r="G49" s="153" t="s">
        <v>632</v>
      </c>
      <c r="H49" s="153" t="s">
        <v>639</v>
      </c>
      <c r="I49" s="160">
        <v>40338</v>
      </c>
    </row>
    <row r="50" spans="2:9" ht="15" customHeight="1" x14ac:dyDescent="0.35">
      <c r="B50" s="159" t="s">
        <v>448</v>
      </c>
      <c r="C50" s="159" t="s">
        <v>521</v>
      </c>
      <c r="D50" s="159" t="s">
        <v>594</v>
      </c>
      <c r="E50" s="153">
        <v>187</v>
      </c>
      <c r="F50" s="153" t="s">
        <v>623</v>
      </c>
      <c r="G50" s="153" t="s">
        <v>632</v>
      </c>
      <c r="H50" s="153" t="s">
        <v>639</v>
      </c>
      <c r="I50" s="160">
        <v>40338</v>
      </c>
    </row>
    <row r="51" spans="2:9" ht="15" customHeight="1" x14ac:dyDescent="0.35">
      <c r="B51" s="159" t="s">
        <v>449</v>
      </c>
      <c r="C51" s="159" t="s">
        <v>522</v>
      </c>
      <c r="D51" s="159" t="s">
        <v>595</v>
      </c>
      <c r="E51" s="153">
        <v>400</v>
      </c>
      <c r="F51" s="153" t="s">
        <v>624</v>
      </c>
      <c r="G51" s="153" t="s">
        <v>632</v>
      </c>
      <c r="H51" s="153" t="s">
        <v>639</v>
      </c>
      <c r="I51" s="160">
        <v>40338</v>
      </c>
    </row>
    <row r="52" spans="2:9" ht="15" customHeight="1" x14ac:dyDescent="0.35">
      <c r="B52" s="159" t="s">
        <v>450</v>
      </c>
      <c r="C52" s="159" t="s">
        <v>523</v>
      </c>
      <c r="D52" s="159" t="s">
        <v>596</v>
      </c>
      <c r="E52" s="153">
        <v>159</v>
      </c>
      <c r="F52" s="153" t="s">
        <v>623</v>
      </c>
      <c r="G52" s="153" t="s">
        <v>637</v>
      </c>
      <c r="H52" s="153" t="s">
        <v>646</v>
      </c>
      <c r="I52" s="160">
        <v>40338</v>
      </c>
    </row>
    <row r="53" spans="2:9" ht="15" customHeight="1" x14ac:dyDescent="0.35">
      <c r="B53" s="159" t="s">
        <v>451</v>
      </c>
      <c r="C53" s="159" t="s">
        <v>524</v>
      </c>
      <c r="D53" s="159" t="s">
        <v>597</v>
      </c>
      <c r="E53" s="153">
        <v>363</v>
      </c>
      <c r="F53" s="153" t="s">
        <v>624</v>
      </c>
      <c r="G53" s="153" t="s">
        <v>636</v>
      </c>
      <c r="H53" s="153" t="s">
        <v>645</v>
      </c>
      <c r="I53" s="160">
        <v>40338</v>
      </c>
    </row>
    <row r="54" spans="2:9" ht="15" customHeight="1" x14ac:dyDescent="0.35">
      <c r="B54" s="159" t="s">
        <v>452</v>
      </c>
      <c r="C54" s="159" t="s">
        <v>525</v>
      </c>
      <c r="D54" s="159" t="s">
        <v>598</v>
      </c>
      <c r="E54" s="153">
        <v>180</v>
      </c>
      <c r="F54" s="153" t="s">
        <v>624</v>
      </c>
      <c r="G54" s="153" t="s">
        <v>634</v>
      </c>
      <c r="H54" s="153" t="s">
        <v>641</v>
      </c>
      <c r="I54" s="160">
        <v>40338</v>
      </c>
    </row>
    <row r="55" spans="2:9" ht="15" customHeight="1" x14ac:dyDescent="0.35">
      <c r="B55" s="159" t="s">
        <v>453</v>
      </c>
      <c r="C55" s="159" t="s">
        <v>526</v>
      </c>
      <c r="D55" s="159" t="s">
        <v>599</v>
      </c>
      <c r="E55" s="153">
        <v>84</v>
      </c>
      <c r="F55" s="153" t="s">
        <v>623</v>
      </c>
      <c r="G55" s="153" t="s">
        <v>632</v>
      </c>
      <c r="H55" s="153" t="s">
        <v>639</v>
      </c>
      <c r="I55" s="160">
        <v>40338</v>
      </c>
    </row>
    <row r="56" spans="2:9" ht="15" customHeight="1" x14ac:dyDescent="0.35">
      <c r="B56" s="159" t="s">
        <v>454</v>
      </c>
      <c r="C56" s="159" t="s">
        <v>527</v>
      </c>
      <c r="D56" s="159" t="s">
        <v>600</v>
      </c>
      <c r="E56" s="153">
        <v>207</v>
      </c>
      <c r="F56" s="153" t="s">
        <v>624</v>
      </c>
      <c r="G56" s="153" t="s">
        <v>632</v>
      </c>
      <c r="H56" s="153" t="s">
        <v>639</v>
      </c>
      <c r="I56" s="160">
        <v>40338</v>
      </c>
    </row>
    <row r="57" spans="2:9" ht="15" customHeight="1" x14ac:dyDescent="0.35">
      <c r="B57" s="159" t="s">
        <v>455</v>
      </c>
      <c r="C57" s="159" t="s">
        <v>528</v>
      </c>
      <c r="D57" s="159" t="s">
        <v>601</v>
      </c>
      <c r="E57" s="153">
        <v>28</v>
      </c>
      <c r="F57" s="153" t="s">
        <v>624</v>
      </c>
      <c r="G57" s="153" t="s">
        <v>632</v>
      </c>
      <c r="H57" s="153" t="s">
        <v>639</v>
      </c>
      <c r="I57" s="160">
        <v>40338</v>
      </c>
    </row>
    <row r="58" spans="2:9" ht="15" customHeight="1" x14ac:dyDescent="0.35">
      <c r="B58" s="159" t="s">
        <v>456</v>
      </c>
      <c r="C58" s="159" t="s">
        <v>529</v>
      </c>
      <c r="D58" s="159" t="s">
        <v>602</v>
      </c>
      <c r="E58" s="153">
        <v>26</v>
      </c>
      <c r="F58" s="153" t="s">
        <v>624</v>
      </c>
      <c r="G58" s="153" t="s">
        <v>632</v>
      </c>
      <c r="H58" s="153" t="s">
        <v>639</v>
      </c>
      <c r="I58" s="160">
        <v>40338</v>
      </c>
    </row>
    <row r="59" spans="2:9" ht="15" customHeight="1" x14ac:dyDescent="0.35">
      <c r="B59" s="159" t="s">
        <v>457</v>
      </c>
      <c r="C59" s="159" t="s">
        <v>530</v>
      </c>
      <c r="D59" s="159" t="s">
        <v>603</v>
      </c>
      <c r="E59" s="153">
        <v>128</v>
      </c>
      <c r="F59" s="153" t="s">
        <v>624</v>
      </c>
      <c r="G59" s="153" t="s">
        <v>632</v>
      </c>
      <c r="H59" s="153" t="s">
        <v>639</v>
      </c>
      <c r="I59" s="160">
        <v>40338</v>
      </c>
    </row>
    <row r="60" spans="2:9" ht="15" customHeight="1" x14ac:dyDescent="0.35">
      <c r="B60" s="159" t="s">
        <v>458</v>
      </c>
      <c r="C60" s="159" t="s">
        <v>531</v>
      </c>
      <c r="D60" s="159" t="s">
        <v>604</v>
      </c>
      <c r="E60" s="153">
        <v>244</v>
      </c>
      <c r="F60" s="153" t="s">
        <v>624</v>
      </c>
      <c r="G60" s="153" t="s">
        <v>637</v>
      </c>
      <c r="H60" s="153" t="s">
        <v>646</v>
      </c>
      <c r="I60" s="160">
        <v>40338</v>
      </c>
    </row>
    <row r="61" spans="2:9" ht="15" customHeight="1" x14ac:dyDescent="0.35">
      <c r="B61" s="159" t="s">
        <v>459</v>
      </c>
      <c r="C61" s="159" t="s">
        <v>532</v>
      </c>
      <c r="D61" s="159" t="s">
        <v>605</v>
      </c>
      <c r="E61" s="153">
        <v>310</v>
      </c>
      <c r="F61" s="153" t="s">
        <v>624</v>
      </c>
      <c r="G61" s="153" t="s">
        <v>637</v>
      </c>
      <c r="H61" s="153" t="s">
        <v>646</v>
      </c>
      <c r="I61" s="160">
        <v>40338</v>
      </c>
    </row>
    <row r="62" spans="2:9" ht="15" customHeight="1" x14ac:dyDescent="0.35">
      <c r="B62" s="159" t="s">
        <v>460</v>
      </c>
      <c r="C62" s="159" t="s">
        <v>533</v>
      </c>
      <c r="D62" s="159" t="s">
        <v>606</v>
      </c>
      <c r="E62" s="153">
        <v>952</v>
      </c>
      <c r="F62" s="153" t="s">
        <v>624</v>
      </c>
      <c r="G62" s="153" t="s">
        <v>632</v>
      </c>
      <c r="H62" s="153" t="s">
        <v>639</v>
      </c>
      <c r="I62" s="160">
        <v>40338</v>
      </c>
    </row>
    <row r="63" spans="2:9" ht="15" customHeight="1" x14ac:dyDescent="0.35">
      <c r="B63" s="159" t="s">
        <v>461</v>
      </c>
      <c r="C63" s="159" t="s">
        <v>534</v>
      </c>
      <c r="D63" s="159" t="s">
        <v>607</v>
      </c>
      <c r="E63" s="153">
        <v>124</v>
      </c>
      <c r="F63" s="153" t="s">
        <v>626</v>
      </c>
      <c r="G63" s="153" t="s">
        <v>632</v>
      </c>
      <c r="H63" s="153" t="s">
        <v>639</v>
      </c>
      <c r="I63" s="160">
        <v>40338</v>
      </c>
    </row>
    <row r="64" spans="2:9" ht="15" customHeight="1" x14ac:dyDescent="0.35">
      <c r="B64" s="159" t="s">
        <v>462</v>
      </c>
      <c r="C64" s="159" t="s">
        <v>535</v>
      </c>
      <c r="D64" s="159" t="s">
        <v>608</v>
      </c>
      <c r="E64" s="153">
        <v>54</v>
      </c>
      <c r="F64" s="153" t="s">
        <v>626</v>
      </c>
      <c r="G64" s="153" t="s">
        <v>632</v>
      </c>
      <c r="H64" s="153" t="s">
        <v>639</v>
      </c>
      <c r="I64" s="160">
        <v>40338</v>
      </c>
    </row>
    <row r="65" spans="2:9" ht="15" customHeight="1" x14ac:dyDescent="0.35">
      <c r="B65" s="159" t="s">
        <v>463</v>
      </c>
      <c r="C65" s="159" t="s">
        <v>536</v>
      </c>
      <c r="D65" s="159" t="s">
        <v>609</v>
      </c>
      <c r="E65" s="153">
        <v>247</v>
      </c>
      <c r="F65" s="153" t="s">
        <v>626</v>
      </c>
      <c r="G65" s="153" t="s">
        <v>637</v>
      </c>
      <c r="H65" s="153" t="s">
        <v>646</v>
      </c>
      <c r="I65" s="160">
        <v>40338</v>
      </c>
    </row>
    <row r="66" spans="2:9" ht="15" customHeight="1" x14ac:dyDescent="0.35">
      <c r="B66" s="159" t="s">
        <v>464</v>
      </c>
      <c r="C66" s="159" t="s">
        <v>537</v>
      </c>
      <c r="D66" s="159" t="s">
        <v>610</v>
      </c>
      <c r="E66" s="153">
        <v>321</v>
      </c>
      <c r="F66" s="153" t="s">
        <v>626</v>
      </c>
      <c r="G66" s="153" t="s">
        <v>636</v>
      </c>
      <c r="H66" s="153" t="s">
        <v>645</v>
      </c>
      <c r="I66" s="160">
        <v>40338</v>
      </c>
    </row>
    <row r="67" spans="2:9" ht="15" customHeight="1" x14ac:dyDescent="0.35">
      <c r="B67" s="159" t="s">
        <v>465</v>
      </c>
      <c r="C67" s="159" t="s">
        <v>538</v>
      </c>
      <c r="D67" s="159" t="s">
        <v>611</v>
      </c>
      <c r="E67" s="153">
        <v>232</v>
      </c>
      <c r="F67" s="153" t="s">
        <v>626</v>
      </c>
      <c r="G67" s="153" t="s">
        <v>632</v>
      </c>
      <c r="H67" s="153" t="s">
        <v>639</v>
      </c>
      <c r="I67" s="160">
        <v>40338</v>
      </c>
    </row>
    <row r="68" spans="2:9" ht="15" customHeight="1" x14ac:dyDescent="0.35">
      <c r="B68" s="159" t="s">
        <v>466</v>
      </c>
      <c r="C68" s="159" t="s">
        <v>539</v>
      </c>
      <c r="D68" s="159" t="s">
        <v>612</v>
      </c>
      <c r="E68" s="153">
        <v>101</v>
      </c>
      <c r="F68" s="153" t="s">
        <v>626</v>
      </c>
      <c r="G68" s="153" t="s">
        <v>633</v>
      </c>
      <c r="H68" s="153" t="s">
        <v>643</v>
      </c>
      <c r="I68" s="160">
        <v>40338</v>
      </c>
    </row>
    <row r="69" spans="2:9" ht="15" customHeight="1" x14ac:dyDescent="0.35">
      <c r="B69" s="159" t="s">
        <v>467</v>
      </c>
      <c r="C69" s="159" t="s">
        <v>540</v>
      </c>
      <c r="D69" s="159" t="s">
        <v>613</v>
      </c>
      <c r="E69" s="153">
        <v>90</v>
      </c>
      <c r="F69" s="153" t="s">
        <v>626</v>
      </c>
      <c r="G69" s="153" t="s">
        <v>633</v>
      </c>
      <c r="H69" s="153" t="s">
        <v>643</v>
      </c>
      <c r="I69" s="160">
        <v>40338</v>
      </c>
    </row>
    <row r="70" spans="2:9" ht="15" customHeight="1" x14ac:dyDescent="0.35">
      <c r="B70" s="159" t="s">
        <v>468</v>
      </c>
      <c r="C70" s="159" t="s">
        <v>541</v>
      </c>
      <c r="D70" s="159" t="s">
        <v>614</v>
      </c>
      <c r="E70" s="153">
        <v>136</v>
      </c>
      <c r="F70" s="153" t="s">
        <v>626</v>
      </c>
      <c r="G70" s="153" t="s">
        <v>634</v>
      </c>
      <c r="H70" s="153" t="s">
        <v>641</v>
      </c>
      <c r="I70" s="160">
        <v>40338</v>
      </c>
    </row>
    <row r="71" spans="2:9" ht="15" customHeight="1" x14ac:dyDescent="0.35">
      <c r="B71" s="159" t="s">
        <v>469</v>
      </c>
      <c r="C71" s="159" t="s">
        <v>542</v>
      </c>
      <c r="D71" s="159" t="s">
        <v>615</v>
      </c>
      <c r="E71" s="153">
        <v>372</v>
      </c>
      <c r="F71" s="153" t="s">
        <v>626</v>
      </c>
      <c r="G71" s="153" t="s">
        <v>634</v>
      </c>
      <c r="H71" s="153" t="s">
        <v>641</v>
      </c>
      <c r="I71" s="160">
        <v>40338</v>
      </c>
    </row>
    <row r="72" spans="2:9" ht="15" customHeight="1" x14ac:dyDescent="0.35">
      <c r="B72" s="159" t="s">
        <v>470</v>
      </c>
      <c r="C72" s="159" t="s">
        <v>543</v>
      </c>
      <c r="D72" s="159" t="s">
        <v>616</v>
      </c>
      <c r="E72" s="153">
        <v>97</v>
      </c>
      <c r="F72" s="153" t="s">
        <v>626</v>
      </c>
      <c r="G72" s="153" t="s">
        <v>631</v>
      </c>
      <c r="H72" s="153" t="s">
        <v>639</v>
      </c>
      <c r="I72" s="160">
        <v>40338</v>
      </c>
    </row>
    <row r="73" spans="2:9" ht="15" customHeight="1" x14ac:dyDescent="0.35">
      <c r="B73" s="159" t="s">
        <v>471</v>
      </c>
      <c r="C73" s="159" t="s">
        <v>544</v>
      </c>
      <c r="D73" s="159" t="s">
        <v>617</v>
      </c>
      <c r="E73" s="153">
        <v>84</v>
      </c>
      <c r="F73" s="153" t="s">
        <v>626</v>
      </c>
      <c r="G73" s="153" t="s">
        <v>631</v>
      </c>
      <c r="H73" s="153" t="s">
        <v>639</v>
      </c>
      <c r="I73" s="160">
        <v>40338</v>
      </c>
    </row>
    <row r="74" spans="2:9" ht="15" customHeight="1" x14ac:dyDescent="0.35">
      <c r="B74" s="159" t="s">
        <v>472</v>
      </c>
      <c r="C74" s="159" t="s">
        <v>545</v>
      </c>
      <c r="D74" s="159" t="s">
        <v>618</v>
      </c>
      <c r="E74" s="153">
        <v>65</v>
      </c>
      <c r="F74" s="153" t="s">
        <v>626</v>
      </c>
      <c r="G74" s="153" t="s">
        <v>631</v>
      </c>
      <c r="H74" s="153" t="s">
        <v>639</v>
      </c>
      <c r="I74" s="160">
        <v>40338</v>
      </c>
    </row>
    <row r="75" spans="2:9" ht="15" customHeight="1" x14ac:dyDescent="0.35">
      <c r="B75" s="159" t="s">
        <v>473</v>
      </c>
      <c r="C75" s="159" t="s">
        <v>546</v>
      </c>
      <c r="D75" s="159" t="s">
        <v>619</v>
      </c>
      <c r="E75" s="153">
        <v>24</v>
      </c>
      <c r="F75" s="153" t="s">
        <v>626</v>
      </c>
      <c r="G75" s="153" t="s">
        <v>631</v>
      </c>
      <c r="H75" s="153" t="s">
        <v>639</v>
      </c>
      <c r="I75" s="160">
        <v>40338</v>
      </c>
    </row>
    <row r="76" spans="2:9" ht="12.75" customHeight="1" x14ac:dyDescent="0.35">
      <c r="B76" s="159" t="s">
        <v>474</v>
      </c>
      <c r="C76" s="159" t="s">
        <v>547</v>
      </c>
      <c r="D76" s="159" t="s">
        <v>620</v>
      </c>
      <c r="E76" s="153">
        <v>750</v>
      </c>
      <c r="F76" s="153" t="s">
        <v>627</v>
      </c>
      <c r="G76" s="153" t="s">
        <v>638</v>
      </c>
      <c r="H76" s="153" t="s">
        <v>639</v>
      </c>
      <c r="I76" s="153"/>
    </row>
    <row r="77" spans="2:9" ht="15" customHeight="1" x14ac:dyDescent="0.35">
      <c r="B77" s="161"/>
      <c r="C77" s="63"/>
      <c r="D77" s="63"/>
      <c r="E77" s="63"/>
      <c r="F77" s="63"/>
      <c r="G77" s="63"/>
      <c r="H77" s="63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85"/>
  <sheetViews>
    <sheetView zoomScale="80" zoomScaleNormal="100" workbookViewId="0">
      <selection activeCell="D55" sqref="D55"/>
    </sheetView>
  </sheetViews>
  <sheetFormatPr defaultColWidth="12.6328125" defaultRowHeight="14.5" x14ac:dyDescent="0.35"/>
  <cols>
    <col min="1" max="1" width="4" customWidth="1"/>
    <col min="2" max="2" width="32" customWidth="1"/>
    <col min="3" max="3" width="70.7265625" style="101" customWidth="1"/>
    <col min="4" max="4" width="37.7265625" customWidth="1"/>
    <col min="5" max="5" width="20" customWidth="1"/>
  </cols>
  <sheetData>
    <row r="2" spans="2:7" ht="18" customHeight="1" x14ac:dyDescent="0.35">
      <c r="B2" s="217" t="s">
        <v>204</v>
      </c>
      <c r="C2" s="217"/>
      <c r="D2" s="217"/>
      <c r="E2" s="217"/>
      <c r="F2" s="162"/>
      <c r="G2" s="162"/>
    </row>
    <row r="3" spans="2:7" x14ac:dyDescent="0.35">
      <c r="B3" s="226" t="s">
        <v>629</v>
      </c>
      <c r="C3" s="226"/>
      <c r="D3" s="226"/>
      <c r="E3" s="226"/>
      <c r="F3" s="162"/>
      <c r="G3" s="162"/>
    </row>
    <row r="4" spans="2:7" x14ac:dyDescent="0.35">
      <c r="B4" s="162"/>
      <c r="C4" s="163"/>
      <c r="D4" s="162"/>
      <c r="E4" s="162"/>
      <c r="F4" s="162"/>
      <c r="G4" s="162"/>
    </row>
    <row r="5" spans="2:7" x14ac:dyDescent="0.35">
      <c r="B5" s="224" t="s">
        <v>205</v>
      </c>
      <c r="C5" s="224"/>
      <c r="D5" s="224"/>
      <c r="E5" s="224"/>
      <c r="F5" s="162"/>
      <c r="G5" s="162"/>
    </row>
    <row r="6" spans="2:7" ht="24.5" customHeight="1" x14ac:dyDescent="0.35">
      <c r="B6" s="164" t="s">
        <v>206</v>
      </c>
      <c r="C6" s="165" t="s">
        <v>630</v>
      </c>
      <c r="D6" s="162"/>
      <c r="E6" s="162"/>
      <c r="F6" s="162"/>
      <c r="G6" s="162"/>
    </row>
    <row r="7" spans="2:7" ht="24" customHeight="1" x14ac:dyDescent="0.35">
      <c r="B7" s="164" t="s">
        <v>207</v>
      </c>
      <c r="C7" s="165" t="s">
        <v>208</v>
      </c>
      <c r="D7" s="162"/>
      <c r="E7" s="162"/>
      <c r="F7" s="162"/>
      <c r="G7" s="162"/>
    </row>
    <row r="8" spans="2:7" x14ac:dyDescent="0.35">
      <c r="B8" s="162"/>
      <c r="C8" s="163"/>
      <c r="D8" s="162"/>
      <c r="E8" s="162"/>
      <c r="F8" s="162"/>
      <c r="G8" s="162"/>
    </row>
    <row r="9" spans="2:7" x14ac:dyDescent="0.35">
      <c r="B9" s="224" t="s">
        <v>357</v>
      </c>
      <c r="C9" s="224"/>
      <c r="D9" s="224"/>
      <c r="E9" s="224"/>
      <c r="F9" s="162"/>
      <c r="G9" s="162"/>
    </row>
    <row r="10" spans="2:7" x14ac:dyDescent="0.35">
      <c r="B10" s="166" t="s">
        <v>209</v>
      </c>
      <c r="C10" s="167" t="s">
        <v>210</v>
      </c>
      <c r="D10" s="166"/>
      <c r="E10" s="166" t="s">
        <v>358</v>
      </c>
      <c r="F10" s="162"/>
      <c r="G10" s="162"/>
    </row>
    <row r="11" spans="2:7" ht="24" customHeight="1" x14ac:dyDescent="0.35">
      <c r="B11" s="166" t="s">
        <v>211</v>
      </c>
      <c r="C11" s="167" t="s">
        <v>376</v>
      </c>
      <c r="D11" s="166" t="s">
        <v>377</v>
      </c>
      <c r="E11" s="166"/>
      <c r="F11" s="162"/>
      <c r="G11" s="162"/>
    </row>
    <row r="12" spans="2:7" ht="24" customHeight="1" x14ac:dyDescent="0.35">
      <c r="B12" s="166" t="s">
        <v>212</v>
      </c>
      <c r="C12" s="167" t="s">
        <v>378</v>
      </c>
      <c r="D12" s="166" t="s">
        <v>379</v>
      </c>
      <c r="E12" s="166" t="s">
        <v>213</v>
      </c>
      <c r="F12" s="162"/>
      <c r="G12" s="162"/>
    </row>
    <row r="13" spans="2:7" ht="24" customHeight="1" x14ac:dyDescent="0.35">
      <c r="B13" s="166" t="s">
        <v>214</v>
      </c>
      <c r="C13" s="167" t="s">
        <v>380</v>
      </c>
      <c r="D13" s="166" t="s">
        <v>381</v>
      </c>
      <c r="E13" s="166"/>
      <c r="F13" s="162"/>
      <c r="G13" s="162"/>
    </row>
    <row r="14" spans="2:7" ht="24" x14ac:dyDescent="0.35">
      <c r="B14" s="166" t="s">
        <v>382</v>
      </c>
      <c r="C14" s="167" t="s">
        <v>383</v>
      </c>
      <c r="D14" s="166" t="s">
        <v>384</v>
      </c>
      <c r="E14" s="166" t="s">
        <v>215</v>
      </c>
      <c r="F14" s="162"/>
      <c r="G14" s="162"/>
    </row>
    <row r="15" spans="2:7" ht="24" customHeight="1" x14ac:dyDescent="0.35">
      <c r="B15" s="166" t="s">
        <v>216</v>
      </c>
      <c r="C15" s="167" t="s">
        <v>385</v>
      </c>
      <c r="D15" s="166" t="s">
        <v>386</v>
      </c>
      <c r="E15" s="166" t="s">
        <v>217</v>
      </c>
      <c r="F15" s="162"/>
      <c r="G15" s="162"/>
    </row>
    <row r="16" spans="2:7" x14ac:dyDescent="0.35">
      <c r="B16" s="166" t="s">
        <v>218</v>
      </c>
      <c r="C16" s="167" t="s">
        <v>219</v>
      </c>
      <c r="D16" s="166" t="s">
        <v>220</v>
      </c>
      <c r="E16" s="166" t="s">
        <v>396</v>
      </c>
      <c r="F16" s="162"/>
      <c r="G16" s="162"/>
    </row>
    <row r="17" spans="2:7" ht="24" customHeight="1" x14ac:dyDescent="0.35">
      <c r="B17" s="166" t="s">
        <v>221</v>
      </c>
      <c r="C17" s="167" t="s">
        <v>222</v>
      </c>
      <c r="D17" s="166" t="s">
        <v>223</v>
      </c>
      <c r="E17" s="166" t="s">
        <v>224</v>
      </c>
      <c r="F17" s="162"/>
      <c r="G17" s="162"/>
    </row>
    <row r="18" spans="2:7" x14ac:dyDescent="0.35">
      <c r="B18" s="162"/>
      <c r="C18" s="163"/>
      <c r="D18" s="162"/>
      <c r="E18" s="162"/>
      <c r="F18" s="162"/>
      <c r="G18" s="162"/>
    </row>
    <row r="19" spans="2:7" x14ac:dyDescent="0.35">
      <c r="B19" s="224" t="s">
        <v>225</v>
      </c>
      <c r="C19" s="224"/>
      <c r="D19" s="224"/>
      <c r="E19" s="224"/>
      <c r="F19" s="162"/>
      <c r="G19" s="162"/>
    </row>
    <row r="20" spans="2:7" ht="24" customHeight="1" x14ac:dyDescent="0.35">
      <c r="B20" s="166" t="s">
        <v>226</v>
      </c>
      <c r="C20" s="167" t="s">
        <v>227</v>
      </c>
      <c r="D20" s="166" t="s">
        <v>397</v>
      </c>
      <c r="E20" s="166"/>
      <c r="F20" s="162"/>
      <c r="G20" s="162"/>
    </row>
    <row r="21" spans="2:7" ht="24" customHeight="1" x14ac:dyDescent="0.35">
      <c r="B21" s="166" t="s">
        <v>228</v>
      </c>
      <c r="C21" s="167" t="s">
        <v>229</v>
      </c>
      <c r="D21" s="166"/>
      <c r="E21" s="166"/>
      <c r="F21" s="162"/>
      <c r="G21" s="162"/>
    </row>
    <row r="22" spans="2:7" ht="24" customHeight="1" x14ac:dyDescent="0.35">
      <c r="B22" s="166" t="s">
        <v>230</v>
      </c>
      <c r="C22" s="167" t="s">
        <v>231</v>
      </c>
      <c r="D22" s="166" t="s">
        <v>232</v>
      </c>
      <c r="E22" s="166"/>
      <c r="F22" s="162"/>
      <c r="G22" s="162"/>
    </row>
    <row r="23" spans="2:7" ht="24" customHeight="1" x14ac:dyDescent="0.35">
      <c r="B23" s="166" t="s">
        <v>233</v>
      </c>
      <c r="C23" s="167" t="s">
        <v>234</v>
      </c>
      <c r="D23" s="166" t="s">
        <v>235</v>
      </c>
      <c r="E23" s="166"/>
      <c r="F23" s="162"/>
      <c r="G23" s="162"/>
    </row>
    <row r="24" spans="2:7" ht="24" customHeight="1" x14ac:dyDescent="0.35">
      <c r="B24" s="166" t="s">
        <v>236</v>
      </c>
      <c r="C24" s="167" t="s">
        <v>237</v>
      </c>
      <c r="D24" s="166" t="s">
        <v>238</v>
      </c>
      <c r="E24" s="166"/>
      <c r="F24" s="162"/>
      <c r="G24" s="162"/>
    </row>
    <row r="25" spans="2:7" x14ac:dyDescent="0.35">
      <c r="B25" s="162"/>
      <c r="C25" s="163"/>
      <c r="D25" s="162"/>
      <c r="E25" s="162"/>
      <c r="F25" s="162"/>
      <c r="G25" s="162"/>
    </row>
    <row r="26" spans="2:7" x14ac:dyDescent="0.35">
      <c r="B26" s="224" t="s">
        <v>239</v>
      </c>
      <c r="C26" s="224"/>
      <c r="D26" s="224"/>
      <c r="E26" s="224"/>
      <c r="F26" s="162"/>
      <c r="G26" s="162"/>
    </row>
    <row r="27" spans="2:7" x14ac:dyDescent="0.35">
      <c r="B27" s="168" t="s">
        <v>240</v>
      </c>
      <c r="C27" s="168" t="s">
        <v>241</v>
      </c>
      <c r="D27" s="168" t="s">
        <v>242</v>
      </c>
      <c r="E27" s="168" t="s">
        <v>243</v>
      </c>
      <c r="F27" s="162"/>
      <c r="G27" s="162"/>
    </row>
    <row r="28" spans="2:7" x14ac:dyDescent="0.35">
      <c r="B28" s="169" t="s">
        <v>244</v>
      </c>
      <c r="C28" s="167" t="s">
        <v>245</v>
      </c>
      <c r="D28" s="166" t="s">
        <v>246</v>
      </c>
      <c r="E28" s="166" t="s">
        <v>247</v>
      </c>
      <c r="F28" s="162"/>
      <c r="G28" s="162"/>
    </row>
    <row r="29" spans="2:7" x14ac:dyDescent="0.35">
      <c r="B29" s="169" t="s">
        <v>248</v>
      </c>
      <c r="C29" s="167" t="s">
        <v>245</v>
      </c>
      <c r="D29" s="166" t="s">
        <v>249</v>
      </c>
      <c r="E29" s="166" t="s">
        <v>250</v>
      </c>
      <c r="F29" s="162"/>
      <c r="G29" s="162"/>
    </row>
    <row r="30" spans="2:7" x14ac:dyDescent="0.35">
      <c r="B30" s="169" t="s">
        <v>251</v>
      </c>
      <c r="C30" s="167" t="s">
        <v>245</v>
      </c>
      <c r="D30" s="166" t="s">
        <v>252</v>
      </c>
      <c r="E30" s="166" t="s">
        <v>253</v>
      </c>
    </row>
    <row r="31" spans="2:7" x14ac:dyDescent="0.35">
      <c r="B31" s="169" t="s">
        <v>254</v>
      </c>
      <c r="C31" s="167" t="s">
        <v>255</v>
      </c>
      <c r="D31" s="166"/>
      <c r="E31" s="166"/>
    </row>
    <row r="32" spans="2:7" x14ac:dyDescent="0.35">
      <c r="B32" s="169" t="s">
        <v>256</v>
      </c>
      <c r="C32" s="167" t="s">
        <v>387</v>
      </c>
      <c r="D32" s="166"/>
      <c r="E32" s="166"/>
    </row>
    <row r="33" spans="2:5" x14ac:dyDescent="0.35">
      <c r="B33" s="169" t="s">
        <v>257</v>
      </c>
      <c r="C33" s="167" t="s">
        <v>258</v>
      </c>
      <c r="D33" s="166"/>
      <c r="E33" s="166"/>
    </row>
    <row r="34" spans="2:5" x14ac:dyDescent="0.35">
      <c r="B34" s="169" t="s">
        <v>259</v>
      </c>
      <c r="C34" s="167" t="s">
        <v>388</v>
      </c>
      <c r="D34" s="166"/>
      <c r="E34" s="166"/>
    </row>
    <row r="36" spans="2:5" x14ac:dyDescent="0.35">
      <c r="B36" s="224" t="s">
        <v>260</v>
      </c>
      <c r="C36" s="224"/>
      <c r="D36" s="224"/>
      <c r="E36" s="224"/>
    </row>
    <row r="37" spans="2:5" x14ac:dyDescent="0.35">
      <c r="B37" s="168" t="s">
        <v>261</v>
      </c>
      <c r="C37" s="168" t="s">
        <v>262</v>
      </c>
      <c r="D37" s="168" t="s">
        <v>263</v>
      </c>
      <c r="E37" s="168" t="s">
        <v>101</v>
      </c>
    </row>
    <row r="38" spans="2:5" x14ac:dyDescent="0.35">
      <c r="B38" s="169" t="s">
        <v>266</v>
      </c>
      <c r="C38" s="167" t="s">
        <v>76</v>
      </c>
      <c r="D38" s="166" t="s">
        <v>264</v>
      </c>
      <c r="E38" s="166" t="s">
        <v>265</v>
      </c>
    </row>
    <row r="39" spans="2:5" x14ac:dyDescent="0.35">
      <c r="B39" s="169" t="s">
        <v>269</v>
      </c>
      <c r="C39" s="167" t="s">
        <v>91</v>
      </c>
      <c r="D39" s="166" t="s">
        <v>267</v>
      </c>
      <c r="E39" s="166" t="s">
        <v>268</v>
      </c>
    </row>
    <row r="40" spans="2:5" x14ac:dyDescent="0.35">
      <c r="B40" s="169" t="s">
        <v>360</v>
      </c>
      <c r="C40" s="167" t="s">
        <v>65</v>
      </c>
      <c r="D40" s="166" t="s">
        <v>270</v>
      </c>
      <c r="E40" s="166" t="s">
        <v>271</v>
      </c>
    </row>
    <row r="41" spans="2:5" x14ac:dyDescent="0.35">
      <c r="B41" s="169" t="s">
        <v>361</v>
      </c>
      <c r="C41" s="167" t="s">
        <v>272</v>
      </c>
      <c r="D41" s="166" t="s">
        <v>264</v>
      </c>
      <c r="E41" s="166" t="s">
        <v>273</v>
      </c>
    </row>
    <row r="42" spans="2:5" x14ac:dyDescent="0.35">
      <c r="B42" s="169" t="s">
        <v>274</v>
      </c>
      <c r="C42" s="167" t="s">
        <v>16</v>
      </c>
      <c r="D42" s="166" t="s">
        <v>270</v>
      </c>
      <c r="E42" s="166" t="s">
        <v>362</v>
      </c>
    </row>
    <row r="43" spans="2:5" x14ac:dyDescent="0.35">
      <c r="B43" s="169" t="s">
        <v>275</v>
      </c>
      <c r="C43" s="167" t="s">
        <v>92</v>
      </c>
      <c r="D43" s="166" t="s">
        <v>264</v>
      </c>
      <c r="E43" s="166" t="s">
        <v>363</v>
      </c>
    </row>
    <row r="44" spans="2:5" x14ac:dyDescent="0.35">
      <c r="B44" s="169" t="s">
        <v>277</v>
      </c>
      <c r="C44" s="167" t="s">
        <v>93</v>
      </c>
      <c r="D44" s="166" t="s">
        <v>270</v>
      </c>
      <c r="E44" s="166" t="s">
        <v>276</v>
      </c>
    </row>
    <row r="45" spans="2:5" x14ac:dyDescent="0.35">
      <c r="B45" s="169" t="s">
        <v>279</v>
      </c>
      <c r="C45" s="167" t="s">
        <v>94</v>
      </c>
      <c r="D45" s="166" t="s">
        <v>267</v>
      </c>
      <c r="E45" s="166" t="s">
        <v>278</v>
      </c>
    </row>
    <row r="46" spans="2:5" x14ac:dyDescent="0.35">
      <c r="B46" s="169" t="s">
        <v>281</v>
      </c>
      <c r="C46" s="167" t="s">
        <v>95</v>
      </c>
      <c r="D46" s="166" t="s">
        <v>267</v>
      </c>
      <c r="E46" s="166" t="s">
        <v>280</v>
      </c>
    </row>
    <row r="47" spans="2:5" x14ac:dyDescent="0.35">
      <c r="B47" s="169" t="s">
        <v>282</v>
      </c>
      <c r="C47" s="167" t="s">
        <v>283</v>
      </c>
      <c r="D47" s="166" t="s">
        <v>267</v>
      </c>
      <c r="E47" s="166" t="s">
        <v>284</v>
      </c>
    </row>
    <row r="48" spans="2:5" x14ac:dyDescent="0.35">
      <c r="B48" s="169" t="s">
        <v>285</v>
      </c>
      <c r="C48" s="167" t="s">
        <v>97</v>
      </c>
      <c r="D48" s="166" t="s">
        <v>267</v>
      </c>
      <c r="E48" s="166" t="s">
        <v>286</v>
      </c>
    </row>
    <row r="49" spans="2:5" x14ac:dyDescent="0.35">
      <c r="B49" s="169" t="s">
        <v>287</v>
      </c>
      <c r="C49" s="167" t="s">
        <v>2</v>
      </c>
      <c r="D49" s="166" t="s">
        <v>264</v>
      </c>
      <c r="E49" s="166" t="s">
        <v>288</v>
      </c>
    </row>
    <row r="50" spans="2:5" x14ac:dyDescent="0.35">
      <c r="B50" s="169" t="s">
        <v>289</v>
      </c>
      <c r="C50" s="167" t="s">
        <v>11</v>
      </c>
      <c r="D50" s="166" t="s">
        <v>264</v>
      </c>
      <c r="E50" s="166" t="s">
        <v>290</v>
      </c>
    </row>
    <row r="51" spans="2:5" x14ac:dyDescent="0.35">
      <c r="B51" s="169" t="s">
        <v>291</v>
      </c>
      <c r="C51" s="167" t="s">
        <v>292</v>
      </c>
      <c r="D51" s="166" t="s">
        <v>264</v>
      </c>
      <c r="E51" s="166" t="s">
        <v>293</v>
      </c>
    </row>
    <row r="52" spans="2:5" x14ac:dyDescent="0.35">
      <c r="B52" s="169" t="s">
        <v>294</v>
      </c>
      <c r="C52" s="167" t="s">
        <v>295</v>
      </c>
      <c r="D52" s="166" t="s">
        <v>264</v>
      </c>
      <c r="E52" s="166" t="s">
        <v>296</v>
      </c>
    </row>
    <row r="53" spans="2:5" x14ac:dyDescent="0.35">
      <c r="B53" s="169" t="s">
        <v>297</v>
      </c>
      <c r="C53" s="167" t="s">
        <v>298</v>
      </c>
      <c r="D53" s="166" t="s">
        <v>264</v>
      </c>
      <c r="E53" s="166" t="s">
        <v>299</v>
      </c>
    </row>
    <row r="54" spans="2:5" x14ac:dyDescent="0.35">
      <c r="B54" s="169" t="s">
        <v>300</v>
      </c>
      <c r="C54" s="167" t="s">
        <v>251</v>
      </c>
      <c r="D54" s="166" t="s">
        <v>264</v>
      </c>
      <c r="E54" s="166" t="s">
        <v>301</v>
      </c>
    </row>
    <row r="55" spans="2:5" x14ac:dyDescent="0.35">
      <c r="B55" s="169" t="s">
        <v>302</v>
      </c>
      <c r="C55" s="167" t="s">
        <v>13</v>
      </c>
      <c r="D55" s="166" t="s">
        <v>264</v>
      </c>
      <c r="E55" s="166" t="s">
        <v>303</v>
      </c>
    </row>
    <row r="56" spans="2:5" x14ac:dyDescent="0.35">
      <c r="B56" s="169" t="s">
        <v>304</v>
      </c>
      <c r="C56" s="167" t="s">
        <v>101</v>
      </c>
      <c r="D56" s="166" t="s">
        <v>267</v>
      </c>
      <c r="E56" s="166" t="s">
        <v>305</v>
      </c>
    </row>
    <row r="57" spans="2:5" x14ac:dyDescent="0.35">
      <c r="B57" s="169" t="s">
        <v>306</v>
      </c>
      <c r="C57" s="167" t="s">
        <v>307</v>
      </c>
      <c r="D57" s="166" t="s">
        <v>264</v>
      </c>
      <c r="E57" s="166" t="s">
        <v>308</v>
      </c>
    </row>
    <row r="58" spans="2:5" x14ac:dyDescent="0.35">
      <c r="B58" s="169" t="s">
        <v>309</v>
      </c>
      <c r="C58" s="167" t="s">
        <v>310</v>
      </c>
      <c r="D58" s="166" t="s">
        <v>264</v>
      </c>
      <c r="E58" s="166" t="s">
        <v>311</v>
      </c>
    </row>
    <row r="59" spans="2:5" x14ac:dyDescent="0.35">
      <c r="B59" s="169" t="s">
        <v>312</v>
      </c>
      <c r="C59" s="167" t="s">
        <v>313</v>
      </c>
      <c r="D59" s="166" t="s">
        <v>264</v>
      </c>
      <c r="E59" s="166" t="s">
        <v>314</v>
      </c>
    </row>
    <row r="60" spans="2:5" x14ac:dyDescent="0.35">
      <c r="B60" s="169" t="s">
        <v>315</v>
      </c>
      <c r="C60" s="167" t="s">
        <v>103</v>
      </c>
      <c r="D60" s="166" t="s">
        <v>264</v>
      </c>
      <c r="E60" s="166" t="s">
        <v>316</v>
      </c>
    </row>
    <row r="61" spans="2:5" x14ac:dyDescent="0.35">
      <c r="B61" s="169" t="s">
        <v>364</v>
      </c>
      <c r="C61" s="167" t="s">
        <v>365</v>
      </c>
      <c r="D61" s="166" t="s">
        <v>270</v>
      </c>
      <c r="E61" s="166" t="s">
        <v>366</v>
      </c>
    </row>
    <row r="62" spans="2:5" x14ac:dyDescent="0.35">
      <c r="B62" s="169" t="s">
        <v>367</v>
      </c>
      <c r="C62" s="167" t="s">
        <v>368</v>
      </c>
      <c r="D62" s="166" t="s">
        <v>267</v>
      </c>
      <c r="E62" s="166" t="s">
        <v>369</v>
      </c>
    </row>
    <row r="63" spans="2:5" x14ac:dyDescent="0.35">
      <c r="B63" s="169" t="s">
        <v>370</v>
      </c>
      <c r="C63" s="167" t="s">
        <v>371</v>
      </c>
      <c r="D63" s="166" t="s">
        <v>267</v>
      </c>
      <c r="E63" s="166" t="s">
        <v>372</v>
      </c>
    </row>
    <row r="64" spans="2:5" x14ac:dyDescent="0.35">
      <c r="B64" s="169" t="s">
        <v>373</v>
      </c>
      <c r="C64" s="167" t="s">
        <v>374</v>
      </c>
      <c r="D64" s="166" t="s">
        <v>264</v>
      </c>
      <c r="E64" s="166" t="s">
        <v>375</v>
      </c>
    </row>
    <row r="66" spans="2:5" x14ac:dyDescent="0.35">
      <c r="B66" s="224" t="s">
        <v>317</v>
      </c>
      <c r="C66" s="224"/>
      <c r="D66" s="224"/>
      <c r="E66" s="224"/>
    </row>
    <row r="67" spans="2:5" ht="24" customHeight="1" x14ac:dyDescent="0.35">
      <c r="B67" s="166" t="s">
        <v>318</v>
      </c>
      <c r="C67" s="167" t="s">
        <v>319</v>
      </c>
      <c r="D67" s="166"/>
      <c r="E67" s="166"/>
    </row>
    <row r="68" spans="2:5" ht="24" customHeight="1" x14ac:dyDescent="0.35">
      <c r="B68" s="166" t="s">
        <v>320</v>
      </c>
      <c r="C68" s="167" t="s">
        <v>321</v>
      </c>
      <c r="D68" s="166" t="s">
        <v>322</v>
      </c>
      <c r="E68" s="166"/>
    </row>
    <row r="69" spans="2:5" ht="24" customHeight="1" x14ac:dyDescent="0.35">
      <c r="B69" s="166" t="s">
        <v>323</v>
      </c>
      <c r="C69" s="167" t="s">
        <v>324</v>
      </c>
      <c r="D69" s="166" t="s">
        <v>322</v>
      </c>
      <c r="E69" s="166"/>
    </row>
    <row r="70" spans="2:5" ht="24" customHeight="1" x14ac:dyDescent="0.35">
      <c r="B70" s="166" t="s">
        <v>325</v>
      </c>
      <c r="C70" s="167" t="s">
        <v>326</v>
      </c>
      <c r="D70" s="166" t="s">
        <v>327</v>
      </c>
      <c r="E70" s="166" t="s">
        <v>328</v>
      </c>
    </row>
    <row r="71" spans="2:5" x14ac:dyDescent="0.35">
      <c r="B71" s="166" t="s">
        <v>329</v>
      </c>
      <c r="C71" s="167" t="s">
        <v>330</v>
      </c>
      <c r="D71" s="166" t="s">
        <v>331</v>
      </c>
      <c r="E71" s="166" t="s">
        <v>332</v>
      </c>
    </row>
    <row r="72" spans="2:5" x14ac:dyDescent="0.35">
      <c r="B72" s="166" t="s">
        <v>333</v>
      </c>
      <c r="C72" s="167" t="s">
        <v>334</v>
      </c>
      <c r="D72" s="166" t="s">
        <v>331</v>
      </c>
      <c r="E72" s="166" t="s">
        <v>335</v>
      </c>
    </row>
    <row r="74" spans="2:5" x14ac:dyDescent="0.35">
      <c r="B74" s="225" t="s">
        <v>336</v>
      </c>
      <c r="C74" s="225"/>
      <c r="D74" s="225"/>
      <c r="E74" s="225"/>
    </row>
    <row r="75" spans="2:5" ht="24" customHeight="1" x14ac:dyDescent="0.35">
      <c r="B75" s="11" t="s">
        <v>337</v>
      </c>
      <c r="C75" s="170" t="s">
        <v>389</v>
      </c>
      <c r="D75" s="11" t="s">
        <v>390</v>
      </c>
      <c r="E75" s="11" t="s">
        <v>391</v>
      </c>
    </row>
    <row r="76" spans="2:5" ht="24" customHeight="1" x14ac:dyDescent="0.35">
      <c r="B76" s="11" t="s">
        <v>338</v>
      </c>
      <c r="C76" s="170" t="s">
        <v>392</v>
      </c>
      <c r="D76" s="11" t="s">
        <v>339</v>
      </c>
      <c r="E76" s="11" t="s">
        <v>340</v>
      </c>
    </row>
    <row r="77" spans="2:5" ht="24" customHeight="1" x14ac:dyDescent="0.35">
      <c r="B77" s="11" t="s">
        <v>341</v>
      </c>
      <c r="C77" s="170" t="s">
        <v>342</v>
      </c>
      <c r="D77" s="11" t="s">
        <v>275</v>
      </c>
      <c r="E77" s="11" t="s">
        <v>343</v>
      </c>
    </row>
    <row r="78" spans="2:5" ht="24" customHeight="1" x14ac:dyDescent="0.35">
      <c r="B78" s="11" t="s">
        <v>344</v>
      </c>
      <c r="C78" s="170" t="s">
        <v>345</v>
      </c>
      <c r="D78" s="11" t="s">
        <v>393</v>
      </c>
      <c r="E78" s="11" t="s">
        <v>394</v>
      </c>
    </row>
    <row r="80" spans="2:5" x14ac:dyDescent="0.35">
      <c r="B80" s="224" t="s">
        <v>346</v>
      </c>
      <c r="C80" s="224"/>
      <c r="D80" s="224"/>
      <c r="E80" s="224"/>
    </row>
    <row r="81" spans="2:5" x14ac:dyDescent="0.35">
      <c r="B81" s="166" t="s">
        <v>347</v>
      </c>
      <c r="C81" s="167" t="s">
        <v>348</v>
      </c>
    </row>
    <row r="82" spans="2:5" x14ac:dyDescent="0.35">
      <c r="B82" s="166" t="s">
        <v>349</v>
      </c>
      <c r="C82" s="167" t="s">
        <v>350</v>
      </c>
    </row>
    <row r="83" spans="2:5" x14ac:dyDescent="0.35">
      <c r="B83" s="166" t="s">
        <v>351</v>
      </c>
      <c r="C83" s="167" t="s">
        <v>352</v>
      </c>
    </row>
    <row r="84" spans="2:5" ht="24" x14ac:dyDescent="0.35">
      <c r="B84" s="171" t="s">
        <v>353</v>
      </c>
      <c r="C84" s="172" t="s">
        <v>395</v>
      </c>
    </row>
    <row r="85" spans="2:5" ht="24" customHeight="1" x14ac:dyDescent="0.35">
      <c r="B85" s="173" t="s">
        <v>354</v>
      </c>
      <c r="C85" s="174" t="s">
        <v>355</v>
      </c>
      <c r="D85" s="175"/>
      <c r="E85" s="175"/>
    </row>
  </sheetData>
  <mergeCells count="10">
    <mergeCell ref="B2:E2"/>
    <mergeCell ref="B3:E3"/>
    <mergeCell ref="B5:E5"/>
    <mergeCell ref="B9:E9"/>
    <mergeCell ref="B19:E19"/>
    <mergeCell ref="B26:E26"/>
    <mergeCell ref="B36:E36"/>
    <mergeCell ref="B66:E66"/>
    <mergeCell ref="B74:E74"/>
    <mergeCell ref="B80:E8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Property Summary</vt:lpstr>
      <vt:lpstr>Initiative Log</vt:lpstr>
      <vt:lpstr>Assumptions</vt:lpstr>
      <vt:lpstr>Portfolio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Manya Agarwal</dc:creator>
  <dc:description/>
  <cp:lastModifiedBy>Manya Agarwal</cp:lastModifiedBy>
  <cp:revision>0</cp:revision>
  <dcterms:created xsi:type="dcterms:W3CDTF">2026-08-06T18:56:05Z</dcterms:created>
  <dcterms:modified xsi:type="dcterms:W3CDTF">2026-09-18T09:52:48Z</dcterms:modified>
  <dc:language>en-US</dc:language>
</cp:coreProperties>
</file>