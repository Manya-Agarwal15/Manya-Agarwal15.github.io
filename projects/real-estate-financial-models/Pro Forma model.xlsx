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64cb1534523e6a/Documents/Gallagher and Mohan/Udemy Excel modules/"/>
    </mc:Choice>
  </mc:AlternateContent>
  <xr:revisionPtr revIDLastSave="73" documentId="8_{3EF61CDE-EE11-46A9-B353-00C58C128DFD}" xr6:coauthVersionLast="47" xr6:coauthVersionMax="47" xr10:uidLastSave="{E5176EFB-0534-4F6C-93C1-FB9AF2AED1E2}"/>
  <bookViews>
    <workbookView xWindow="-110" yWindow="-110" windowWidth="19420" windowHeight="10300" tabRatio="779" xr2:uid="{F8E75CC7-6456-4ACD-8E0C-6D1F319A3774}"/>
  </bookViews>
  <sheets>
    <sheet name="Summary" sheetId="1" r:id="rId1"/>
    <sheet name="Revenue" sheetId="2" r:id="rId2"/>
    <sheet name="Expenses" sheetId="5" r:id="rId3"/>
    <sheet name="Construction Budget" sheetId="6" r:id="rId4"/>
    <sheet name="Financing" sheetId="7" r:id="rId5"/>
    <sheet name="Monthly CF" sheetId="8" r:id="rId6"/>
    <sheet name="Annual CF" sheetId="10" r:id="rId7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2" l="1"/>
  <c r="AF2" i="2"/>
  <c r="H3" i="1"/>
  <c r="C8" i="7"/>
  <c r="C5" i="7"/>
  <c r="C7" i="7"/>
  <c r="D7" i="8"/>
  <c r="AF5" i="2"/>
  <c r="D6" i="8"/>
  <c r="D2" i="8"/>
  <c r="D1" i="10"/>
  <c r="E1" i="10" s="1"/>
  <c r="F1" i="10" s="1"/>
  <c r="G1" i="10" s="1"/>
  <c r="H1" i="10" s="1"/>
  <c r="I1" i="10" s="1"/>
  <c r="J1" i="10" s="1"/>
  <c r="K1" i="10" s="1"/>
  <c r="L1" i="10" s="1"/>
  <c r="M1" i="10" s="1"/>
  <c r="C62" i="10"/>
  <c r="A62" i="10" s="1"/>
  <c r="C61" i="10"/>
  <c r="A61" i="10" s="1"/>
  <c r="C57" i="10"/>
  <c r="A57" i="10" s="1"/>
  <c r="B38" i="10"/>
  <c r="B37" i="10"/>
  <c r="B36" i="10"/>
  <c r="B35" i="10"/>
  <c r="B34" i="10"/>
  <c r="B33" i="10"/>
  <c r="B32" i="10"/>
  <c r="B31" i="10"/>
  <c r="B30" i="10"/>
  <c r="B29" i="10"/>
  <c r="B28" i="10"/>
  <c r="B22" i="10"/>
  <c r="B21" i="10"/>
  <c r="B20" i="10"/>
  <c r="B19" i="10"/>
  <c r="B18" i="10"/>
  <c r="B17" i="10"/>
  <c r="B16" i="10"/>
  <c r="B15" i="10"/>
  <c r="B14" i="10"/>
  <c r="B13" i="10"/>
  <c r="C2" i="10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D64" i="8"/>
  <c r="D65" i="8" s="1"/>
  <c r="C63" i="8"/>
  <c r="C62" i="8"/>
  <c r="C58" i="8"/>
  <c r="C70" i="8" s="1"/>
  <c r="D69" i="8" s="1"/>
  <c r="B30" i="8" l="1"/>
  <c r="B31" i="8"/>
  <c r="B32" i="8"/>
  <c r="B33" i="8"/>
  <c r="B34" i="8"/>
  <c r="B35" i="8"/>
  <c r="B36" i="8"/>
  <c r="B37" i="8"/>
  <c r="B38" i="8"/>
  <c r="B39" i="8"/>
  <c r="B29" i="8"/>
  <c r="B15" i="8"/>
  <c r="B16" i="8"/>
  <c r="B17" i="8"/>
  <c r="B18" i="8"/>
  <c r="B19" i="8"/>
  <c r="B20" i="8"/>
  <c r="B21" i="8"/>
  <c r="B22" i="8"/>
  <c r="B23" i="8"/>
  <c r="B14" i="8"/>
  <c r="C3" i="8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AH3" i="8" s="1"/>
  <c r="AI3" i="8" s="1"/>
  <c r="AJ3" i="8" s="1"/>
  <c r="AK3" i="8" s="1"/>
  <c r="AL3" i="8" s="1"/>
  <c r="AM3" i="8" s="1"/>
  <c r="AN3" i="8" s="1"/>
  <c r="AO3" i="8" s="1"/>
  <c r="AP3" i="8" s="1"/>
  <c r="AQ3" i="8" s="1"/>
  <c r="AR3" i="8" s="1"/>
  <c r="AS3" i="8" s="1"/>
  <c r="AT3" i="8" s="1"/>
  <c r="AU3" i="8" s="1"/>
  <c r="AV3" i="8" s="1"/>
  <c r="AW3" i="8" s="1"/>
  <c r="AX3" i="8" s="1"/>
  <c r="AY3" i="8" s="1"/>
  <c r="AZ3" i="8" s="1"/>
  <c r="BA3" i="8" s="1"/>
  <c r="BB3" i="8" s="1"/>
  <c r="BC3" i="8" s="1"/>
  <c r="BD3" i="8" s="1"/>
  <c r="BE3" i="8" s="1"/>
  <c r="BF3" i="8" s="1"/>
  <c r="BG3" i="8" s="1"/>
  <c r="BH3" i="8" s="1"/>
  <c r="BI3" i="8" s="1"/>
  <c r="BJ3" i="8" s="1"/>
  <c r="BK3" i="8" s="1"/>
  <c r="BL3" i="8" s="1"/>
  <c r="BM3" i="8" s="1"/>
  <c r="BN3" i="8" s="1"/>
  <c r="BO3" i="8" s="1"/>
  <c r="BP3" i="8" s="1"/>
  <c r="BQ3" i="8" s="1"/>
  <c r="BR3" i="8" s="1"/>
  <c r="BS3" i="8" s="1"/>
  <c r="BT3" i="8" s="1"/>
  <c r="BU3" i="8" s="1"/>
  <c r="BV3" i="8" s="1"/>
  <c r="BW3" i="8" s="1"/>
  <c r="BX3" i="8" s="1"/>
  <c r="BY3" i="8" s="1"/>
  <c r="BZ3" i="8" s="1"/>
  <c r="CA3" i="8" s="1"/>
  <c r="CB3" i="8" s="1"/>
  <c r="CC3" i="8" s="1"/>
  <c r="CD3" i="8" s="1"/>
  <c r="CE3" i="8" s="1"/>
  <c r="CF3" i="8" s="1"/>
  <c r="CG3" i="8" s="1"/>
  <c r="CH3" i="8" s="1"/>
  <c r="CI3" i="8" s="1"/>
  <c r="CJ3" i="8" s="1"/>
  <c r="CK3" i="8" s="1"/>
  <c r="CL3" i="8" s="1"/>
  <c r="CM3" i="8" s="1"/>
  <c r="CN3" i="8" s="1"/>
  <c r="CO3" i="8" s="1"/>
  <c r="CP3" i="8" s="1"/>
  <c r="CQ3" i="8" s="1"/>
  <c r="CR3" i="8" s="1"/>
  <c r="CS3" i="8" s="1"/>
  <c r="CT3" i="8" s="1"/>
  <c r="CU3" i="8" s="1"/>
  <c r="CV3" i="8" s="1"/>
  <c r="CW3" i="8" s="1"/>
  <c r="CX3" i="8" s="1"/>
  <c r="CY3" i="8" s="1"/>
  <c r="CZ3" i="8" s="1"/>
  <c r="DA3" i="8" s="1"/>
  <c r="DB3" i="8" s="1"/>
  <c r="DC3" i="8" s="1"/>
  <c r="DD3" i="8" s="1"/>
  <c r="DE3" i="8" s="1"/>
  <c r="DF3" i="8" s="1"/>
  <c r="DG3" i="8" s="1"/>
  <c r="DH3" i="8" s="1"/>
  <c r="DI3" i="8" s="1"/>
  <c r="DJ3" i="8" s="1"/>
  <c r="DK3" i="8" s="1"/>
  <c r="DL3" i="8" s="1"/>
  <c r="DM3" i="8" s="1"/>
  <c r="DN3" i="8" s="1"/>
  <c r="DO3" i="8" s="1"/>
  <c r="DP3" i="8" s="1"/>
  <c r="DQ3" i="8" s="1"/>
  <c r="DR3" i="8" s="1"/>
  <c r="DS3" i="8" s="1"/>
  <c r="DT3" i="8" s="1"/>
  <c r="DU3" i="8" s="1"/>
  <c r="DV3" i="8" s="1"/>
  <c r="DW3" i="8" s="1"/>
  <c r="DX3" i="8" s="1"/>
  <c r="DY3" i="8" s="1"/>
  <c r="DZ3" i="8" s="1"/>
  <c r="EA3" i="8" s="1"/>
  <c r="EB3" i="8" s="1"/>
  <c r="EC3" i="8" s="1"/>
  <c r="ED3" i="8" s="1"/>
  <c r="EE3" i="8" s="1"/>
  <c r="E1" i="8"/>
  <c r="E64" i="8" l="1"/>
  <c r="E65" i="8" s="1"/>
  <c r="E2" i="8"/>
  <c r="F1" i="8"/>
  <c r="C18" i="7"/>
  <c r="C14" i="7"/>
  <c r="C13" i="7"/>
  <c r="D13" i="7" s="1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D12" i="7"/>
  <c r="D52" i="8"/>
  <c r="E3" i="7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BI3" i="7" s="1"/>
  <c r="BJ3" i="7" s="1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BW3" i="7" s="1"/>
  <c r="BX3" i="7" s="1"/>
  <c r="BY3" i="7" s="1"/>
  <c r="BZ3" i="7" s="1"/>
  <c r="CA3" i="7" s="1"/>
  <c r="CB3" i="7" s="1"/>
  <c r="CC3" i="7" s="1"/>
  <c r="CD3" i="7" s="1"/>
  <c r="CE3" i="7" s="1"/>
  <c r="CF3" i="7" s="1"/>
  <c r="CG3" i="7" s="1"/>
  <c r="CH3" i="7" s="1"/>
  <c r="CI3" i="7" s="1"/>
  <c r="CJ3" i="7" s="1"/>
  <c r="CK3" i="7" s="1"/>
  <c r="CL3" i="7" s="1"/>
  <c r="CM3" i="7" s="1"/>
  <c r="CN3" i="7" s="1"/>
  <c r="CO3" i="7" s="1"/>
  <c r="CP3" i="7" s="1"/>
  <c r="CQ3" i="7" s="1"/>
  <c r="CR3" i="7" s="1"/>
  <c r="CS3" i="7" s="1"/>
  <c r="CT3" i="7" s="1"/>
  <c r="CU3" i="7" s="1"/>
  <c r="CV3" i="7" s="1"/>
  <c r="CW3" i="7" s="1"/>
  <c r="CX3" i="7" s="1"/>
  <c r="CY3" i="7" s="1"/>
  <c r="CZ3" i="7" s="1"/>
  <c r="DA3" i="7" s="1"/>
  <c r="DB3" i="7" s="1"/>
  <c r="DC3" i="7" s="1"/>
  <c r="DD3" i="7" s="1"/>
  <c r="DE3" i="7" s="1"/>
  <c r="DF3" i="7" s="1"/>
  <c r="DG3" i="7" s="1"/>
  <c r="DH3" i="7" s="1"/>
  <c r="DI3" i="7" s="1"/>
  <c r="DJ3" i="7" s="1"/>
  <c r="DK3" i="7" s="1"/>
  <c r="DL3" i="7" s="1"/>
  <c r="DM3" i="7" s="1"/>
  <c r="DN3" i="7" s="1"/>
  <c r="DO3" i="7" s="1"/>
  <c r="DP3" i="7" s="1"/>
  <c r="DQ3" i="7" s="1"/>
  <c r="DR3" i="7" s="1"/>
  <c r="DS3" i="7" s="1"/>
  <c r="DT3" i="7" s="1"/>
  <c r="DU3" i="7" s="1"/>
  <c r="DV3" i="7" s="1"/>
  <c r="DW3" i="7" s="1"/>
  <c r="DX3" i="7" s="1"/>
  <c r="DY3" i="7" s="1"/>
  <c r="DZ3" i="7" s="1"/>
  <c r="EA3" i="7" s="1"/>
  <c r="EB3" i="7" s="1"/>
  <c r="EC3" i="7" s="1"/>
  <c r="ED3" i="7" s="1"/>
  <c r="C3" i="7"/>
  <c r="D3" i="7" s="1"/>
  <c r="D2" i="7"/>
  <c r="D8" i="7" s="1"/>
  <c r="G40" i="6"/>
  <c r="G39" i="6"/>
  <c r="G38" i="6"/>
  <c r="G37" i="6"/>
  <c r="G36" i="6"/>
  <c r="G35" i="6"/>
  <c r="G34" i="6"/>
  <c r="G33" i="6"/>
  <c r="G32" i="6"/>
  <c r="G31" i="6"/>
  <c r="G30" i="6"/>
  <c r="G29" i="6"/>
  <c r="H28" i="6"/>
  <c r="G28" i="6"/>
  <c r="H27" i="6"/>
  <c r="G27" i="6"/>
  <c r="H26" i="6"/>
  <c r="G26" i="6"/>
  <c r="H25" i="6"/>
  <c r="G25" i="6"/>
  <c r="D41" i="6"/>
  <c r="H6" i="6"/>
  <c r="H7" i="6"/>
  <c r="H8" i="6"/>
  <c r="H5" i="6"/>
  <c r="D14" i="7" l="1"/>
  <c r="D18" i="7"/>
  <c r="E52" i="8" s="1"/>
  <c r="E12" i="7"/>
  <c r="E2" i="7"/>
  <c r="F64" i="8"/>
  <c r="F65" i="8" s="1"/>
  <c r="F2" i="8"/>
  <c r="G1" i="8"/>
  <c r="G6" i="6"/>
  <c r="G7" i="6"/>
  <c r="G8" i="6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5" i="6"/>
  <c r="F21" i="6" a="1"/>
  <c r="F21" i="6" s="1"/>
  <c r="E21" i="6" a="1"/>
  <c r="E21" i="6" s="1"/>
  <c r="C21" i="6"/>
  <c r="H2" i="6"/>
  <c r="I1" i="6"/>
  <c r="J9" i="5"/>
  <c r="K9" i="5" s="1"/>
  <c r="L9" i="5" s="1"/>
  <c r="M9" i="5" s="1"/>
  <c r="N9" i="5" s="1"/>
  <c r="O9" i="5" s="1"/>
  <c r="P9" i="5" s="1"/>
  <c r="Q9" i="5" s="1"/>
  <c r="R9" i="5" s="1"/>
  <c r="S9" i="5" s="1"/>
  <c r="T9" i="5" s="1"/>
  <c r="J7" i="5"/>
  <c r="J8" i="5" s="1"/>
  <c r="K6" i="5"/>
  <c r="L6" i="5" s="1"/>
  <c r="M6" i="5" s="1"/>
  <c r="N6" i="5" s="1"/>
  <c r="O6" i="5" s="1"/>
  <c r="P6" i="5" s="1"/>
  <c r="Q6" i="5" s="1"/>
  <c r="R6" i="5" s="1"/>
  <c r="S6" i="5" s="1"/>
  <c r="T6" i="5" s="1"/>
  <c r="L2" i="5"/>
  <c r="M2" i="5" s="1"/>
  <c r="N2" i="5" s="1"/>
  <c r="O2" i="5" s="1"/>
  <c r="P2" i="5" s="1"/>
  <c r="Q2" i="5" s="1"/>
  <c r="R2" i="5" s="1"/>
  <c r="S2" i="5" s="1"/>
  <c r="T2" i="5" s="1"/>
  <c r="K2" i="5"/>
  <c r="I33" i="6" l="1"/>
  <c r="I7" i="6"/>
  <c r="I8" i="6"/>
  <c r="I9" i="6"/>
  <c r="I10" i="6"/>
  <c r="I11" i="6"/>
  <c r="I12" i="6"/>
  <c r="I13" i="6"/>
  <c r="I14" i="6"/>
  <c r="I15" i="6"/>
  <c r="I36" i="6"/>
  <c r="I40" i="6"/>
  <c r="I20" i="6"/>
  <c r="I39" i="6"/>
  <c r="I30" i="6"/>
  <c r="I38" i="6"/>
  <c r="I34" i="6"/>
  <c r="I16" i="6"/>
  <c r="I37" i="6"/>
  <c r="I17" i="6"/>
  <c r="I5" i="6"/>
  <c r="I19" i="6"/>
  <c r="I29" i="6"/>
  <c r="I35" i="6"/>
  <c r="I32" i="6"/>
  <c r="I31" i="6"/>
  <c r="I6" i="6"/>
  <c r="I18" i="6"/>
  <c r="E18" i="7"/>
  <c r="E14" i="7"/>
  <c r="J1" i="6"/>
  <c r="I2" i="6"/>
  <c r="F12" i="7"/>
  <c r="G64" i="8"/>
  <c r="G65" i="8" s="1"/>
  <c r="F2" i="7"/>
  <c r="E8" i="7"/>
  <c r="F52" i="8" s="1"/>
  <c r="J10" i="5"/>
  <c r="H21" i="6"/>
  <c r="F12" i="5"/>
  <c r="K7" i="5"/>
  <c r="G2" i="8"/>
  <c r="H1" i="8"/>
  <c r="G21" i="6"/>
  <c r="B14" i="5"/>
  <c r="AG4" i="2"/>
  <c r="AF4" i="2"/>
  <c r="AG1" i="2"/>
  <c r="AH1" i="2" s="1"/>
  <c r="T8" i="2"/>
  <c r="U8" i="2" s="1"/>
  <c r="V8" i="2" s="1"/>
  <c r="W8" i="2" s="1"/>
  <c r="X8" i="2" s="1"/>
  <c r="Y8" i="2" s="1"/>
  <c r="Z8" i="2" s="1"/>
  <c r="AA8" i="2" s="1"/>
  <c r="AB8" i="2" s="1"/>
  <c r="AC8" i="2" s="1"/>
  <c r="AC6" i="2"/>
  <c r="AB6" i="2"/>
  <c r="AA6" i="2"/>
  <c r="Z6" i="2"/>
  <c r="Y6" i="2"/>
  <c r="X6" i="2"/>
  <c r="W6" i="2"/>
  <c r="V6" i="2"/>
  <c r="U6" i="2"/>
  <c r="T6" i="2"/>
  <c r="S6" i="2"/>
  <c r="T1" i="2"/>
  <c r="U1" i="2" s="1"/>
  <c r="V1" i="2" s="1"/>
  <c r="W1" i="2" s="1"/>
  <c r="X1" i="2" s="1"/>
  <c r="Y1" i="2" s="1"/>
  <c r="Z1" i="2" s="1"/>
  <c r="AA1" i="2" s="1"/>
  <c r="AB1" i="2" s="1"/>
  <c r="AC1" i="2" s="1"/>
  <c r="P17" i="2"/>
  <c r="P12" i="2"/>
  <c r="AI1" i="2" l="1"/>
  <c r="AH4" i="2"/>
  <c r="I21" i="6"/>
  <c r="F18" i="7"/>
  <c r="F14" i="7"/>
  <c r="G12" i="7"/>
  <c r="G38" i="8"/>
  <c r="G2" i="7"/>
  <c r="F8" i="7"/>
  <c r="G12" i="5"/>
  <c r="H64" i="8"/>
  <c r="H65" i="8" s="1"/>
  <c r="D38" i="8"/>
  <c r="E38" i="8"/>
  <c r="F38" i="8"/>
  <c r="K1" i="6"/>
  <c r="J38" i="6"/>
  <c r="J35" i="6"/>
  <c r="J32" i="6"/>
  <c r="J29" i="6"/>
  <c r="J8" i="6"/>
  <c r="J12" i="6"/>
  <c r="J31" i="6"/>
  <c r="J39" i="6"/>
  <c r="J6" i="6"/>
  <c r="J36" i="6"/>
  <c r="J30" i="6"/>
  <c r="J34" i="6"/>
  <c r="J10" i="6"/>
  <c r="J13" i="6"/>
  <c r="J40" i="6"/>
  <c r="J37" i="6"/>
  <c r="J16" i="6"/>
  <c r="J18" i="6"/>
  <c r="J9" i="6"/>
  <c r="J11" i="6"/>
  <c r="J14" i="6"/>
  <c r="J33" i="6"/>
  <c r="J5" i="6"/>
  <c r="J17" i="6"/>
  <c r="J15" i="6"/>
  <c r="J7" i="6"/>
  <c r="J19" i="6"/>
  <c r="J20" i="6"/>
  <c r="J2" i="6"/>
  <c r="K8" i="5"/>
  <c r="K10" i="5" s="1"/>
  <c r="L7" i="5"/>
  <c r="G40" i="8"/>
  <c r="H2" i="8"/>
  <c r="I1" i="8"/>
  <c r="H12" i="7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I22" i="2"/>
  <c r="H22" i="2"/>
  <c r="G22" i="2"/>
  <c r="I21" i="2"/>
  <c r="K21" i="2" s="1"/>
  <c r="H21" i="2"/>
  <c r="G21" i="2"/>
  <c r="I20" i="2"/>
  <c r="K20" i="2" s="1"/>
  <c r="H20" i="2"/>
  <c r="G20" i="2"/>
  <c r="I19" i="2"/>
  <c r="H19" i="2"/>
  <c r="G19" i="2"/>
  <c r="I18" i="2"/>
  <c r="H18" i="2"/>
  <c r="G18" i="2"/>
  <c r="I17" i="2"/>
  <c r="K17" i="2" s="1"/>
  <c r="H17" i="2"/>
  <c r="G17" i="2"/>
  <c r="I16" i="2"/>
  <c r="H16" i="2"/>
  <c r="G16" i="2"/>
  <c r="I15" i="2"/>
  <c r="K15" i="2" s="1"/>
  <c r="H15" i="2"/>
  <c r="G15" i="2"/>
  <c r="I14" i="2"/>
  <c r="K14" i="2" s="1"/>
  <c r="H14" i="2"/>
  <c r="G14" i="2"/>
  <c r="I13" i="2"/>
  <c r="K13" i="2" s="1"/>
  <c r="H13" i="2"/>
  <c r="G13" i="2"/>
  <c r="I12" i="2"/>
  <c r="K12" i="2" s="1"/>
  <c r="H12" i="2"/>
  <c r="G12" i="2"/>
  <c r="I11" i="2"/>
  <c r="H11" i="2"/>
  <c r="G11" i="2"/>
  <c r="I10" i="2"/>
  <c r="K10" i="2" s="1"/>
  <c r="H10" i="2"/>
  <c r="G10" i="2"/>
  <c r="I9" i="2"/>
  <c r="K9" i="2" s="1"/>
  <c r="H9" i="2"/>
  <c r="G9" i="2"/>
  <c r="I8" i="2"/>
  <c r="H8" i="2"/>
  <c r="G8" i="2"/>
  <c r="I7" i="2"/>
  <c r="H7" i="2"/>
  <c r="G7" i="2"/>
  <c r="I6" i="2"/>
  <c r="H6" i="2"/>
  <c r="G6" i="2"/>
  <c r="I5" i="2"/>
  <c r="K5" i="2" s="1"/>
  <c r="H5" i="2"/>
  <c r="G5" i="2"/>
  <c r="I4" i="2"/>
  <c r="K4" i="2" s="1"/>
  <c r="H4" i="2"/>
  <c r="G4" i="2"/>
  <c r="I3" i="2"/>
  <c r="H3" i="2"/>
  <c r="G3" i="2"/>
  <c r="K22" i="2"/>
  <c r="K19" i="2"/>
  <c r="K18" i="2"/>
  <c r="K16" i="2"/>
  <c r="K11" i="2"/>
  <c r="K8" i="2"/>
  <c r="K7" i="2"/>
  <c r="K6" i="2"/>
  <c r="K3" i="2"/>
  <c r="D23" i="2"/>
  <c r="A23" i="2"/>
  <c r="C14" i="5" s="1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4" i="2"/>
  <c r="E3" i="2"/>
  <c r="E5" i="2"/>
  <c r="H38" i="8" l="1"/>
  <c r="L1" i="6"/>
  <c r="K40" i="6"/>
  <c r="K31" i="6"/>
  <c r="K29" i="6"/>
  <c r="K33" i="6"/>
  <c r="K34" i="6"/>
  <c r="K5" i="6"/>
  <c r="K36" i="6"/>
  <c r="K30" i="6"/>
  <c r="K38" i="6"/>
  <c r="K37" i="6"/>
  <c r="K7" i="6"/>
  <c r="K39" i="6"/>
  <c r="K10" i="6"/>
  <c r="K13" i="6"/>
  <c r="K27" i="6"/>
  <c r="K16" i="6"/>
  <c r="K19" i="6"/>
  <c r="K12" i="6"/>
  <c r="K32" i="6"/>
  <c r="K15" i="6"/>
  <c r="K18" i="6"/>
  <c r="K35" i="6"/>
  <c r="K11" i="6"/>
  <c r="K9" i="6"/>
  <c r="K14" i="6"/>
  <c r="K17" i="6"/>
  <c r="K20" i="6"/>
  <c r="K8" i="6"/>
  <c r="K2" i="6"/>
  <c r="K28" i="6"/>
  <c r="K6" i="6"/>
  <c r="AJ1" i="2"/>
  <c r="AI4" i="2"/>
  <c r="G18" i="7"/>
  <c r="G14" i="7"/>
  <c r="J21" i="6"/>
  <c r="G52" i="8"/>
  <c r="M23" i="2"/>
  <c r="H14" i="7"/>
  <c r="H18" i="7"/>
  <c r="D17" i="8"/>
  <c r="D18" i="8"/>
  <c r="D23" i="8"/>
  <c r="D16" i="8"/>
  <c r="D22" i="8"/>
  <c r="D15" i="8"/>
  <c r="D21" i="8"/>
  <c r="D14" i="8"/>
  <c r="D20" i="8"/>
  <c r="D19" i="8"/>
  <c r="D40" i="8"/>
  <c r="C34" i="6"/>
  <c r="C36" i="6"/>
  <c r="C26" i="6"/>
  <c r="K26" i="6" s="1"/>
  <c r="C39" i="6"/>
  <c r="C28" i="6"/>
  <c r="C30" i="6"/>
  <c r="C27" i="6"/>
  <c r="C29" i="6"/>
  <c r="C32" i="6"/>
  <c r="H32" i="6" s="1"/>
  <c r="C31" i="6"/>
  <c r="C33" i="6"/>
  <c r="H33" i="6" s="1"/>
  <c r="C37" i="6"/>
  <c r="H37" i="6" s="1"/>
  <c r="C38" i="6"/>
  <c r="C40" i="6"/>
  <c r="C25" i="6"/>
  <c r="C35" i="6"/>
  <c r="D16" i="6"/>
  <c r="D17" i="6"/>
  <c r="D12" i="6"/>
  <c r="D14" i="6"/>
  <c r="D6" i="6"/>
  <c r="D18" i="6"/>
  <c r="D8" i="6"/>
  <c r="D7" i="6"/>
  <c r="D19" i="6"/>
  <c r="D20" i="6"/>
  <c r="D9" i="6"/>
  <c r="D5" i="6"/>
  <c r="D10" i="6"/>
  <c r="E40" i="8"/>
  <c r="D13" i="6"/>
  <c r="D15" i="6"/>
  <c r="D11" i="6"/>
  <c r="F13" i="5"/>
  <c r="C12" i="5"/>
  <c r="C6" i="5"/>
  <c r="F40" i="8"/>
  <c r="F11" i="5"/>
  <c r="C11" i="5"/>
  <c r="C5" i="5"/>
  <c r="F10" i="5"/>
  <c r="C10" i="5"/>
  <c r="AH2" i="2"/>
  <c r="AI2" i="2" s="1"/>
  <c r="AJ2" i="2" s="1"/>
  <c r="AK2" i="2" s="1"/>
  <c r="F7" i="5"/>
  <c r="F4" i="5"/>
  <c r="I30" i="8" s="1"/>
  <c r="C3" i="5"/>
  <c r="F9" i="5"/>
  <c r="C9" i="5"/>
  <c r="F8" i="5"/>
  <c r="C8" i="5"/>
  <c r="C7" i="5"/>
  <c r="F6" i="5"/>
  <c r="I32" i="8" s="1"/>
  <c r="F5" i="5"/>
  <c r="C4" i="5"/>
  <c r="C13" i="5"/>
  <c r="F3" i="5"/>
  <c r="C23" i="2"/>
  <c r="E23" i="2" s="1"/>
  <c r="H2" i="7"/>
  <c r="G8" i="7"/>
  <c r="H52" i="8" s="1"/>
  <c r="I64" i="8"/>
  <c r="M7" i="5"/>
  <c r="L8" i="5"/>
  <c r="L10" i="5" s="1"/>
  <c r="I35" i="8"/>
  <c r="I33" i="8"/>
  <c r="I34" i="8"/>
  <c r="I31" i="8"/>
  <c r="I36" i="8"/>
  <c r="I29" i="8"/>
  <c r="H40" i="8"/>
  <c r="I2" i="8"/>
  <c r="J1" i="8"/>
  <c r="I12" i="7"/>
  <c r="G23" i="2"/>
  <c r="D31" i="8" l="1"/>
  <c r="E31" i="8"/>
  <c r="F31" i="8"/>
  <c r="G31" i="8"/>
  <c r="H31" i="8"/>
  <c r="D36" i="8"/>
  <c r="E36" i="8"/>
  <c r="F36" i="8"/>
  <c r="G36" i="8"/>
  <c r="H36" i="8"/>
  <c r="I28" i="6"/>
  <c r="J28" i="6"/>
  <c r="E16" i="8"/>
  <c r="F16" i="8" s="1"/>
  <c r="G16" i="8" s="1"/>
  <c r="H16" i="8" s="1"/>
  <c r="I16" i="8" s="1"/>
  <c r="J16" i="8" s="1"/>
  <c r="AK1" i="2"/>
  <c r="AJ4" i="2"/>
  <c r="F41" i="6" a="1"/>
  <c r="F41" i="6" s="1"/>
  <c r="E41" i="6" a="1"/>
  <c r="E41" i="6" s="1"/>
  <c r="E45" i="6" s="1"/>
  <c r="E49" i="6" s="1"/>
  <c r="I25" i="6"/>
  <c r="C41" i="6"/>
  <c r="J25" i="6"/>
  <c r="K25" i="6"/>
  <c r="H35" i="6"/>
  <c r="E18" i="8"/>
  <c r="F18" i="8" s="1"/>
  <c r="G18" i="8" s="1"/>
  <c r="H18" i="8" s="1"/>
  <c r="I18" i="8" s="1"/>
  <c r="J18" i="8" s="1"/>
  <c r="H40" i="6"/>
  <c r="H38" i="6"/>
  <c r="H39" i="6"/>
  <c r="I26" i="6"/>
  <c r="J26" i="6"/>
  <c r="E17" i="8"/>
  <c r="F17" i="8" s="1"/>
  <c r="G17" i="8" s="1"/>
  <c r="H17" i="8" s="1"/>
  <c r="I17" i="8" s="1"/>
  <c r="J17" i="8" s="1"/>
  <c r="D34" i="8"/>
  <c r="E34" i="8"/>
  <c r="F34" i="8"/>
  <c r="G34" i="8"/>
  <c r="H34" i="8"/>
  <c r="H34" i="6"/>
  <c r="K21" i="6"/>
  <c r="D35" i="8"/>
  <c r="E35" i="8"/>
  <c r="F35" i="8"/>
  <c r="G35" i="8"/>
  <c r="H35" i="8"/>
  <c r="E19" i="8"/>
  <c r="F19" i="8" s="1"/>
  <c r="G19" i="8" s="1"/>
  <c r="H19" i="8" s="1"/>
  <c r="I19" i="8" s="1"/>
  <c r="J19" i="8" s="1"/>
  <c r="H17" i="7"/>
  <c r="I38" i="8"/>
  <c r="I18" i="7"/>
  <c r="I14" i="7"/>
  <c r="K41" i="6"/>
  <c r="E22" i="8"/>
  <c r="F22" i="8" s="1"/>
  <c r="G22" i="8" s="1"/>
  <c r="H22" i="8" s="1"/>
  <c r="I22" i="8" s="1"/>
  <c r="J22" i="8" s="1"/>
  <c r="D32" i="8"/>
  <c r="E32" i="8"/>
  <c r="F32" i="8"/>
  <c r="G32" i="8"/>
  <c r="H32" i="8"/>
  <c r="H36" i="6"/>
  <c r="D39" i="8"/>
  <c r="E39" i="8"/>
  <c r="F39" i="8"/>
  <c r="G39" i="8"/>
  <c r="E20" i="8"/>
  <c r="F20" i="8" s="1"/>
  <c r="G20" i="8" s="1"/>
  <c r="H20" i="8" s="1"/>
  <c r="I20" i="8" s="1"/>
  <c r="J20" i="8" s="1"/>
  <c r="H31" i="6"/>
  <c r="D30" i="8"/>
  <c r="E30" i="8"/>
  <c r="F30" i="8"/>
  <c r="G30" i="8"/>
  <c r="H30" i="8"/>
  <c r="D21" i="6"/>
  <c r="E14" i="8"/>
  <c r="D24" i="8"/>
  <c r="I23" i="2"/>
  <c r="J23" i="2"/>
  <c r="H39" i="8"/>
  <c r="I2" i="7"/>
  <c r="H8" i="7"/>
  <c r="I52" i="8" s="1"/>
  <c r="D29" i="8"/>
  <c r="E29" i="8"/>
  <c r="F29" i="8"/>
  <c r="G29" i="8"/>
  <c r="H29" i="8"/>
  <c r="F14" i="5"/>
  <c r="G14" i="5" s="1"/>
  <c r="D33" i="8"/>
  <c r="E33" i="8"/>
  <c r="F33" i="8"/>
  <c r="G33" i="8"/>
  <c r="H33" i="8"/>
  <c r="H29" i="6"/>
  <c r="E21" i="8"/>
  <c r="F21" i="8" s="1"/>
  <c r="G21" i="8" s="1"/>
  <c r="H21" i="8" s="1"/>
  <c r="I21" i="8" s="1"/>
  <c r="J21" i="8" s="1"/>
  <c r="H30" i="6"/>
  <c r="E23" i="8"/>
  <c r="F23" i="8" s="1"/>
  <c r="G23" i="8" s="1"/>
  <c r="H23" i="8" s="1"/>
  <c r="I23" i="8" s="1"/>
  <c r="J23" i="8" s="1"/>
  <c r="I27" i="6"/>
  <c r="J27" i="6"/>
  <c r="E15" i="8"/>
  <c r="F15" i="8" s="1"/>
  <c r="G15" i="8" s="1"/>
  <c r="H15" i="8" s="1"/>
  <c r="I15" i="8" s="1"/>
  <c r="J15" i="8" s="1"/>
  <c r="M1" i="6"/>
  <c r="L32" i="6"/>
  <c r="L31" i="6"/>
  <c r="L30" i="6"/>
  <c r="L29" i="6"/>
  <c r="L27" i="6"/>
  <c r="L40" i="6"/>
  <c r="L35" i="6"/>
  <c r="L33" i="6"/>
  <c r="L7" i="6"/>
  <c r="L11" i="6"/>
  <c r="L15" i="6"/>
  <c r="L8" i="6"/>
  <c r="L12" i="6"/>
  <c r="L38" i="6"/>
  <c r="L39" i="6"/>
  <c r="L36" i="6"/>
  <c r="L10" i="6"/>
  <c r="L13" i="6"/>
  <c r="L34" i="6"/>
  <c r="L18" i="6"/>
  <c r="L5" i="6"/>
  <c r="L16" i="6"/>
  <c r="L9" i="6"/>
  <c r="L37" i="6"/>
  <c r="L19" i="6"/>
  <c r="L20" i="6"/>
  <c r="L14" i="6"/>
  <c r="L17" i="6"/>
  <c r="L25" i="6"/>
  <c r="L26" i="6"/>
  <c r="L28" i="6"/>
  <c r="L2" i="6"/>
  <c r="L6" i="6"/>
  <c r="I65" i="8"/>
  <c r="J64" i="8"/>
  <c r="J65" i="8" s="1"/>
  <c r="N7" i="5"/>
  <c r="M8" i="5"/>
  <c r="M10" i="5" s="1"/>
  <c r="I40" i="8"/>
  <c r="I39" i="8"/>
  <c r="J50" i="8"/>
  <c r="J53" i="8" s="1"/>
  <c r="J31" i="8"/>
  <c r="J35" i="8"/>
  <c r="J30" i="8"/>
  <c r="J32" i="8"/>
  <c r="J29" i="8"/>
  <c r="J33" i="8"/>
  <c r="J34" i="8"/>
  <c r="J36" i="8"/>
  <c r="K1" i="8"/>
  <c r="J2" i="8"/>
  <c r="J12" i="7"/>
  <c r="K9" i="1"/>
  <c r="K8" i="1"/>
  <c r="K7" i="1"/>
  <c r="K3" i="1"/>
  <c r="H22" i="1"/>
  <c r="H15" i="1"/>
  <c r="H13" i="1"/>
  <c r="H11" i="1"/>
  <c r="H7" i="1"/>
  <c r="H2" i="1"/>
  <c r="H5" i="1" s="1"/>
  <c r="E13" i="1"/>
  <c r="E2" i="1"/>
  <c r="K10" i="1" s="1"/>
  <c r="B21" i="1"/>
  <c r="H4" i="1" s="1"/>
  <c r="K11" i="1" l="1"/>
  <c r="K2" i="1" s="1"/>
  <c r="K4" i="1" s="1"/>
  <c r="J15" i="7"/>
  <c r="J14" i="7"/>
  <c r="J18" i="7"/>
  <c r="K21" i="8"/>
  <c r="K20" i="8"/>
  <c r="L21" i="6"/>
  <c r="K18" i="8"/>
  <c r="K23" i="8"/>
  <c r="J2" i="7"/>
  <c r="I8" i="7"/>
  <c r="J52" i="8" s="1"/>
  <c r="AL1" i="2"/>
  <c r="AK4" i="2"/>
  <c r="L41" i="6"/>
  <c r="K23" i="2"/>
  <c r="K17" i="8"/>
  <c r="K45" i="6"/>
  <c r="K49" i="6" s="1"/>
  <c r="G45" i="8" s="1"/>
  <c r="F14" i="8"/>
  <c r="E24" i="8"/>
  <c r="I41" i="6"/>
  <c r="H41" i="6"/>
  <c r="D50" i="8"/>
  <c r="C15" i="7"/>
  <c r="C17" i="7"/>
  <c r="E50" i="8"/>
  <c r="E53" i="8" s="1"/>
  <c r="D15" i="7"/>
  <c r="D16" i="7" s="1"/>
  <c r="D19" i="7" s="1"/>
  <c r="F50" i="8"/>
  <c r="F53" i="8" s="1"/>
  <c r="G50" i="8"/>
  <c r="G53" i="8" s="1"/>
  <c r="D17" i="7"/>
  <c r="E15" i="7"/>
  <c r="E17" i="7"/>
  <c r="H50" i="8"/>
  <c r="H53" i="8" s="1"/>
  <c r="F15" i="7"/>
  <c r="G15" i="7"/>
  <c r="I50" i="8"/>
  <c r="I53" i="8" s="1"/>
  <c r="H15" i="7"/>
  <c r="H16" i="7" s="1"/>
  <c r="H19" i="7" s="1"/>
  <c r="F17" i="7"/>
  <c r="K22" i="8"/>
  <c r="L22" i="8" s="1"/>
  <c r="I17" i="7"/>
  <c r="J41" i="6"/>
  <c r="N1" i="6"/>
  <c r="M39" i="6"/>
  <c r="M32" i="6"/>
  <c r="M37" i="6"/>
  <c r="M30" i="6"/>
  <c r="M15" i="6"/>
  <c r="M19" i="6"/>
  <c r="M11" i="6"/>
  <c r="M34" i="6"/>
  <c r="M7" i="6"/>
  <c r="M38" i="6"/>
  <c r="M40" i="6"/>
  <c r="M14" i="6"/>
  <c r="M36" i="6"/>
  <c r="M10" i="6"/>
  <c r="M13" i="6"/>
  <c r="M33" i="6"/>
  <c r="M29" i="6"/>
  <c r="M8" i="6"/>
  <c r="M20" i="6"/>
  <c r="M35" i="6"/>
  <c r="M12" i="6"/>
  <c r="M18" i="6"/>
  <c r="M5" i="6"/>
  <c r="M31" i="6"/>
  <c r="M16" i="6"/>
  <c r="M9" i="6"/>
  <c r="M17" i="6"/>
  <c r="M25" i="6"/>
  <c r="M26" i="6"/>
  <c r="M27" i="6"/>
  <c r="M28" i="6"/>
  <c r="M2" i="6"/>
  <c r="M6" i="6"/>
  <c r="AL2" i="2"/>
  <c r="AM2" i="2" s="1"/>
  <c r="AF3" i="2"/>
  <c r="J38" i="8"/>
  <c r="I15" i="7"/>
  <c r="I16" i="7" s="1"/>
  <c r="I19" i="7" s="1"/>
  <c r="C45" i="6"/>
  <c r="K19" i="8"/>
  <c r="G41" i="6"/>
  <c r="F45" i="6"/>
  <c r="C49" i="10"/>
  <c r="C50" i="8"/>
  <c r="C4" i="7"/>
  <c r="K15" i="8"/>
  <c r="G17" i="7"/>
  <c r="K16" i="8"/>
  <c r="K64" i="8"/>
  <c r="O7" i="5"/>
  <c r="N8" i="5"/>
  <c r="N10" i="5" s="1"/>
  <c r="J40" i="8"/>
  <c r="J39" i="8"/>
  <c r="K50" i="8"/>
  <c r="K53" i="8" s="1"/>
  <c r="K31" i="8"/>
  <c r="K33" i="8"/>
  <c r="K30" i="8"/>
  <c r="K32" i="8"/>
  <c r="K34" i="8"/>
  <c r="K36" i="8"/>
  <c r="K35" i="8"/>
  <c r="K29" i="8"/>
  <c r="K2" i="8"/>
  <c r="L1" i="8"/>
  <c r="K12" i="7"/>
  <c r="B17" i="1"/>
  <c r="B16" i="1"/>
  <c r="D45" i="6" l="1"/>
  <c r="D49" i="6" s="1"/>
  <c r="C53" i="8"/>
  <c r="C67" i="8" s="1"/>
  <c r="M41" i="6"/>
  <c r="AN2" i="2"/>
  <c r="M22" i="8"/>
  <c r="L45" i="6"/>
  <c r="L49" i="6"/>
  <c r="L16" i="8"/>
  <c r="M16" i="8" s="1"/>
  <c r="O1" i="6"/>
  <c r="N40" i="6"/>
  <c r="N38" i="6"/>
  <c r="N31" i="6"/>
  <c r="N34" i="6"/>
  <c r="N29" i="6"/>
  <c r="N14" i="6"/>
  <c r="N18" i="6"/>
  <c r="N36" i="6"/>
  <c r="N15" i="6"/>
  <c r="N7" i="6"/>
  <c r="N33" i="6"/>
  <c r="N20" i="6"/>
  <c r="N5" i="6"/>
  <c r="N35" i="6"/>
  <c r="N17" i="6"/>
  <c r="N32" i="6"/>
  <c r="N8" i="6"/>
  <c r="N12" i="6"/>
  <c r="N13" i="6"/>
  <c r="N37" i="6"/>
  <c r="N30" i="6"/>
  <c r="N16" i="6"/>
  <c r="N9" i="6"/>
  <c r="N10" i="6"/>
  <c r="N39" i="6"/>
  <c r="N19" i="6"/>
  <c r="N11" i="6"/>
  <c r="N2" i="6"/>
  <c r="N26" i="6"/>
  <c r="N25" i="6"/>
  <c r="N28" i="6"/>
  <c r="N27" i="6"/>
  <c r="N6" i="6"/>
  <c r="G16" i="7"/>
  <c r="G19" i="7" s="1"/>
  <c r="K38" i="8"/>
  <c r="F16" i="7"/>
  <c r="F19" i="7" s="1"/>
  <c r="L15" i="8"/>
  <c r="L17" i="8"/>
  <c r="M17" i="8" s="1"/>
  <c r="AM1" i="2"/>
  <c r="AL4" i="2"/>
  <c r="L18" i="8"/>
  <c r="J17" i="7"/>
  <c r="J16" i="7" s="1"/>
  <c r="J19" i="7"/>
  <c r="F49" i="6"/>
  <c r="G49" i="6" s="1"/>
  <c r="G45" i="6"/>
  <c r="M21" i="6"/>
  <c r="H45" i="6"/>
  <c r="H49" i="6"/>
  <c r="D45" i="8" s="1"/>
  <c r="I45" i="6"/>
  <c r="I49" i="6"/>
  <c r="E45" i="8" s="1"/>
  <c r="L20" i="8"/>
  <c r="M20" i="8" s="1"/>
  <c r="J45" i="6"/>
  <c r="J49" i="6" s="1"/>
  <c r="F45" i="8" s="1"/>
  <c r="K15" i="7"/>
  <c r="K14" i="7"/>
  <c r="K18" i="7"/>
  <c r="C52" i="10"/>
  <c r="D53" i="8"/>
  <c r="L19" i="8"/>
  <c r="AG3" i="2"/>
  <c r="E16" i="7"/>
  <c r="E19" i="7" s="1"/>
  <c r="K2" i="7"/>
  <c r="J8" i="7"/>
  <c r="K52" i="8" s="1"/>
  <c r="C49" i="6"/>
  <c r="G14" i="8"/>
  <c r="F24" i="8"/>
  <c r="C16" i="7"/>
  <c r="C19" i="7" s="1"/>
  <c r="L23" i="8"/>
  <c r="L21" i="8"/>
  <c r="K65" i="8"/>
  <c r="L64" i="8"/>
  <c r="L65" i="8" s="1"/>
  <c r="P7" i="5"/>
  <c r="O8" i="5"/>
  <c r="O10" i="5" s="1"/>
  <c r="L50" i="8"/>
  <c r="L53" i="8" s="1"/>
  <c r="L31" i="8"/>
  <c r="L30" i="8"/>
  <c r="L32" i="8"/>
  <c r="L33" i="8"/>
  <c r="L34" i="8"/>
  <c r="L36" i="8"/>
  <c r="L29" i="8"/>
  <c r="L35" i="8"/>
  <c r="K39" i="8"/>
  <c r="K40" i="8"/>
  <c r="M1" i="8"/>
  <c r="L2" i="8"/>
  <c r="L12" i="7"/>
  <c r="B8" i="1"/>
  <c r="B6" i="1"/>
  <c r="M45" i="6" l="1"/>
  <c r="M49" i="6"/>
  <c r="I45" i="8" s="1"/>
  <c r="L14" i="7"/>
  <c r="L17" i="7" s="1"/>
  <c r="L18" i="7"/>
  <c r="L15" i="7"/>
  <c r="L16" i="7" s="1"/>
  <c r="L19" i="7" s="1"/>
  <c r="N41" i="6"/>
  <c r="L2" i="7"/>
  <c r="K8" i="7"/>
  <c r="L52" i="8" s="1"/>
  <c r="M21" i="8"/>
  <c r="AH3" i="2"/>
  <c r="AG5" i="2"/>
  <c r="E6" i="8" s="1"/>
  <c r="M18" i="8"/>
  <c r="H45" i="8"/>
  <c r="N22" i="8"/>
  <c r="C66" i="10"/>
  <c r="M15" i="8"/>
  <c r="K17" i="7"/>
  <c r="K16" i="7" s="1"/>
  <c r="K19" i="7"/>
  <c r="H14" i="8"/>
  <c r="G24" i="8"/>
  <c r="D10" i="8"/>
  <c r="D9" i="8"/>
  <c r="D8" i="8"/>
  <c r="N21" i="6"/>
  <c r="N16" i="8"/>
  <c r="AO2" i="2"/>
  <c r="L38" i="8"/>
  <c r="M23" i="8"/>
  <c r="M19" i="8"/>
  <c r="N19" i="8" s="1"/>
  <c r="AN1" i="2"/>
  <c r="AM4" i="2"/>
  <c r="P1" i="6"/>
  <c r="O40" i="6"/>
  <c r="O37" i="6"/>
  <c r="O30" i="6"/>
  <c r="O13" i="6"/>
  <c r="O34" i="6"/>
  <c r="O10" i="6"/>
  <c r="O17" i="6"/>
  <c r="O31" i="6"/>
  <c r="O35" i="6"/>
  <c r="O7" i="6"/>
  <c r="O11" i="6"/>
  <c r="O38" i="6"/>
  <c r="O9" i="6"/>
  <c r="O12" i="6"/>
  <c r="O14" i="6"/>
  <c r="O15" i="6"/>
  <c r="O33" i="6"/>
  <c r="O32" i="6"/>
  <c r="O19" i="6"/>
  <c r="O8" i="6"/>
  <c r="O36" i="6"/>
  <c r="O20" i="6"/>
  <c r="O6" i="6"/>
  <c r="O18" i="6"/>
  <c r="O5" i="6"/>
  <c r="O16" i="6"/>
  <c r="O39" i="6"/>
  <c r="O29" i="6"/>
  <c r="O2" i="6"/>
  <c r="O27" i="6"/>
  <c r="O25" i="6"/>
  <c r="O28" i="6"/>
  <c r="O26" i="6"/>
  <c r="C6" i="7"/>
  <c r="C9" i="7" s="1"/>
  <c r="D4" i="7" s="1"/>
  <c r="D51" i="8"/>
  <c r="M64" i="8"/>
  <c r="M65" i="8" s="1"/>
  <c r="Q7" i="5"/>
  <c r="P8" i="5"/>
  <c r="P10" i="5" s="1"/>
  <c r="L40" i="8"/>
  <c r="L39" i="8"/>
  <c r="M50" i="8"/>
  <c r="M53" i="8" s="1"/>
  <c r="M31" i="8"/>
  <c r="M33" i="8"/>
  <c r="M34" i="8"/>
  <c r="M36" i="8"/>
  <c r="M32" i="8"/>
  <c r="M29" i="8"/>
  <c r="M35" i="8"/>
  <c r="M30" i="8"/>
  <c r="M2" i="8"/>
  <c r="M38" i="8" s="1"/>
  <c r="N1" i="8"/>
  <c r="M12" i="7"/>
  <c r="N45" i="6" l="1"/>
  <c r="N49" i="6" s="1"/>
  <c r="N15" i="8"/>
  <c r="AI3" i="2"/>
  <c r="AH5" i="2"/>
  <c r="F6" i="8" s="1"/>
  <c r="F9" i="8" s="1"/>
  <c r="AP2" i="2"/>
  <c r="M2" i="7"/>
  <c r="L8" i="7"/>
  <c r="M52" i="8" s="1"/>
  <c r="M18" i="7"/>
  <c r="M14" i="7"/>
  <c r="M15" i="7"/>
  <c r="I14" i="8"/>
  <c r="H24" i="8"/>
  <c r="Q1" i="6"/>
  <c r="P39" i="6"/>
  <c r="P38" i="6"/>
  <c r="P37" i="6"/>
  <c r="P34" i="6"/>
  <c r="P29" i="6"/>
  <c r="P28" i="6"/>
  <c r="P12" i="6"/>
  <c r="P31" i="6"/>
  <c r="P6" i="6"/>
  <c r="P14" i="6"/>
  <c r="P16" i="6"/>
  <c r="P10" i="6"/>
  <c r="P27" i="6"/>
  <c r="P15" i="6"/>
  <c r="P19" i="6"/>
  <c r="P33" i="6"/>
  <c r="P32" i="6"/>
  <c r="P9" i="6"/>
  <c r="P7" i="6"/>
  <c r="P30" i="6"/>
  <c r="P36" i="6"/>
  <c r="P17" i="6"/>
  <c r="P40" i="6"/>
  <c r="P20" i="6"/>
  <c r="P8" i="6"/>
  <c r="P13" i="6"/>
  <c r="P18" i="6"/>
  <c r="P5" i="6"/>
  <c r="P26" i="6"/>
  <c r="P11" i="6"/>
  <c r="P35" i="6"/>
  <c r="P2" i="6"/>
  <c r="P25" i="6"/>
  <c r="N21" i="8"/>
  <c r="N23" i="8"/>
  <c r="O41" i="6"/>
  <c r="O22" i="8"/>
  <c r="N17" i="8"/>
  <c r="N18" i="8"/>
  <c r="O21" i="6"/>
  <c r="E7" i="8"/>
  <c r="E10" i="8"/>
  <c r="E8" i="8"/>
  <c r="E9" i="8"/>
  <c r="D11" i="8"/>
  <c r="D5" i="7"/>
  <c r="D7" i="7"/>
  <c r="AO1" i="2"/>
  <c r="AN4" i="2"/>
  <c r="N20" i="8"/>
  <c r="N64" i="8"/>
  <c r="N65" i="8" s="1"/>
  <c r="R7" i="5"/>
  <c r="Q8" i="5"/>
  <c r="Q10" i="5" s="1"/>
  <c r="N50" i="8"/>
  <c r="N53" i="8" s="1"/>
  <c r="N30" i="8"/>
  <c r="N33" i="8"/>
  <c r="N34" i="8"/>
  <c r="N36" i="8"/>
  <c r="N32" i="8"/>
  <c r="N29" i="8"/>
  <c r="N31" i="8"/>
  <c r="N35" i="8"/>
  <c r="M40" i="8"/>
  <c r="M39" i="8"/>
  <c r="N2" i="8"/>
  <c r="O1" i="8"/>
  <c r="N12" i="7"/>
  <c r="E11" i="8" l="1"/>
  <c r="E26" i="8" s="1"/>
  <c r="E37" i="8" s="1"/>
  <c r="E41" i="8" s="1"/>
  <c r="E43" i="8" s="1"/>
  <c r="E47" i="8" s="1"/>
  <c r="J45" i="8"/>
  <c r="E51" i="8"/>
  <c r="E55" i="8" s="1"/>
  <c r="D6" i="7"/>
  <c r="D9" i="7" s="1"/>
  <c r="E4" i="7" s="1"/>
  <c r="P41" i="6"/>
  <c r="O38" i="8"/>
  <c r="O16" i="8"/>
  <c r="O19" i="8"/>
  <c r="O20" i="8"/>
  <c r="AQ2" i="2"/>
  <c r="O23" i="8"/>
  <c r="P23" i="8" s="1"/>
  <c r="P21" i="6"/>
  <c r="F7" i="8"/>
  <c r="F10" i="8"/>
  <c r="F8" i="8"/>
  <c r="N18" i="7"/>
  <c r="N15" i="7"/>
  <c r="N14" i="7"/>
  <c r="M17" i="7"/>
  <c r="M16" i="7" s="1"/>
  <c r="M19" i="7" s="1"/>
  <c r="O18" i="8"/>
  <c r="D26" i="8"/>
  <c r="D37" i="8" s="1"/>
  <c r="D41" i="8" s="1"/>
  <c r="D43" i="8" s="1"/>
  <c r="D47" i="8" s="1"/>
  <c r="D55" i="8" s="1"/>
  <c r="AJ3" i="2"/>
  <c r="AI5" i="2"/>
  <c r="G6" i="8" s="1"/>
  <c r="O45" i="6"/>
  <c r="O49" i="6" s="1"/>
  <c r="O15" i="8"/>
  <c r="N2" i="7"/>
  <c r="M8" i="7"/>
  <c r="N52" i="8" s="1"/>
  <c r="O17" i="8"/>
  <c r="P17" i="8" s="1"/>
  <c r="AP1" i="2"/>
  <c r="AO4" i="2"/>
  <c r="N38" i="8"/>
  <c r="O21" i="8"/>
  <c r="R1" i="6"/>
  <c r="Q36" i="6"/>
  <c r="Q35" i="6"/>
  <c r="Q39" i="6"/>
  <c r="Q37" i="6"/>
  <c r="Q11" i="6"/>
  <c r="Q6" i="6"/>
  <c r="Q18" i="6"/>
  <c r="Q8" i="6"/>
  <c r="Q9" i="6"/>
  <c r="Q33" i="6"/>
  <c r="Q32" i="6"/>
  <c r="Q12" i="6"/>
  <c r="Q30" i="6"/>
  <c r="Q14" i="6"/>
  <c r="Q15" i="6"/>
  <c r="Q7" i="6"/>
  <c r="Q17" i="6"/>
  <c r="Q5" i="6"/>
  <c r="Q40" i="6"/>
  <c r="Q34" i="6"/>
  <c r="Q19" i="6"/>
  <c r="Q38" i="6"/>
  <c r="Q10" i="6"/>
  <c r="Q31" i="6"/>
  <c r="Q20" i="6"/>
  <c r="Q13" i="6"/>
  <c r="Q16" i="6"/>
  <c r="Q26" i="6"/>
  <c r="Q29" i="6"/>
  <c r="Q27" i="6"/>
  <c r="Q2" i="6"/>
  <c r="Q28" i="6"/>
  <c r="Q25" i="6"/>
  <c r="J14" i="8"/>
  <c r="I24" i="8"/>
  <c r="O64" i="8"/>
  <c r="O65" i="8" s="1"/>
  <c r="S7" i="5"/>
  <c r="R8" i="5"/>
  <c r="R10" i="5" s="1"/>
  <c r="O50" i="8"/>
  <c r="O30" i="8"/>
  <c r="O32" i="8"/>
  <c r="O31" i="8"/>
  <c r="O35" i="8"/>
  <c r="O33" i="8"/>
  <c r="O34" i="8"/>
  <c r="O36" i="8"/>
  <c r="O29" i="8"/>
  <c r="N39" i="8"/>
  <c r="N40" i="8"/>
  <c r="O2" i="8"/>
  <c r="P1" i="8"/>
  <c r="P22" i="8" s="1"/>
  <c r="O12" i="7"/>
  <c r="F11" i="8" l="1"/>
  <c r="F26" i="8"/>
  <c r="F37" i="8" s="1"/>
  <c r="F41" i="8" s="1"/>
  <c r="F43" i="8" s="1"/>
  <c r="F47" i="8" s="1"/>
  <c r="K45" i="8"/>
  <c r="Q22" i="8"/>
  <c r="Q17" i="8"/>
  <c r="P45" i="6"/>
  <c r="P49" i="6" s="1"/>
  <c r="O2" i="7"/>
  <c r="N8" i="7"/>
  <c r="O52" i="8" s="1"/>
  <c r="Q23" i="8"/>
  <c r="G8" i="8"/>
  <c r="G9" i="8"/>
  <c r="G7" i="8"/>
  <c r="G11" i="8" s="1"/>
  <c r="G26" i="8" s="1"/>
  <c r="G37" i="8" s="1"/>
  <c r="G41" i="8" s="1"/>
  <c r="G43" i="8" s="1"/>
  <c r="G47" i="8" s="1"/>
  <c r="G10" i="8"/>
  <c r="AK3" i="2"/>
  <c r="AJ5" i="2"/>
  <c r="H6" i="8" s="1"/>
  <c r="P20" i="8"/>
  <c r="Q20" i="8" s="1"/>
  <c r="S1" i="6"/>
  <c r="R34" i="6"/>
  <c r="R33" i="6"/>
  <c r="R38" i="6"/>
  <c r="R36" i="6"/>
  <c r="R39" i="6"/>
  <c r="R10" i="6"/>
  <c r="R16" i="6"/>
  <c r="R17" i="6"/>
  <c r="R18" i="6"/>
  <c r="R19" i="6"/>
  <c r="R9" i="6"/>
  <c r="R20" i="6"/>
  <c r="R35" i="6"/>
  <c r="R40" i="6"/>
  <c r="R30" i="6"/>
  <c r="R32" i="6"/>
  <c r="R6" i="6"/>
  <c r="R7" i="6"/>
  <c r="R14" i="6"/>
  <c r="R27" i="6"/>
  <c r="R12" i="6"/>
  <c r="R15" i="6"/>
  <c r="R11" i="6"/>
  <c r="R5" i="6"/>
  <c r="R21" i="6" s="1"/>
  <c r="R29" i="6"/>
  <c r="R31" i="6"/>
  <c r="R37" i="6"/>
  <c r="R8" i="6"/>
  <c r="R13" i="6"/>
  <c r="R2" i="6"/>
  <c r="R28" i="6"/>
  <c r="R25" i="6"/>
  <c r="R26" i="6"/>
  <c r="D59" i="8"/>
  <c r="D70" i="8" s="1"/>
  <c r="E69" i="8" s="1"/>
  <c r="P19" i="8"/>
  <c r="P21" i="8"/>
  <c r="P16" i="8"/>
  <c r="N17" i="7"/>
  <c r="N16" i="7" s="1"/>
  <c r="N19" i="7" s="1"/>
  <c r="O15" i="7"/>
  <c r="O14" i="7"/>
  <c r="O17" i="7" s="1"/>
  <c r="O18" i="7"/>
  <c r="O53" i="8"/>
  <c r="P15" i="8"/>
  <c r="Q15" i="8" s="1"/>
  <c r="Q21" i="6"/>
  <c r="E7" i="7"/>
  <c r="E5" i="7"/>
  <c r="K14" i="8"/>
  <c r="J24" i="8"/>
  <c r="Q41" i="6"/>
  <c r="AQ1" i="2"/>
  <c r="AR2" i="2" s="1"/>
  <c r="AP4" i="2"/>
  <c r="P18" i="8"/>
  <c r="Q18" i="8" s="1"/>
  <c r="P64" i="8"/>
  <c r="T7" i="5"/>
  <c r="T8" i="5" s="1"/>
  <c r="T10" i="5" s="1"/>
  <c r="S8" i="5"/>
  <c r="S10" i="5" s="1"/>
  <c r="P50" i="8"/>
  <c r="P53" i="8" s="1"/>
  <c r="P30" i="8"/>
  <c r="P32" i="8"/>
  <c r="P31" i="8"/>
  <c r="P35" i="8"/>
  <c r="P33" i="8"/>
  <c r="P34" i="8"/>
  <c r="P29" i="8"/>
  <c r="P36" i="8"/>
  <c r="O40" i="8"/>
  <c r="O39" i="8"/>
  <c r="Q1" i="8"/>
  <c r="P2" i="8"/>
  <c r="P12" i="7"/>
  <c r="D67" i="8" l="1"/>
  <c r="L45" i="8"/>
  <c r="R20" i="8"/>
  <c r="P2" i="7"/>
  <c r="O8" i="7"/>
  <c r="P52" i="8" s="1"/>
  <c r="L14" i="8"/>
  <c r="K24" i="8"/>
  <c r="R22" i="8"/>
  <c r="Q16" i="8"/>
  <c r="R16" i="8" s="1"/>
  <c r="Q38" i="8"/>
  <c r="P38" i="8"/>
  <c r="O16" i="7"/>
  <c r="O19" i="7" s="1"/>
  <c r="Q45" i="6"/>
  <c r="Q49" i="6" s="1"/>
  <c r="AR1" i="2"/>
  <c r="AQ4" i="2"/>
  <c r="R41" i="6"/>
  <c r="R45" i="6" s="1"/>
  <c r="H9" i="8"/>
  <c r="H7" i="8"/>
  <c r="H8" i="8"/>
  <c r="H10" i="8"/>
  <c r="AL3" i="2"/>
  <c r="AK5" i="2"/>
  <c r="I6" i="8" s="1"/>
  <c r="Q21" i="8"/>
  <c r="T1" i="6"/>
  <c r="S37" i="6"/>
  <c r="S35" i="6"/>
  <c r="S33" i="6"/>
  <c r="S9" i="6"/>
  <c r="S13" i="6"/>
  <c r="S27" i="6"/>
  <c r="S39" i="6"/>
  <c r="S38" i="6"/>
  <c r="S6" i="6"/>
  <c r="S10" i="6"/>
  <c r="S14" i="6"/>
  <c r="S17" i="6"/>
  <c r="S29" i="6"/>
  <c r="S30" i="6"/>
  <c r="S12" i="6"/>
  <c r="S18" i="6"/>
  <c r="S40" i="6"/>
  <c r="S34" i="6"/>
  <c r="S16" i="6"/>
  <c r="S31" i="6"/>
  <c r="S11" i="6"/>
  <c r="S19" i="6"/>
  <c r="S5" i="6"/>
  <c r="S20" i="6"/>
  <c r="S8" i="6"/>
  <c r="S15" i="6"/>
  <c r="S32" i="6"/>
  <c r="S36" i="6"/>
  <c r="S7" i="6"/>
  <c r="S28" i="6"/>
  <c r="S26" i="6"/>
  <c r="S2" i="6"/>
  <c r="S25" i="6"/>
  <c r="E59" i="8"/>
  <c r="E67" i="8" s="1"/>
  <c r="P14" i="7"/>
  <c r="P17" i="7" s="1"/>
  <c r="P18" i="7"/>
  <c r="P15" i="7"/>
  <c r="P16" i="7" s="1"/>
  <c r="P19" i="7" s="1"/>
  <c r="F51" i="8"/>
  <c r="E6" i="7"/>
  <c r="E9" i="7" s="1"/>
  <c r="F4" i="7" s="1"/>
  <c r="Q19" i="8"/>
  <c r="R19" i="8" s="1"/>
  <c r="P65" i="8"/>
  <c r="Q64" i="8"/>
  <c r="Q65" i="8" s="1"/>
  <c r="P40" i="8"/>
  <c r="P39" i="8"/>
  <c r="Q50" i="8"/>
  <c r="Q53" i="8" s="1"/>
  <c r="Q30" i="8"/>
  <c r="Q31" i="8"/>
  <c r="Q35" i="8"/>
  <c r="Q36" i="8"/>
  <c r="Q33" i="8"/>
  <c r="Q34" i="8"/>
  <c r="Q32" i="8"/>
  <c r="Q29" i="8"/>
  <c r="R1" i="8"/>
  <c r="Q2" i="8"/>
  <c r="Q12" i="7"/>
  <c r="H11" i="8" l="1"/>
  <c r="H26" i="8" s="1"/>
  <c r="E70" i="8"/>
  <c r="F69" i="8" s="1"/>
  <c r="M45" i="8"/>
  <c r="AM3" i="2"/>
  <c r="AL5" i="2"/>
  <c r="J6" i="8" s="1"/>
  <c r="H37" i="8"/>
  <c r="H41" i="8" s="1"/>
  <c r="H43" i="8" s="1"/>
  <c r="H47" i="8" s="1"/>
  <c r="Q2" i="7"/>
  <c r="P8" i="7"/>
  <c r="Q52" i="8" s="1"/>
  <c r="F5" i="7"/>
  <c r="F7" i="7"/>
  <c r="S20" i="8"/>
  <c r="F55" i="8"/>
  <c r="R49" i="6"/>
  <c r="N45" i="8" s="1"/>
  <c r="U1" i="6"/>
  <c r="T39" i="6"/>
  <c r="T8" i="6"/>
  <c r="T35" i="6"/>
  <c r="T27" i="6"/>
  <c r="T5" i="6"/>
  <c r="T40" i="6"/>
  <c r="T30" i="6"/>
  <c r="T9" i="6"/>
  <c r="T13" i="6"/>
  <c r="T36" i="6"/>
  <c r="T32" i="6"/>
  <c r="T16" i="6"/>
  <c r="T33" i="6"/>
  <c r="T37" i="6"/>
  <c r="T31" i="6"/>
  <c r="T29" i="6"/>
  <c r="T14" i="6"/>
  <c r="T38" i="6"/>
  <c r="T6" i="6"/>
  <c r="T11" i="6"/>
  <c r="T15" i="6"/>
  <c r="T12" i="6"/>
  <c r="T17" i="6"/>
  <c r="T19" i="6"/>
  <c r="T28" i="6"/>
  <c r="T20" i="6"/>
  <c r="T18" i="6"/>
  <c r="T10" i="6"/>
  <c r="T7" i="6"/>
  <c r="T34" i="6"/>
  <c r="T26" i="6"/>
  <c r="T25" i="6"/>
  <c r="T2" i="6"/>
  <c r="AS1" i="2"/>
  <c r="AR4" i="2"/>
  <c r="R38" i="8"/>
  <c r="R18" i="8"/>
  <c r="R21" i="8"/>
  <c r="R17" i="8"/>
  <c r="AS2" i="2"/>
  <c r="S16" i="8"/>
  <c r="S22" i="8"/>
  <c r="Q18" i="7"/>
  <c r="Q14" i="7"/>
  <c r="Q17" i="7" s="1"/>
  <c r="Q15" i="7"/>
  <c r="Q16" i="7" s="1"/>
  <c r="Q19" i="7" s="1"/>
  <c r="S21" i="6"/>
  <c r="M14" i="8"/>
  <c r="L24" i="8"/>
  <c r="S41" i="6"/>
  <c r="I10" i="8"/>
  <c r="I9" i="8"/>
  <c r="I7" i="8"/>
  <c r="I8" i="8"/>
  <c r="R23" i="8"/>
  <c r="R15" i="8"/>
  <c r="R64" i="8"/>
  <c r="R50" i="8"/>
  <c r="R53" i="8" s="1"/>
  <c r="R31" i="8"/>
  <c r="R32" i="8"/>
  <c r="R35" i="8"/>
  <c r="R29" i="8"/>
  <c r="R36" i="8"/>
  <c r="R33" i="8"/>
  <c r="R34" i="8"/>
  <c r="R30" i="8"/>
  <c r="Q40" i="8"/>
  <c r="Q39" i="8"/>
  <c r="S1" i="8"/>
  <c r="R2" i="8"/>
  <c r="S19" i="8" s="1"/>
  <c r="R12" i="7"/>
  <c r="I11" i="8" l="1"/>
  <c r="I26" i="8" s="1"/>
  <c r="I37" i="8" s="1"/>
  <c r="I41" i="8" s="1"/>
  <c r="I43" i="8" s="1"/>
  <c r="I47" i="8" s="1"/>
  <c r="F59" i="8"/>
  <c r="F67" i="8" s="1"/>
  <c r="G51" i="8"/>
  <c r="F6" i="7"/>
  <c r="F9" i="7" s="1"/>
  <c r="G4" i="7" s="1"/>
  <c r="AT1" i="2"/>
  <c r="AS4" i="2"/>
  <c r="R2" i="7"/>
  <c r="Q8" i="7"/>
  <c r="R52" i="8" s="1"/>
  <c r="R15" i="7"/>
  <c r="R18" i="7"/>
  <c r="R14" i="7"/>
  <c r="S17" i="8"/>
  <c r="AN3" i="2"/>
  <c r="AM5" i="2"/>
  <c r="K6" i="8" s="1"/>
  <c r="T16" i="8"/>
  <c r="V1" i="6"/>
  <c r="U36" i="6"/>
  <c r="U34" i="6"/>
  <c r="U6" i="6"/>
  <c r="U7" i="6"/>
  <c r="U8" i="6"/>
  <c r="U9" i="6"/>
  <c r="U10" i="6"/>
  <c r="U11" i="6"/>
  <c r="U12" i="6"/>
  <c r="U13" i="6"/>
  <c r="U14" i="6"/>
  <c r="U15" i="6"/>
  <c r="U33" i="6"/>
  <c r="U40" i="6"/>
  <c r="U30" i="6"/>
  <c r="U38" i="6"/>
  <c r="U37" i="6"/>
  <c r="U20" i="6"/>
  <c r="U27" i="6"/>
  <c r="U31" i="6"/>
  <c r="U29" i="6"/>
  <c r="U35" i="6"/>
  <c r="U39" i="6"/>
  <c r="U16" i="6"/>
  <c r="U17" i="6"/>
  <c r="U19" i="6"/>
  <c r="U18" i="6"/>
  <c r="U5" i="6"/>
  <c r="U32" i="6"/>
  <c r="U25" i="6"/>
  <c r="U2" i="6"/>
  <c r="U28" i="6"/>
  <c r="U26" i="6"/>
  <c r="N14" i="8"/>
  <c r="M24" i="8"/>
  <c r="AT2" i="2"/>
  <c r="S23" i="8"/>
  <c r="S21" i="8"/>
  <c r="T21" i="6"/>
  <c r="T41" i="6"/>
  <c r="S45" i="6"/>
  <c r="S49" i="6" s="1"/>
  <c r="O45" i="8" s="1"/>
  <c r="J7" i="8"/>
  <c r="J9" i="8"/>
  <c r="J8" i="8"/>
  <c r="J10" i="8"/>
  <c r="S15" i="8"/>
  <c r="S18" i="8"/>
  <c r="R65" i="8"/>
  <c r="S64" i="8"/>
  <c r="S65" i="8" s="1"/>
  <c r="R40" i="8"/>
  <c r="R39" i="8"/>
  <c r="S50" i="8"/>
  <c r="S53" i="8" s="1"/>
  <c r="S31" i="8"/>
  <c r="S33" i="8"/>
  <c r="S30" i="8"/>
  <c r="S32" i="8"/>
  <c r="S34" i="8"/>
  <c r="S36" i="8"/>
  <c r="S35" i="8"/>
  <c r="S29" i="8"/>
  <c r="T1" i="8"/>
  <c r="S2" i="8"/>
  <c r="S38" i="8" s="1"/>
  <c r="S12" i="7"/>
  <c r="F70" i="8" l="1"/>
  <c r="G69" i="8" s="1"/>
  <c r="J11" i="8"/>
  <c r="J26" i="8" s="1"/>
  <c r="J37" i="8" s="1"/>
  <c r="J41" i="8" s="1"/>
  <c r="J43" i="8" s="1"/>
  <c r="J47" i="8" s="1"/>
  <c r="O14" i="8"/>
  <c r="N24" i="8"/>
  <c r="K8" i="8"/>
  <c r="K9" i="8"/>
  <c r="K7" i="8"/>
  <c r="K10" i="8"/>
  <c r="T38" i="8"/>
  <c r="U16" i="8"/>
  <c r="S18" i="7"/>
  <c r="S15" i="7"/>
  <c r="S14" i="7"/>
  <c r="AU1" i="2"/>
  <c r="AT4" i="2"/>
  <c r="T20" i="8"/>
  <c r="G7" i="7"/>
  <c r="G5" i="7"/>
  <c r="T22" i="8"/>
  <c r="U22" i="8" s="1"/>
  <c r="G55" i="8"/>
  <c r="U21" i="6"/>
  <c r="T21" i="8"/>
  <c r="R17" i="7"/>
  <c r="R16" i="7" s="1"/>
  <c r="R19" i="7"/>
  <c r="T23" i="8"/>
  <c r="T19" i="8"/>
  <c r="U19" i="8" s="1"/>
  <c r="AO3" i="2"/>
  <c r="AN5" i="2"/>
  <c r="L6" i="8" s="1"/>
  <c r="T17" i="8"/>
  <c r="U17" i="8" s="1"/>
  <c r="U41" i="6"/>
  <c r="T18" i="8"/>
  <c r="T15" i="8"/>
  <c r="AU2" i="2"/>
  <c r="S2" i="7"/>
  <c r="R8" i="7"/>
  <c r="S52" i="8" s="1"/>
  <c r="T45" i="6"/>
  <c r="T49" i="6"/>
  <c r="P45" i="8" s="1"/>
  <c r="W1" i="6"/>
  <c r="V33" i="6"/>
  <c r="V36" i="6"/>
  <c r="V27" i="6"/>
  <c r="V7" i="6"/>
  <c r="V38" i="6"/>
  <c r="V39" i="6"/>
  <c r="V32" i="6"/>
  <c r="V10" i="6"/>
  <c r="V11" i="6"/>
  <c r="V12" i="6"/>
  <c r="V16" i="6"/>
  <c r="V37" i="6"/>
  <c r="V34" i="6"/>
  <c r="V31" i="6"/>
  <c r="V30" i="6"/>
  <c r="V6" i="6"/>
  <c r="V29" i="6"/>
  <c r="V17" i="6"/>
  <c r="V35" i="6"/>
  <c r="V9" i="6"/>
  <c r="V8" i="6"/>
  <c r="V20" i="6"/>
  <c r="V18" i="6"/>
  <c r="V19" i="6"/>
  <c r="V13" i="6"/>
  <c r="V15" i="6"/>
  <c r="V40" i="6"/>
  <c r="V14" i="6"/>
  <c r="V5" i="6"/>
  <c r="V28" i="6"/>
  <c r="V25" i="6"/>
  <c r="V26" i="6"/>
  <c r="V2" i="6"/>
  <c r="T64" i="8"/>
  <c r="S39" i="8"/>
  <c r="S40" i="8"/>
  <c r="T50" i="8"/>
  <c r="T53" i="8" s="1"/>
  <c r="T31" i="8"/>
  <c r="T30" i="8"/>
  <c r="T32" i="8"/>
  <c r="T34" i="8"/>
  <c r="T36" i="8"/>
  <c r="T29" i="8"/>
  <c r="T33" i="8"/>
  <c r="T35" i="8"/>
  <c r="T2" i="8"/>
  <c r="U1" i="8"/>
  <c r="T12" i="7"/>
  <c r="K11" i="8" l="1"/>
  <c r="K26" i="8" s="1"/>
  <c r="K37" i="8" s="1"/>
  <c r="K41" i="8" s="1"/>
  <c r="K43" i="8" s="1"/>
  <c r="K47" i="8" s="1"/>
  <c r="G59" i="8"/>
  <c r="G70" i="8" s="1"/>
  <c r="H69" i="8" s="1"/>
  <c r="X1" i="6"/>
  <c r="W38" i="6"/>
  <c r="W32" i="6"/>
  <c r="W6" i="6"/>
  <c r="W39" i="6"/>
  <c r="W8" i="6"/>
  <c r="W12" i="6"/>
  <c r="W37" i="6"/>
  <c r="W29" i="6"/>
  <c r="W9" i="6"/>
  <c r="W13" i="6"/>
  <c r="W5" i="6"/>
  <c r="W15" i="6"/>
  <c r="W34" i="6"/>
  <c r="W31" i="6"/>
  <c r="W40" i="6"/>
  <c r="W11" i="6"/>
  <c r="W35" i="6"/>
  <c r="W33" i="6"/>
  <c r="W17" i="6"/>
  <c r="W7" i="6"/>
  <c r="W14" i="6"/>
  <c r="W30" i="6"/>
  <c r="W19" i="6"/>
  <c r="W20" i="6"/>
  <c r="W18" i="6"/>
  <c r="W16" i="6"/>
  <c r="W36" i="6"/>
  <c r="W10" i="6"/>
  <c r="W27" i="6"/>
  <c r="W28" i="6"/>
  <c r="W25" i="6"/>
  <c r="W26" i="6"/>
  <c r="W2" i="6"/>
  <c r="H51" i="8"/>
  <c r="G6" i="7"/>
  <c r="G9" i="7" s="1"/>
  <c r="H4" i="7" s="1"/>
  <c r="U20" i="8"/>
  <c r="AV2" i="2"/>
  <c r="L8" i="8"/>
  <c r="L10" i="8"/>
  <c r="L9" i="8"/>
  <c r="L7" i="8"/>
  <c r="AP3" i="2"/>
  <c r="AO5" i="2"/>
  <c r="M6" i="8" s="1"/>
  <c r="T14" i="7"/>
  <c r="T15" i="7"/>
  <c r="T18" i="7"/>
  <c r="V21" i="6"/>
  <c r="U15" i="8"/>
  <c r="V15" i="8" s="1"/>
  <c r="U21" i="8"/>
  <c r="V21" i="8" s="1"/>
  <c r="AV1" i="2"/>
  <c r="AU4" i="2"/>
  <c r="P14" i="8"/>
  <c r="O24" i="8"/>
  <c r="V17" i="8"/>
  <c r="U23" i="8"/>
  <c r="V23" i="8" s="1"/>
  <c r="V41" i="6"/>
  <c r="U18" i="8"/>
  <c r="V18" i="8" s="1"/>
  <c r="U45" i="6"/>
  <c r="U49" i="6"/>
  <c r="Q45" i="8" s="1"/>
  <c r="S17" i="7"/>
  <c r="S16" i="7" s="1"/>
  <c r="S19" i="7"/>
  <c r="T2" i="7"/>
  <c r="S8" i="7"/>
  <c r="T52" i="8" s="1"/>
  <c r="T65" i="8"/>
  <c r="U64" i="8"/>
  <c r="U65" i="8" s="1"/>
  <c r="U50" i="8"/>
  <c r="U53" i="8" s="1"/>
  <c r="U31" i="8"/>
  <c r="U33" i="8"/>
  <c r="U32" i="8"/>
  <c r="U34" i="8"/>
  <c r="U36" i="8"/>
  <c r="U30" i="8"/>
  <c r="U29" i="8"/>
  <c r="U35" i="8"/>
  <c r="T40" i="8"/>
  <c r="T39" i="8"/>
  <c r="U2" i="8"/>
  <c r="U38" i="8" s="1"/>
  <c r="V1" i="8"/>
  <c r="V22" i="8" s="1"/>
  <c r="U12" i="7"/>
  <c r="G67" i="8" l="1"/>
  <c r="L11" i="8"/>
  <c r="L26" i="8" s="1"/>
  <c r="L37" i="8" s="1"/>
  <c r="L41" i="8" s="1"/>
  <c r="L43" i="8" s="1"/>
  <c r="L47" i="8" s="1"/>
  <c r="AQ3" i="2"/>
  <c r="AP5" i="2"/>
  <c r="N6" i="8" s="1"/>
  <c r="W41" i="6"/>
  <c r="U15" i="7"/>
  <c r="U18" i="7"/>
  <c r="U14" i="7"/>
  <c r="V45" i="6"/>
  <c r="V49" i="6"/>
  <c r="R45" i="8" s="1"/>
  <c r="AW2" i="2"/>
  <c r="AX2" i="2" s="1"/>
  <c r="M10" i="8"/>
  <c r="M9" i="8"/>
  <c r="M8" i="8"/>
  <c r="M7" i="8"/>
  <c r="Q14" i="8"/>
  <c r="P24" i="8"/>
  <c r="W21" i="8"/>
  <c r="W15" i="8"/>
  <c r="V38" i="8"/>
  <c r="V20" i="8"/>
  <c r="W20" i="8" s="1"/>
  <c r="U2" i="7"/>
  <c r="T8" i="7"/>
  <c r="U52" i="8" s="1"/>
  <c r="AW1" i="2"/>
  <c r="AV4" i="2"/>
  <c r="V19" i="8"/>
  <c r="W19" i="8" s="1"/>
  <c r="H5" i="7"/>
  <c r="H7" i="7"/>
  <c r="Y1" i="6"/>
  <c r="X40" i="6"/>
  <c r="X32" i="6"/>
  <c r="X31" i="6"/>
  <c r="X30" i="6"/>
  <c r="X29" i="6"/>
  <c r="X36" i="6"/>
  <c r="X35" i="6"/>
  <c r="X37" i="6"/>
  <c r="X12" i="6"/>
  <c r="X8" i="6"/>
  <c r="X26" i="6"/>
  <c r="X34" i="6"/>
  <c r="X33" i="6"/>
  <c r="X16" i="6"/>
  <c r="X6" i="6"/>
  <c r="X11" i="6"/>
  <c r="X9" i="6"/>
  <c r="X17" i="6"/>
  <c r="X27" i="6"/>
  <c r="X38" i="6"/>
  <c r="X39" i="6"/>
  <c r="X7" i="6"/>
  <c r="X14" i="6"/>
  <c r="X13" i="6"/>
  <c r="X20" i="6"/>
  <c r="X19" i="6"/>
  <c r="X10" i="6"/>
  <c r="X5" i="6"/>
  <c r="X15" i="6"/>
  <c r="X18" i="6"/>
  <c r="X28" i="6"/>
  <c r="X2" i="6"/>
  <c r="X25" i="6"/>
  <c r="W18" i="8"/>
  <c r="W23" i="8"/>
  <c r="T17" i="7"/>
  <c r="T16" i="7" s="1"/>
  <c r="T19" i="7" s="1"/>
  <c r="H55" i="8"/>
  <c r="H59" i="8" s="1"/>
  <c r="H70" i="8" s="1"/>
  <c r="I69" i="8" s="1"/>
  <c r="W21" i="6"/>
  <c r="V16" i="8"/>
  <c r="V64" i="8"/>
  <c r="V50" i="8"/>
  <c r="V53" i="8" s="1"/>
  <c r="V30" i="8"/>
  <c r="V31" i="8"/>
  <c r="V33" i="8"/>
  <c r="V32" i="8"/>
  <c r="V34" i="8"/>
  <c r="V36" i="8"/>
  <c r="V35" i="8"/>
  <c r="V29" i="8"/>
  <c r="U40" i="8"/>
  <c r="U39" i="8"/>
  <c r="V2" i="8"/>
  <c r="W1" i="8"/>
  <c r="V12" i="7"/>
  <c r="M11" i="8" l="1"/>
  <c r="M26" i="8" s="1"/>
  <c r="M37" i="8" s="1"/>
  <c r="M41" i="8" s="1"/>
  <c r="M43" i="8" s="1"/>
  <c r="M47" i="8" s="1"/>
  <c r="R14" i="8"/>
  <c r="Q24" i="8"/>
  <c r="I51" i="8"/>
  <c r="H6" i="7"/>
  <c r="H9" i="7" s="1"/>
  <c r="I4" i="7" s="1"/>
  <c r="N7" i="8"/>
  <c r="N10" i="8"/>
  <c r="N9" i="8"/>
  <c r="N8" i="8"/>
  <c r="AR3" i="2"/>
  <c r="AQ5" i="2"/>
  <c r="O6" i="8" s="1"/>
  <c r="V2" i="7"/>
  <c r="U8" i="7"/>
  <c r="V52" i="8" s="1"/>
  <c r="U17" i="7"/>
  <c r="U16" i="7" s="1"/>
  <c r="U19" i="7" s="1"/>
  <c r="W45" i="6"/>
  <c r="W49" i="6"/>
  <c r="S45" i="8" s="1"/>
  <c r="W17" i="8"/>
  <c r="Z1" i="6"/>
  <c r="Y38" i="6"/>
  <c r="Y40" i="6"/>
  <c r="Y31" i="6"/>
  <c r="Y32" i="6"/>
  <c r="Y36" i="6"/>
  <c r="Y33" i="6"/>
  <c r="Y37" i="6"/>
  <c r="Y13" i="6"/>
  <c r="Y35" i="6"/>
  <c r="Y29" i="6"/>
  <c r="Y8" i="6"/>
  <c r="Y16" i="6"/>
  <c r="Y6" i="6"/>
  <c r="Y11" i="6"/>
  <c r="Y10" i="6"/>
  <c r="Y5" i="6"/>
  <c r="Y7" i="6"/>
  <c r="Y14" i="6"/>
  <c r="Y39" i="6"/>
  <c r="Y19" i="6"/>
  <c r="Y30" i="6"/>
  <c r="Y12" i="6"/>
  <c r="Y17" i="6"/>
  <c r="Y9" i="6"/>
  <c r="Y20" i="6"/>
  <c r="Y34" i="6"/>
  <c r="Y15" i="6"/>
  <c r="Y18" i="6"/>
  <c r="Y26" i="6"/>
  <c r="Y25" i="6"/>
  <c r="Y27" i="6"/>
  <c r="Y28" i="6"/>
  <c r="Y2" i="6"/>
  <c r="X41" i="6"/>
  <c r="V14" i="7"/>
  <c r="V15" i="7"/>
  <c r="V18" i="7"/>
  <c r="X19" i="8"/>
  <c r="W16" i="8"/>
  <c r="X16" i="8" s="1"/>
  <c r="AX1" i="2"/>
  <c r="AW4" i="2"/>
  <c r="X21" i="6"/>
  <c r="H67" i="8"/>
  <c r="W22" i="8"/>
  <c r="V65" i="8"/>
  <c r="W64" i="8"/>
  <c r="W65" i="8" s="1"/>
  <c r="W30" i="8"/>
  <c r="W32" i="8"/>
  <c r="W31" i="8"/>
  <c r="W50" i="8"/>
  <c r="W53" i="8" s="1"/>
  <c r="W35" i="8"/>
  <c r="W33" i="8"/>
  <c r="W34" i="8"/>
  <c r="W36" i="8"/>
  <c r="W29" i="8"/>
  <c r="V39" i="8"/>
  <c r="V40" i="8"/>
  <c r="W2" i="8"/>
  <c r="W38" i="8" s="1"/>
  <c r="X1" i="8"/>
  <c r="X20" i="8" s="1"/>
  <c r="W12" i="7"/>
  <c r="N11" i="8" l="1"/>
  <c r="N26" i="8" s="1"/>
  <c r="N37" i="8" s="1"/>
  <c r="N41" i="8" s="1"/>
  <c r="N43" i="8" s="1"/>
  <c r="N47" i="8" s="1"/>
  <c r="AY1" i="2"/>
  <c r="AX4" i="2"/>
  <c r="W2" i="7"/>
  <c r="V8" i="7"/>
  <c r="W52" i="8" s="1"/>
  <c r="W15" i="7"/>
  <c r="W14" i="7"/>
  <c r="W17" i="7" s="1"/>
  <c r="W18" i="7"/>
  <c r="I55" i="8"/>
  <c r="I59" i="8" s="1"/>
  <c r="I70" i="8" s="1"/>
  <c r="J69" i="8" s="1"/>
  <c r="AA1" i="6"/>
  <c r="Z39" i="6"/>
  <c r="Z35" i="6"/>
  <c r="Z32" i="6"/>
  <c r="Z27" i="6"/>
  <c r="Z30" i="6"/>
  <c r="Z15" i="6"/>
  <c r="Z36" i="6"/>
  <c r="Z7" i="6"/>
  <c r="Z11" i="6"/>
  <c r="Z19" i="6"/>
  <c r="Z29" i="6"/>
  <c r="Z8" i="6"/>
  <c r="Z12" i="6"/>
  <c r="Z31" i="6"/>
  <c r="Z40" i="6"/>
  <c r="Z16" i="6"/>
  <c r="Z25" i="6"/>
  <c r="Z6" i="6"/>
  <c r="Z18" i="6"/>
  <c r="Z9" i="6"/>
  <c r="Z10" i="6"/>
  <c r="Z5" i="6"/>
  <c r="Z21" i="6" s="1"/>
  <c r="Z37" i="6"/>
  <c r="Z34" i="6"/>
  <c r="Z14" i="6"/>
  <c r="Z38" i="6"/>
  <c r="Z17" i="6"/>
  <c r="Z13" i="6"/>
  <c r="Z20" i="6"/>
  <c r="Z33" i="6"/>
  <c r="Z28" i="6"/>
  <c r="Z2" i="6"/>
  <c r="Z26" i="6"/>
  <c r="X22" i="8"/>
  <c r="Y22" i="8" s="1"/>
  <c r="X17" i="8"/>
  <c r="Y17" i="8" s="1"/>
  <c r="X23" i="8"/>
  <c r="O7" i="8"/>
  <c r="O11" i="8" s="1"/>
  <c r="O26" i="8" s="1"/>
  <c r="O37" i="8" s="1"/>
  <c r="O41" i="8" s="1"/>
  <c r="O43" i="8" s="1"/>
  <c r="O47" i="8" s="1"/>
  <c r="O8" i="8"/>
  <c r="O10" i="8"/>
  <c r="O9" i="8"/>
  <c r="AS3" i="2"/>
  <c r="AR5" i="2"/>
  <c r="P6" i="8" s="1"/>
  <c r="S14" i="8"/>
  <c r="R24" i="8"/>
  <c r="Y16" i="8"/>
  <c r="I5" i="7"/>
  <c r="I7" i="7"/>
  <c r="AY2" i="2"/>
  <c r="X38" i="8"/>
  <c r="V17" i="7"/>
  <c r="Y21" i="6"/>
  <c r="V16" i="7"/>
  <c r="V19" i="7" s="1"/>
  <c r="X18" i="8"/>
  <c r="Y18" i="8" s="1"/>
  <c r="X15" i="8"/>
  <c r="Y15" i="8" s="1"/>
  <c r="X45" i="6"/>
  <c r="X49" i="6"/>
  <c r="T45" i="8" s="1"/>
  <c r="Y41" i="6"/>
  <c r="X21" i="8"/>
  <c r="X64" i="8"/>
  <c r="X65" i="8" s="1"/>
  <c r="X50" i="8"/>
  <c r="X53" i="8" s="1"/>
  <c r="X30" i="8"/>
  <c r="X32" i="8"/>
  <c r="X31" i="8"/>
  <c r="X35" i="8"/>
  <c r="X33" i="8"/>
  <c r="X36" i="8"/>
  <c r="X34" i="8"/>
  <c r="X29" i="8"/>
  <c r="W40" i="8"/>
  <c r="W39" i="8"/>
  <c r="X2" i="8"/>
  <c r="Y1" i="8"/>
  <c r="Y20" i="8" s="1"/>
  <c r="X12" i="7"/>
  <c r="I6" i="7" l="1"/>
  <c r="I9" i="7" s="1"/>
  <c r="J4" i="7" s="1"/>
  <c r="J51" i="8"/>
  <c r="Y45" i="6"/>
  <c r="Y49" i="6"/>
  <c r="U45" i="8" s="1"/>
  <c r="Z41" i="6"/>
  <c r="AZ1" i="2"/>
  <c r="AY4" i="2"/>
  <c r="Z22" i="8"/>
  <c r="I67" i="8"/>
  <c r="Z18" i="8"/>
  <c r="AT3" i="2"/>
  <c r="AS5" i="2"/>
  <c r="Q6" i="8" s="1"/>
  <c r="X2" i="7"/>
  <c r="W8" i="7"/>
  <c r="X52" i="8" s="1"/>
  <c r="Z45" i="6"/>
  <c r="Z49" i="6"/>
  <c r="V45" i="8" s="1"/>
  <c r="Z15" i="8"/>
  <c r="T14" i="8"/>
  <c r="S24" i="8"/>
  <c r="P9" i="8"/>
  <c r="P10" i="8"/>
  <c r="P8" i="8"/>
  <c r="P7" i="8"/>
  <c r="W16" i="7"/>
  <c r="W19" i="7" s="1"/>
  <c r="X18" i="7"/>
  <c r="X15" i="7"/>
  <c r="X14" i="7"/>
  <c r="X17" i="7" s="1"/>
  <c r="Y38" i="8"/>
  <c r="Y19" i="8"/>
  <c r="Z19" i="8" s="1"/>
  <c r="Y21" i="8"/>
  <c r="AZ2" i="2"/>
  <c r="Y23" i="8"/>
  <c r="AB1" i="6"/>
  <c r="AA40" i="6"/>
  <c r="AA38" i="6"/>
  <c r="AA31" i="6"/>
  <c r="AA28" i="6"/>
  <c r="AA29" i="6"/>
  <c r="AA14" i="6"/>
  <c r="AA15" i="6"/>
  <c r="AA18" i="6"/>
  <c r="AA33" i="6"/>
  <c r="AA7" i="6"/>
  <c r="AA11" i="6"/>
  <c r="AA34" i="6"/>
  <c r="AA35" i="6"/>
  <c r="AA8" i="6"/>
  <c r="AA16" i="6"/>
  <c r="AA19" i="6"/>
  <c r="AA30" i="6"/>
  <c r="AA5" i="6"/>
  <c r="AA39" i="6"/>
  <c r="AA17" i="6"/>
  <c r="AA37" i="6"/>
  <c r="AA10" i="6"/>
  <c r="AA36" i="6"/>
  <c r="AA9" i="6"/>
  <c r="AA12" i="6"/>
  <c r="AA32" i="6"/>
  <c r="AA13" i="6"/>
  <c r="AA27" i="6"/>
  <c r="AA20" i="6"/>
  <c r="AA6" i="6"/>
  <c r="AA2" i="6"/>
  <c r="AA25" i="6"/>
  <c r="AA41" i="6" s="1"/>
  <c r="AA26" i="6"/>
  <c r="Y64" i="8"/>
  <c r="Y65" i="8" s="1"/>
  <c r="X40" i="8"/>
  <c r="X39" i="8"/>
  <c r="Y50" i="8"/>
  <c r="Y53" i="8" s="1"/>
  <c r="Y30" i="8"/>
  <c r="Y31" i="8"/>
  <c r="Y35" i="8"/>
  <c r="Y32" i="8"/>
  <c r="Y33" i="8"/>
  <c r="Y36" i="8"/>
  <c r="Y34" i="8"/>
  <c r="Y29" i="8"/>
  <c r="Z1" i="8"/>
  <c r="Z16" i="8" s="1"/>
  <c r="Y2" i="8"/>
  <c r="Y12" i="7"/>
  <c r="P11" i="8" l="1"/>
  <c r="P26" i="8" s="1"/>
  <c r="P37" i="8" s="1"/>
  <c r="P41" i="8" s="1"/>
  <c r="P43" i="8" s="1"/>
  <c r="P47" i="8" s="1"/>
  <c r="AA21" i="6"/>
  <c r="Z17" i="8"/>
  <c r="Y18" i="7"/>
  <c r="Y15" i="7"/>
  <c r="Y14" i="7"/>
  <c r="Y17" i="7" s="1"/>
  <c r="Y2" i="7"/>
  <c r="X8" i="7"/>
  <c r="Y52" i="8" s="1"/>
  <c r="J55" i="8"/>
  <c r="J59" i="8" s="1"/>
  <c r="J70" i="8" s="1"/>
  <c r="K69" i="8" s="1"/>
  <c r="J7" i="7"/>
  <c r="J5" i="7"/>
  <c r="U14" i="8"/>
  <c r="T24" i="8"/>
  <c r="X16" i="7"/>
  <c r="X19" i="7" s="1"/>
  <c r="BA1" i="2"/>
  <c r="AZ4" i="2"/>
  <c r="AC1" i="6"/>
  <c r="AB39" i="6"/>
  <c r="AB38" i="6"/>
  <c r="AB37" i="6"/>
  <c r="AB40" i="6"/>
  <c r="AB30" i="6"/>
  <c r="AB34" i="6"/>
  <c r="AB13" i="6"/>
  <c r="AB33" i="6"/>
  <c r="AB29" i="6"/>
  <c r="AB17" i="6"/>
  <c r="AB31" i="6"/>
  <c r="AB28" i="6"/>
  <c r="AB35" i="6"/>
  <c r="AB10" i="6"/>
  <c r="AB8" i="6"/>
  <c r="AB11" i="6"/>
  <c r="AB20" i="6"/>
  <c r="AB5" i="6"/>
  <c r="AB15" i="6"/>
  <c r="AB36" i="6"/>
  <c r="AB18" i="6"/>
  <c r="AB32" i="6"/>
  <c r="AB7" i="6"/>
  <c r="AB14" i="6"/>
  <c r="AB12" i="6"/>
  <c r="AB6" i="6"/>
  <c r="AB19" i="6"/>
  <c r="AB16" i="6"/>
  <c r="AB27" i="6"/>
  <c r="AB9" i="6"/>
  <c r="AB26" i="6"/>
  <c r="AB2" i="6"/>
  <c r="AB25" i="6"/>
  <c r="Z23" i="8"/>
  <c r="AA23" i="8" s="1"/>
  <c r="Z38" i="8"/>
  <c r="BA2" i="2"/>
  <c r="BB2" i="2" s="1"/>
  <c r="Q10" i="8"/>
  <c r="Q7" i="8"/>
  <c r="Q9" i="8"/>
  <c r="Q8" i="8"/>
  <c r="Z21" i="8"/>
  <c r="AU3" i="2"/>
  <c r="AT5" i="2"/>
  <c r="R6" i="8" s="1"/>
  <c r="Z20" i="8"/>
  <c r="Z64" i="8"/>
  <c r="Z65" i="8" s="1"/>
  <c r="Y40" i="8"/>
  <c r="Y39" i="8"/>
  <c r="Z50" i="8"/>
  <c r="Z53" i="8" s="1"/>
  <c r="Z31" i="8"/>
  <c r="Z30" i="8"/>
  <c r="Z35" i="8"/>
  <c r="Z32" i="8"/>
  <c r="Z34" i="8"/>
  <c r="Z29" i="8"/>
  <c r="Z36" i="8"/>
  <c r="Z33" i="8"/>
  <c r="AA1" i="8"/>
  <c r="AA16" i="8" s="1"/>
  <c r="Z2" i="8"/>
  <c r="Z12" i="7"/>
  <c r="J67" i="8" l="1"/>
  <c r="Q11" i="8"/>
  <c r="Q26" i="8" s="1"/>
  <c r="Q37" i="8" s="1"/>
  <c r="Q41" i="8" s="1"/>
  <c r="Q43" i="8" s="1"/>
  <c r="Q47" i="8" s="1"/>
  <c r="AA20" i="8"/>
  <c r="AB21" i="6"/>
  <c r="AA15" i="8"/>
  <c r="AB15" i="8" s="1"/>
  <c r="J6" i="7"/>
  <c r="J9" i="7" s="1"/>
  <c r="K4" i="7" s="1"/>
  <c r="K51" i="8"/>
  <c r="AA17" i="8"/>
  <c r="AB17" i="8" s="1"/>
  <c r="AD1" i="6"/>
  <c r="AC36" i="6"/>
  <c r="AC35" i="6"/>
  <c r="AC37" i="6"/>
  <c r="AC40" i="6"/>
  <c r="AC29" i="6"/>
  <c r="AC12" i="6"/>
  <c r="AC10" i="6"/>
  <c r="AC16" i="6"/>
  <c r="AC7" i="6"/>
  <c r="AC11" i="6"/>
  <c r="AC19" i="6"/>
  <c r="AC13" i="6"/>
  <c r="AC31" i="6"/>
  <c r="AC32" i="6"/>
  <c r="AC8" i="6"/>
  <c r="AC6" i="6"/>
  <c r="AC20" i="6"/>
  <c r="AC18" i="6"/>
  <c r="AC17" i="6"/>
  <c r="AC30" i="6"/>
  <c r="AC15" i="6"/>
  <c r="AC34" i="6"/>
  <c r="AC5" i="6"/>
  <c r="AC38" i="6"/>
  <c r="AC39" i="6"/>
  <c r="AC14" i="6"/>
  <c r="AC27" i="6"/>
  <c r="AC9" i="6"/>
  <c r="AC33" i="6"/>
  <c r="AC26" i="6"/>
  <c r="AC25" i="6"/>
  <c r="AC2" i="6"/>
  <c r="AC28" i="6"/>
  <c r="AA22" i="8"/>
  <c r="AB22" i="8" s="1"/>
  <c r="AA45" i="6"/>
  <c r="AA49" i="6" s="1"/>
  <c r="W45" i="8" s="1"/>
  <c r="BC2" i="2"/>
  <c r="Y16" i="7"/>
  <c r="Y19" i="7" s="1"/>
  <c r="V14" i="8"/>
  <c r="U24" i="8"/>
  <c r="Z18" i="7"/>
  <c r="Z15" i="7"/>
  <c r="Z16" i="7" s="1"/>
  <c r="Z19" i="7" s="1"/>
  <c r="Z14" i="7"/>
  <c r="Z17" i="7" s="1"/>
  <c r="AB23" i="8"/>
  <c r="AA38" i="8"/>
  <c r="AV3" i="2"/>
  <c r="AU5" i="2"/>
  <c r="S6" i="8" s="1"/>
  <c r="AA19" i="8"/>
  <c r="AB19" i="8" s="1"/>
  <c r="Z2" i="7"/>
  <c r="Y8" i="7"/>
  <c r="Z52" i="8" s="1"/>
  <c r="BB1" i="2"/>
  <c r="BA4" i="2"/>
  <c r="AB41" i="6"/>
  <c r="R9" i="8"/>
  <c r="R8" i="8"/>
  <c r="R10" i="8"/>
  <c r="R7" i="8"/>
  <c r="AA21" i="8"/>
  <c r="AA18" i="8"/>
  <c r="AA64" i="8"/>
  <c r="AA65" i="8" s="1"/>
  <c r="Z40" i="8"/>
  <c r="Z39" i="8"/>
  <c r="AA50" i="8"/>
  <c r="AA53" i="8" s="1"/>
  <c r="AA31" i="8"/>
  <c r="AA33" i="8"/>
  <c r="AA30" i="8"/>
  <c r="AA32" i="8"/>
  <c r="AA34" i="8"/>
  <c r="AA36" i="8"/>
  <c r="AA35" i="8"/>
  <c r="AA29" i="8"/>
  <c r="AB1" i="8"/>
  <c r="AB16" i="8" s="1"/>
  <c r="AA2" i="8"/>
  <c r="AA12" i="7"/>
  <c r="R11" i="8" l="1"/>
  <c r="R26" i="8" s="1"/>
  <c r="R37" i="8"/>
  <c r="R41" i="8" s="1"/>
  <c r="R43" i="8" s="1"/>
  <c r="R47" i="8" s="1"/>
  <c r="S10" i="8"/>
  <c r="S8" i="8"/>
  <c r="S7" i="8"/>
  <c r="S9" i="8"/>
  <c r="BC1" i="2"/>
  <c r="BB4" i="2"/>
  <c r="AC41" i="6"/>
  <c r="AB45" i="6"/>
  <c r="AB49" i="6" s="1"/>
  <c r="X45" i="8" s="1"/>
  <c r="AC21" i="6"/>
  <c r="AB20" i="8"/>
  <c r="AA15" i="7"/>
  <c r="AA18" i="7"/>
  <c r="AA14" i="7"/>
  <c r="K5" i="7"/>
  <c r="K7" i="7"/>
  <c r="AE1" i="6"/>
  <c r="AD34" i="6"/>
  <c r="AD33" i="6"/>
  <c r="AD39" i="6"/>
  <c r="AD27" i="6"/>
  <c r="AD37" i="6"/>
  <c r="AD11" i="6"/>
  <c r="AD16" i="6"/>
  <c r="AD17" i="6"/>
  <c r="AD18" i="6"/>
  <c r="AD19" i="6"/>
  <c r="AD6" i="6"/>
  <c r="AD14" i="6"/>
  <c r="AD20" i="6"/>
  <c r="AD31" i="6"/>
  <c r="AD10" i="6"/>
  <c r="AD15" i="6"/>
  <c r="AD40" i="6"/>
  <c r="AD36" i="6"/>
  <c r="AD30" i="6"/>
  <c r="AD35" i="6"/>
  <c r="AD13" i="6"/>
  <c r="AD32" i="6"/>
  <c r="AD9" i="6"/>
  <c r="AD29" i="6"/>
  <c r="AD38" i="6"/>
  <c r="AD7" i="6"/>
  <c r="AD5" i="6"/>
  <c r="AD8" i="6"/>
  <c r="AD12" i="6"/>
  <c r="AD2" i="6"/>
  <c r="AD26" i="6"/>
  <c r="AD25" i="6"/>
  <c r="AD28" i="6"/>
  <c r="AW3" i="2"/>
  <c r="AV5" i="2"/>
  <c r="T6" i="8" s="1"/>
  <c r="K55" i="8"/>
  <c r="K59" i="8" s="1"/>
  <c r="K70" i="8" s="1"/>
  <c r="L69" i="8" s="1"/>
  <c r="AA2" i="7"/>
  <c r="Z8" i="7"/>
  <c r="AA52" i="8" s="1"/>
  <c r="AB18" i="8"/>
  <c r="AB21" i="8"/>
  <c r="W14" i="8"/>
  <c r="V24" i="8"/>
  <c r="AB64" i="8"/>
  <c r="AB50" i="8"/>
  <c r="AB53" i="8" s="1"/>
  <c r="AB31" i="8"/>
  <c r="AB30" i="8"/>
  <c r="AB32" i="8"/>
  <c r="AB34" i="8"/>
  <c r="AB36" i="8"/>
  <c r="AB35" i="8"/>
  <c r="AB29" i="8"/>
  <c r="AB33" i="8"/>
  <c r="AA39" i="8"/>
  <c r="AA40" i="8"/>
  <c r="AC1" i="8"/>
  <c r="AC19" i="8" s="1"/>
  <c r="AB2" i="8"/>
  <c r="AB38" i="8" s="1"/>
  <c r="AB12" i="7"/>
  <c r="S11" i="8" l="1"/>
  <c r="S26" i="8" s="1"/>
  <c r="S37" i="8" s="1"/>
  <c r="S41" i="8" s="1"/>
  <c r="S43" i="8" s="1"/>
  <c r="S47" i="8" s="1"/>
  <c r="X14" i="8"/>
  <c r="W24" i="8"/>
  <c r="BD1" i="2"/>
  <c r="BC4" i="2"/>
  <c r="AB2" i="7"/>
  <c r="AA8" i="7"/>
  <c r="AB52" i="8" s="1"/>
  <c r="AC23" i="8"/>
  <c r="AD23" i="8" s="1"/>
  <c r="AD21" i="6"/>
  <c r="AC45" i="6"/>
  <c r="AC49" i="6" s="1"/>
  <c r="Y45" i="8" s="1"/>
  <c r="AD41" i="6"/>
  <c r="AC21" i="8"/>
  <c r="AF1" i="6"/>
  <c r="AE38" i="6"/>
  <c r="AE36" i="6"/>
  <c r="AE34" i="6"/>
  <c r="AE10" i="6"/>
  <c r="AE31" i="6"/>
  <c r="AE6" i="6"/>
  <c r="AE18" i="6"/>
  <c r="AE30" i="6"/>
  <c r="AE39" i="6"/>
  <c r="AE32" i="6"/>
  <c r="AE13" i="6"/>
  <c r="AE37" i="6"/>
  <c r="AE16" i="6"/>
  <c r="AE12" i="6"/>
  <c r="AE33" i="6"/>
  <c r="AE17" i="6"/>
  <c r="AE9" i="6"/>
  <c r="AE20" i="6"/>
  <c r="AE15" i="6"/>
  <c r="AE8" i="6"/>
  <c r="AE11" i="6"/>
  <c r="AE7" i="6"/>
  <c r="AE5" i="6"/>
  <c r="AE14" i="6"/>
  <c r="AE29" i="6"/>
  <c r="AE35" i="6"/>
  <c r="AE40" i="6"/>
  <c r="AE19" i="6"/>
  <c r="AE27" i="6"/>
  <c r="AE2" i="6"/>
  <c r="AE28" i="6"/>
  <c r="AE25" i="6"/>
  <c r="AE26" i="6"/>
  <c r="AC15" i="8"/>
  <c r="AC18" i="8"/>
  <c r="AC20" i="8"/>
  <c r="AC22" i="8"/>
  <c r="AD22" i="8" s="1"/>
  <c r="AA17" i="7"/>
  <c r="AA16" i="7" s="1"/>
  <c r="AA19" i="7"/>
  <c r="AC17" i="8"/>
  <c r="AD17" i="8" s="1"/>
  <c r="BD2" i="2"/>
  <c r="BE2" i="2" s="1"/>
  <c r="K67" i="8"/>
  <c r="T10" i="8"/>
  <c r="T7" i="8"/>
  <c r="T9" i="8"/>
  <c r="T8" i="8"/>
  <c r="AB14" i="7"/>
  <c r="AB18" i="7"/>
  <c r="AB15" i="7"/>
  <c r="AX3" i="2"/>
  <c r="AW5" i="2"/>
  <c r="U6" i="8" s="1"/>
  <c r="L51" i="8"/>
  <c r="K6" i="7"/>
  <c r="K9" i="7" s="1"/>
  <c r="L4" i="7" s="1"/>
  <c r="AC16" i="8"/>
  <c r="AB65" i="8"/>
  <c r="AC64" i="8"/>
  <c r="AC65" i="8" s="1"/>
  <c r="AB40" i="8"/>
  <c r="AB39" i="8"/>
  <c r="AC50" i="8"/>
  <c r="AC53" i="8" s="1"/>
  <c r="AC31" i="8"/>
  <c r="AC30" i="8"/>
  <c r="AC34" i="8"/>
  <c r="AC36" i="8"/>
  <c r="AC35" i="8"/>
  <c r="AC29" i="8"/>
  <c r="AC32" i="8"/>
  <c r="AC33" i="8"/>
  <c r="AC2" i="8"/>
  <c r="AC38" i="8" s="1"/>
  <c r="AD1" i="8"/>
  <c r="AC12" i="7"/>
  <c r="T11" i="8" l="1"/>
  <c r="T26" i="8" s="1"/>
  <c r="T37" i="8" s="1"/>
  <c r="T41" i="8" s="1"/>
  <c r="AC18" i="7"/>
  <c r="AC14" i="7"/>
  <c r="AC15" i="7"/>
  <c r="AD18" i="8"/>
  <c r="AG1" i="6"/>
  <c r="AF37" i="6"/>
  <c r="AF35" i="6"/>
  <c r="AF9" i="6"/>
  <c r="AF5" i="6"/>
  <c r="AF34" i="6"/>
  <c r="AF17" i="6"/>
  <c r="AF30" i="6"/>
  <c r="AF39" i="6"/>
  <c r="AF36" i="6"/>
  <c r="AF32" i="6"/>
  <c r="AF31" i="6"/>
  <c r="AF7" i="6"/>
  <c r="AF14" i="6"/>
  <c r="AF15" i="6"/>
  <c r="AF10" i="6"/>
  <c r="AF13" i="6"/>
  <c r="AF38" i="6"/>
  <c r="AF20" i="6"/>
  <c r="AF29" i="6"/>
  <c r="AF6" i="6"/>
  <c r="AF16" i="6"/>
  <c r="AF27" i="6"/>
  <c r="AF40" i="6"/>
  <c r="AF33" i="6"/>
  <c r="AF18" i="6"/>
  <c r="AF11" i="6"/>
  <c r="AF26" i="6"/>
  <c r="AF8" i="6"/>
  <c r="AF12" i="6"/>
  <c r="AF19" i="6"/>
  <c r="AF28" i="6"/>
  <c r="AF2" i="6"/>
  <c r="AF25" i="6"/>
  <c r="BE1" i="2"/>
  <c r="BD4" i="2"/>
  <c r="AE23" i="8"/>
  <c r="AC2" i="7"/>
  <c r="AB8" i="7"/>
  <c r="AC52" i="8" s="1"/>
  <c r="AD21" i="8"/>
  <c r="AE21" i="8" s="1"/>
  <c r="AD49" i="6"/>
  <c r="Z45" i="8" s="1"/>
  <c r="AD45" i="6"/>
  <c r="AD20" i="8"/>
  <c r="AD15" i="8"/>
  <c r="Y14" i="8"/>
  <c r="X24" i="8"/>
  <c r="BF2" i="2"/>
  <c r="AB17" i="7"/>
  <c r="AB16" i="7" s="1"/>
  <c r="AB19" i="7" s="1"/>
  <c r="L7" i="7"/>
  <c r="L5" i="7"/>
  <c r="U9" i="8"/>
  <c r="U10" i="8"/>
  <c r="U8" i="8"/>
  <c r="U7" i="8"/>
  <c r="U11" i="8" s="1"/>
  <c r="U26" i="8" s="1"/>
  <c r="U37" i="8" s="1"/>
  <c r="U41" i="8" s="1"/>
  <c r="U43" i="8" s="1"/>
  <c r="U47" i="8" s="1"/>
  <c r="AY3" i="2"/>
  <c r="AX5" i="2"/>
  <c r="V6" i="8" s="1"/>
  <c r="AE22" i="8"/>
  <c r="AE21" i="6"/>
  <c r="AD16" i="8"/>
  <c r="AE16" i="8" s="1"/>
  <c r="L55" i="8"/>
  <c r="L59" i="8" s="1"/>
  <c r="L70" i="8" s="1"/>
  <c r="M69" i="8" s="1"/>
  <c r="AE41" i="6"/>
  <c r="AD19" i="8"/>
  <c r="AD64" i="8"/>
  <c r="AD65" i="8" s="1"/>
  <c r="AC40" i="8"/>
  <c r="AC39" i="8"/>
  <c r="AD50" i="8"/>
  <c r="AD53" i="8" s="1"/>
  <c r="AD30" i="8"/>
  <c r="AD33" i="8"/>
  <c r="AD31" i="8"/>
  <c r="AD34" i="8"/>
  <c r="AD36" i="8"/>
  <c r="AD35" i="8"/>
  <c r="AD29" i="8"/>
  <c r="AD32" i="8"/>
  <c r="AD2" i="8"/>
  <c r="AD38" i="8" s="1"/>
  <c r="AE1" i="8"/>
  <c r="AD12" i="7"/>
  <c r="T43" i="8" l="1"/>
  <c r="T47" i="8" s="1"/>
  <c r="AE45" i="6"/>
  <c r="AE49" i="6" s="1"/>
  <c r="AA45" i="8" s="1"/>
  <c r="AD2" i="7"/>
  <c r="AC8" i="7"/>
  <c r="AD52" i="8" s="1"/>
  <c r="BG2" i="2"/>
  <c r="AE18" i="8"/>
  <c r="AF18" i="8" s="1"/>
  <c r="AD15" i="7"/>
  <c r="AD16" i="7" s="1"/>
  <c r="AD19" i="7" s="1"/>
  <c r="AD14" i="7"/>
  <c r="AD17" i="7" s="1"/>
  <c r="AD18" i="7"/>
  <c r="Z14" i="8"/>
  <c r="Y24" i="8"/>
  <c r="BF1" i="2"/>
  <c r="BE4" i="2"/>
  <c r="AF21" i="6"/>
  <c r="AF22" i="8"/>
  <c r="AF41" i="6"/>
  <c r="AC16" i="7"/>
  <c r="AC19" i="7" s="1"/>
  <c r="AZ3" i="2"/>
  <c r="AY5" i="2"/>
  <c r="W6" i="8" s="1"/>
  <c r="AE20" i="8"/>
  <c r="AC17" i="7"/>
  <c r="AE19" i="8"/>
  <c r="V8" i="8"/>
  <c r="V7" i="8"/>
  <c r="V9" i="8"/>
  <c r="V10" i="8"/>
  <c r="AF23" i="8"/>
  <c r="AH1" i="6"/>
  <c r="AG6" i="6"/>
  <c r="AG7" i="6"/>
  <c r="AG8" i="6"/>
  <c r="AG9" i="6"/>
  <c r="AG10" i="6"/>
  <c r="AG11" i="6"/>
  <c r="AG12" i="6"/>
  <c r="AG13" i="6"/>
  <c r="AG14" i="6"/>
  <c r="AG15" i="6"/>
  <c r="AG37" i="6"/>
  <c r="AG39" i="6"/>
  <c r="AG33" i="6"/>
  <c r="AG26" i="6"/>
  <c r="AG34" i="6"/>
  <c r="AG25" i="6"/>
  <c r="AG35" i="6"/>
  <c r="AG30" i="6"/>
  <c r="AG16" i="6"/>
  <c r="AG20" i="6"/>
  <c r="AG36" i="6"/>
  <c r="AG31" i="6"/>
  <c r="AG19" i="6"/>
  <c r="AG5" i="6"/>
  <c r="AG38" i="6"/>
  <c r="AG40" i="6"/>
  <c r="AG28" i="6"/>
  <c r="AG18" i="6"/>
  <c r="AG29" i="6"/>
  <c r="AG32" i="6"/>
  <c r="AG27" i="6"/>
  <c r="AG17" i="6"/>
  <c r="AG2" i="6"/>
  <c r="AE38" i="8"/>
  <c r="AE15" i="8"/>
  <c r="AF15" i="8" s="1"/>
  <c r="AE17" i="8"/>
  <c r="L67" i="8"/>
  <c r="M51" i="8"/>
  <c r="L6" i="7"/>
  <c r="L9" i="7" s="1"/>
  <c r="M4" i="7" s="1"/>
  <c r="AE64" i="8"/>
  <c r="AE50" i="8"/>
  <c r="AE53" i="8" s="1"/>
  <c r="AE30" i="8"/>
  <c r="AE32" i="8"/>
  <c r="AE31" i="8"/>
  <c r="AE35" i="8"/>
  <c r="AE33" i="8"/>
  <c r="AE34" i="8"/>
  <c r="AE36" i="8"/>
  <c r="AE29" i="8"/>
  <c r="AD40" i="8"/>
  <c r="AD39" i="8"/>
  <c r="AE2" i="8"/>
  <c r="AF1" i="8"/>
  <c r="AE12" i="7"/>
  <c r="V11" i="8" l="1"/>
  <c r="V26" i="8" s="1"/>
  <c r="V37" i="8" s="1"/>
  <c r="V41" i="8" s="1"/>
  <c r="V43" i="8" s="1"/>
  <c r="AE2" i="7"/>
  <c r="AD8" i="7"/>
  <c r="AE52" i="8" s="1"/>
  <c r="AG41" i="6"/>
  <c r="BG1" i="2"/>
  <c r="BF4" i="2"/>
  <c r="AF21" i="8"/>
  <c r="AG21" i="8" s="1"/>
  <c r="AG23" i="8"/>
  <c r="AF19" i="8"/>
  <c r="AG19" i="8" s="1"/>
  <c r="W10" i="8"/>
  <c r="W9" i="8"/>
  <c r="W8" i="8"/>
  <c r="W7" i="8"/>
  <c r="M7" i="7"/>
  <c r="M5" i="7"/>
  <c r="AA14" i="8"/>
  <c r="Z24" i="8"/>
  <c r="AF45" i="6"/>
  <c r="AF49" i="6" s="1"/>
  <c r="AB45" i="8" s="1"/>
  <c r="AE15" i="7"/>
  <c r="AE14" i="7"/>
  <c r="AE18" i="7"/>
  <c r="AF16" i="8"/>
  <c r="BA3" i="2"/>
  <c r="AZ5" i="2"/>
  <c r="X6" i="8" s="1"/>
  <c r="BH2" i="2"/>
  <c r="M55" i="8"/>
  <c r="M59" i="8" s="1"/>
  <c r="M70" i="8" s="1"/>
  <c r="N69" i="8" s="1"/>
  <c r="AF17" i="8"/>
  <c r="AG17" i="8" s="1"/>
  <c r="AG21" i="6"/>
  <c r="AI1" i="6"/>
  <c r="AH36" i="6"/>
  <c r="AH34" i="6"/>
  <c r="AH8" i="6"/>
  <c r="AH25" i="6"/>
  <c r="AH9" i="6"/>
  <c r="AH13" i="6"/>
  <c r="AH28" i="6"/>
  <c r="AH26" i="6"/>
  <c r="AH6" i="6"/>
  <c r="AH10" i="6"/>
  <c r="AH14" i="6"/>
  <c r="AH39" i="6"/>
  <c r="AH27" i="6"/>
  <c r="AH32" i="6"/>
  <c r="AH7" i="6"/>
  <c r="AH15" i="6"/>
  <c r="AH38" i="6"/>
  <c r="AH18" i="6"/>
  <c r="AH30" i="6"/>
  <c r="AH40" i="6"/>
  <c r="AH19" i="6"/>
  <c r="AH16" i="6"/>
  <c r="AH5" i="6"/>
  <c r="AH21" i="6" s="1"/>
  <c r="AH20" i="6"/>
  <c r="AH29" i="6"/>
  <c r="AH11" i="6"/>
  <c r="AH33" i="6"/>
  <c r="AH35" i="6"/>
  <c r="AH12" i="6"/>
  <c r="AH31" i="6"/>
  <c r="AH17" i="6"/>
  <c r="AH37" i="6"/>
  <c r="AH2" i="6"/>
  <c r="AF20" i="8"/>
  <c r="AG20" i="8" s="1"/>
  <c r="AE65" i="8"/>
  <c r="AF64" i="8"/>
  <c r="AF65" i="8" s="1"/>
  <c r="AE40" i="8"/>
  <c r="AE39" i="8"/>
  <c r="AF50" i="8"/>
  <c r="AF53" i="8" s="1"/>
  <c r="AF30" i="8"/>
  <c r="AF32" i="8"/>
  <c r="AF31" i="8"/>
  <c r="AF35" i="8"/>
  <c r="AF33" i="8"/>
  <c r="AF34" i="8"/>
  <c r="AF36" i="8"/>
  <c r="AF29" i="8"/>
  <c r="AG1" i="8"/>
  <c r="AG15" i="8" s="1"/>
  <c r="AF2" i="8"/>
  <c r="AF38" i="8" s="1"/>
  <c r="AF12" i="7"/>
  <c r="M67" i="8" l="1"/>
  <c r="W11" i="8"/>
  <c r="W26" i="8" s="1"/>
  <c r="W37" i="8" s="1"/>
  <c r="W41" i="8" s="1"/>
  <c r="W43" i="8" s="1"/>
  <c r="W47" i="8" s="1"/>
  <c r="AG45" i="6"/>
  <c r="AG49" i="6" s="1"/>
  <c r="AC45" i="8" s="1"/>
  <c r="AB14" i="8"/>
  <c r="AA24" i="8"/>
  <c r="AH21" i="8"/>
  <c r="BB3" i="2"/>
  <c r="BA5" i="2"/>
  <c r="Y6" i="8" s="1"/>
  <c r="AG22" i="8"/>
  <c r="AH22" i="8" s="1"/>
  <c r="BH1" i="2"/>
  <c r="BG4" i="2"/>
  <c r="AH41" i="6"/>
  <c r="AH45" i="6" s="1"/>
  <c r="BI2" i="2"/>
  <c r="AF14" i="7"/>
  <c r="AF17" i="7" s="1"/>
  <c r="AF18" i="7"/>
  <c r="AF15" i="7"/>
  <c r="AF16" i="7" s="1"/>
  <c r="AF19" i="7" s="1"/>
  <c r="AG16" i="8"/>
  <c r="AH16" i="8" s="1"/>
  <c r="AH20" i="8"/>
  <c r="M6" i="7"/>
  <c r="M9" i="7" s="1"/>
  <c r="N4" i="7" s="1"/>
  <c r="N51" i="8"/>
  <c r="AF2" i="7"/>
  <c r="AE8" i="7"/>
  <c r="AF52" i="8" s="1"/>
  <c r="V47" i="8"/>
  <c r="AH23" i="8"/>
  <c r="X9" i="8"/>
  <c r="X10" i="8"/>
  <c r="X7" i="8"/>
  <c r="X8" i="8"/>
  <c r="AE17" i="7"/>
  <c r="AE19" i="7"/>
  <c r="AJ1" i="6"/>
  <c r="AI33" i="6"/>
  <c r="AI39" i="6"/>
  <c r="AI7" i="6"/>
  <c r="AI28" i="6"/>
  <c r="AI26" i="6"/>
  <c r="AI9" i="6"/>
  <c r="AI13" i="6"/>
  <c r="AI35" i="6"/>
  <c r="AI30" i="6"/>
  <c r="AI40" i="6"/>
  <c r="AI32" i="6"/>
  <c r="AI27" i="6"/>
  <c r="AI5" i="6"/>
  <c r="AI38" i="6"/>
  <c r="AI12" i="6"/>
  <c r="AI14" i="6"/>
  <c r="AI25" i="6"/>
  <c r="AI10" i="6"/>
  <c r="AI15" i="6"/>
  <c r="AI17" i="6"/>
  <c r="AI6" i="6"/>
  <c r="AI19" i="6"/>
  <c r="AI36" i="6"/>
  <c r="AI29" i="6"/>
  <c r="AI16" i="6"/>
  <c r="AI20" i="6"/>
  <c r="AI18" i="6"/>
  <c r="AI11" i="6"/>
  <c r="AI34" i="6"/>
  <c r="AI31" i="6"/>
  <c r="AI8" i="6"/>
  <c r="AI37" i="6"/>
  <c r="AI2" i="6"/>
  <c r="AE16" i="7"/>
  <c r="AG18" i="8"/>
  <c r="AG64" i="8"/>
  <c r="AF40" i="8"/>
  <c r="AF39" i="8"/>
  <c r="AG50" i="8"/>
  <c r="AG53" i="8" s="1"/>
  <c r="AG30" i="8"/>
  <c r="AG35" i="8"/>
  <c r="AG33" i="8"/>
  <c r="AG31" i="8"/>
  <c r="AG32" i="8"/>
  <c r="AG34" i="8"/>
  <c r="AG36" i="8"/>
  <c r="AG29" i="8"/>
  <c r="AH1" i="8"/>
  <c r="AH19" i="8" s="1"/>
  <c r="AG2" i="8"/>
  <c r="AG38" i="8" s="1"/>
  <c r="AG12" i="7"/>
  <c r="X11" i="8" l="1"/>
  <c r="X26" i="8" s="1"/>
  <c r="BC3" i="2"/>
  <c r="BB5" i="2"/>
  <c r="Z6" i="8" s="1"/>
  <c r="AI21" i="6"/>
  <c r="N55" i="8"/>
  <c r="N59" i="8" s="1"/>
  <c r="N70" i="8" s="1"/>
  <c r="O69" i="8" s="1"/>
  <c r="Y7" i="8"/>
  <c r="Y10" i="8"/>
  <c r="Y9" i="8"/>
  <c r="Y8" i="8"/>
  <c r="AC14" i="8"/>
  <c r="AB24" i="8"/>
  <c r="AG18" i="7"/>
  <c r="AG14" i="7"/>
  <c r="AG17" i="7" s="1"/>
  <c r="AG15" i="7"/>
  <c r="AG16" i="7" s="1"/>
  <c r="AG19" i="7" s="1"/>
  <c r="AH49" i="6"/>
  <c r="AD45" i="8" s="1"/>
  <c r="N7" i="7"/>
  <c r="N5" i="7"/>
  <c r="AI21" i="8"/>
  <c r="AI41" i="6"/>
  <c r="AH18" i="8"/>
  <c r="AG2" i="7"/>
  <c r="AF8" i="7"/>
  <c r="AG52" i="8" s="1"/>
  <c r="AI20" i="8"/>
  <c r="AK1" i="6"/>
  <c r="AJ32" i="6"/>
  <c r="AJ31" i="6"/>
  <c r="AJ30" i="6"/>
  <c r="AJ29" i="6"/>
  <c r="AJ33" i="6"/>
  <c r="AJ6" i="6"/>
  <c r="AJ35" i="6"/>
  <c r="AJ38" i="6"/>
  <c r="AJ8" i="6"/>
  <c r="AJ14" i="6"/>
  <c r="AJ25" i="6"/>
  <c r="AJ12" i="6"/>
  <c r="AJ7" i="6"/>
  <c r="AJ40" i="6"/>
  <c r="AJ37" i="6"/>
  <c r="AJ34" i="6"/>
  <c r="AJ10" i="6"/>
  <c r="AJ15" i="6"/>
  <c r="AJ36" i="6"/>
  <c r="AJ27" i="6"/>
  <c r="AJ11" i="6"/>
  <c r="AJ17" i="6"/>
  <c r="AJ28" i="6"/>
  <c r="AJ9" i="6"/>
  <c r="AJ26" i="6"/>
  <c r="AJ5" i="6"/>
  <c r="AJ19" i="6"/>
  <c r="AJ39" i="6"/>
  <c r="AJ16" i="6"/>
  <c r="AJ20" i="6"/>
  <c r="AJ18" i="6"/>
  <c r="AJ13" i="6"/>
  <c r="AJ2" i="6"/>
  <c r="AH17" i="8"/>
  <c r="AI17" i="8" s="1"/>
  <c r="BI1" i="2"/>
  <c r="BJ2" i="2" s="1"/>
  <c r="BH4" i="2"/>
  <c r="AH15" i="8"/>
  <c r="AG65" i="8"/>
  <c r="AH64" i="8"/>
  <c r="AH65" i="8" s="1"/>
  <c r="AG40" i="8"/>
  <c r="AG39" i="8"/>
  <c r="AH50" i="8"/>
  <c r="AH53" i="8" s="1"/>
  <c r="AH31" i="8"/>
  <c r="AH32" i="8"/>
  <c r="AH30" i="8"/>
  <c r="AH35" i="8"/>
  <c r="AH33" i="8"/>
  <c r="AH29" i="8"/>
  <c r="AH34" i="8"/>
  <c r="AH36" i="8"/>
  <c r="AI1" i="8"/>
  <c r="AI23" i="8" s="1"/>
  <c r="AH2" i="8"/>
  <c r="AH38" i="8" s="1"/>
  <c r="AH12" i="7"/>
  <c r="X37" i="8" l="1"/>
  <c r="X41" i="8" s="1"/>
  <c r="X43" i="8" s="1"/>
  <c r="X47" i="8" s="1"/>
  <c r="N67" i="8"/>
  <c r="Y11" i="8"/>
  <c r="Y26" i="8" s="1"/>
  <c r="Y37" i="8" s="1"/>
  <c r="Y41" i="8" s="1"/>
  <c r="Y43" i="8" s="1"/>
  <c r="Y47" i="8" s="1"/>
  <c r="AL1" i="6"/>
  <c r="AK40" i="6"/>
  <c r="AK28" i="6"/>
  <c r="AK26" i="6"/>
  <c r="AK36" i="6"/>
  <c r="AK32" i="6"/>
  <c r="AK30" i="6"/>
  <c r="AK8" i="6"/>
  <c r="AK12" i="6"/>
  <c r="AK27" i="6"/>
  <c r="AK39" i="6"/>
  <c r="AK9" i="6"/>
  <c r="AK13" i="6"/>
  <c r="AK7" i="6"/>
  <c r="AK16" i="6"/>
  <c r="AK38" i="6"/>
  <c r="AK25" i="6"/>
  <c r="AK17" i="6"/>
  <c r="AK37" i="6"/>
  <c r="AK34" i="6"/>
  <c r="AK14" i="6"/>
  <c r="AK33" i="6"/>
  <c r="AK20" i="6"/>
  <c r="AK31" i="6"/>
  <c r="AK29" i="6"/>
  <c r="AK11" i="6"/>
  <c r="AK35" i="6"/>
  <c r="AK6" i="6"/>
  <c r="AK10" i="6"/>
  <c r="AK15" i="6"/>
  <c r="AK19" i="6"/>
  <c r="AK18" i="6"/>
  <c r="AK5" i="6"/>
  <c r="AK2" i="6"/>
  <c r="AJ41" i="6"/>
  <c r="AH2" i="7"/>
  <c r="AG8" i="7"/>
  <c r="AH52" i="8" s="1"/>
  <c r="AI18" i="8"/>
  <c r="AI45" i="6"/>
  <c r="AI49" i="6"/>
  <c r="AE45" i="8" s="1"/>
  <c r="AD14" i="8"/>
  <c r="AC24" i="8"/>
  <c r="AI16" i="8"/>
  <c r="AI22" i="8"/>
  <c r="AJ22" i="8" s="1"/>
  <c r="Z8" i="8"/>
  <c r="Z7" i="8"/>
  <c r="Z9" i="8"/>
  <c r="Z10" i="8"/>
  <c r="BD3" i="2"/>
  <c r="BC5" i="2"/>
  <c r="AA6" i="8" s="1"/>
  <c r="AJ21" i="6"/>
  <c r="N6" i="7"/>
  <c r="N9" i="7" s="1"/>
  <c r="O4" i="7" s="1"/>
  <c r="O51" i="8"/>
  <c r="O55" i="8" s="1"/>
  <c r="O59" i="8" s="1"/>
  <c r="O67" i="8" s="1"/>
  <c r="BJ1" i="2"/>
  <c r="BI4" i="2"/>
  <c r="AH18" i="7"/>
  <c r="AH15" i="7"/>
  <c r="AH14" i="7"/>
  <c r="AH17" i="7" s="1"/>
  <c r="AI15" i="8"/>
  <c r="AI19" i="8"/>
  <c r="AI64" i="8"/>
  <c r="AI65" i="8" s="1"/>
  <c r="AH39" i="8"/>
  <c r="AH40" i="8"/>
  <c r="AI50" i="8"/>
  <c r="AI53" i="8" s="1"/>
  <c r="AI31" i="8"/>
  <c r="AI33" i="8"/>
  <c r="AI30" i="8"/>
  <c r="AI32" i="8"/>
  <c r="AI34" i="8"/>
  <c r="AI36" i="8"/>
  <c r="AI35" i="8"/>
  <c r="AI29" i="8"/>
  <c r="AI2" i="8"/>
  <c r="AI38" i="8" s="1"/>
  <c r="AJ1" i="8"/>
  <c r="AI12" i="7"/>
  <c r="Z11" i="8" l="1"/>
  <c r="Z26" i="8" s="1"/>
  <c r="Z37" i="8" s="1"/>
  <c r="Z41" i="8" s="1"/>
  <c r="Z43" i="8" s="1"/>
  <c r="Z47" i="8" s="1"/>
  <c r="BK1" i="2"/>
  <c r="BJ4" i="2"/>
  <c r="AI15" i="7"/>
  <c r="AI18" i="7"/>
  <c r="AI14" i="7"/>
  <c r="AK22" i="8"/>
  <c r="AJ38" i="8"/>
  <c r="AJ19" i="8"/>
  <c r="AK19" i="8" s="1"/>
  <c r="AJ16" i="8"/>
  <c r="AK16" i="8" s="1"/>
  <c r="AJ15" i="8"/>
  <c r="AK15" i="8" s="1"/>
  <c r="AK41" i="6"/>
  <c r="AA8" i="8"/>
  <c r="AA9" i="8"/>
  <c r="AA7" i="8"/>
  <c r="AA10" i="8"/>
  <c r="AH16" i="7"/>
  <c r="AH19" i="7" s="1"/>
  <c r="AJ18" i="8"/>
  <c r="AK18" i="8" s="1"/>
  <c r="O70" i="8"/>
  <c r="P69" i="8" s="1"/>
  <c r="AI2" i="7"/>
  <c r="AH8" i="7"/>
  <c r="AI52" i="8" s="1"/>
  <c r="AM1" i="6"/>
  <c r="AL38" i="6"/>
  <c r="AL35" i="6"/>
  <c r="AL31" i="6"/>
  <c r="AL27" i="6"/>
  <c r="AL40" i="6"/>
  <c r="AL8" i="6"/>
  <c r="AL12" i="6"/>
  <c r="AL37" i="6"/>
  <c r="AL29" i="6"/>
  <c r="AL6" i="6"/>
  <c r="AL32" i="6"/>
  <c r="AL9" i="6"/>
  <c r="AL34" i="6"/>
  <c r="AL39" i="6"/>
  <c r="AL36" i="6"/>
  <c r="AL7" i="6"/>
  <c r="AL14" i="6"/>
  <c r="AL13" i="6"/>
  <c r="AL28" i="6"/>
  <c r="AL17" i="6"/>
  <c r="AL18" i="6"/>
  <c r="AL10" i="6"/>
  <c r="AL15" i="6"/>
  <c r="AL33" i="6"/>
  <c r="AL25" i="6"/>
  <c r="AL16" i="6"/>
  <c r="AL19" i="6"/>
  <c r="AL26" i="6"/>
  <c r="AL20" i="6"/>
  <c r="AL11" i="6"/>
  <c r="AL5" i="6"/>
  <c r="AL30" i="6"/>
  <c r="AL2" i="6"/>
  <c r="O7" i="7"/>
  <c r="O5" i="7"/>
  <c r="AK21" i="6"/>
  <c r="BK2" i="2"/>
  <c r="AJ45" i="6"/>
  <c r="AJ49" i="6" s="1"/>
  <c r="AF45" i="8" s="1"/>
  <c r="AE14" i="8"/>
  <c r="AD24" i="8"/>
  <c r="AJ21" i="8"/>
  <c r="AK21" i="8" s="1"/>
  <c r="AJ20" i="8"/>
  <c r="AK20" i="8" s="1"/>
  <c r="BE3" i="2"/>
  <c r="BD5" i="2"/>
  <c r="AB6" i="8" s="1"/>
  <c r="AJ17" i="8"/>
  <c r="AJ23" i="8"/>
  <c r="AJ64" i="8"/>
  <c r="AJ65" i="8" s="1"/>
  <c r="AJ50" i="8"/>
  <c r="AJ53" i="8" s="1"/>
  <c r="AJ31" i="8"/>
  <c r="AJ30" i="8"/>
  <c r="AJ32" i="8"/>
  <c r="AJ34" i="8"/>
  <c r="AJ36" i="8"/>
  <c r="AJ33" i="8"/>
  <c r="AJ29" i="8"/>
  <c r="AJ35" i="8"/>
  <c r="AI39" i="8"/>
  <c r="AI40" i="8"/>
  <c r="AJ2" i="8"/>
  <c r="AK1" i="8"/>
  <c r="AJ12" i="7"/>
  <c r="AA11" i="8" l="1"/>
  <c r="AA26" i="8" s="1"/>
  <c r="AA37" i="8" s="1"/>
  <c r="AA41" i="8" s="1"/>
  <c r="AA43" i="8" s="1"/>
  <c r="AA47" i="8" s="1"/>
  <c r="BF3" i="2"/>
  <c r="BE5" i="2"/>
  <c r="AC6" i="8" s="1"/>
  <c r="AL21" i="6"/>
  <c r="AI17" i="7"/>
  <c r="AI16" i="7" s="1"/>
  <c r="AI19" i="7"/>
  <c r="AJ15" i="7"/>
  <c r="AJ18" i="7"/>
  <c r="AJ14" i="7"/>
  <c r="AJ17" i="7" s="1"/>
  <c r="AK38" i="8"/>
  <c r="AJ2" i="7"/>
  <c r="AI8" i="7"/>
  <c r="AJ52" i="8" s="1"/>
  <c r="O6" i="7"/>
  <c r="O9" i="7" s="1"/>
  <c r="P4" i="7" s="1"/>
  <c r="P51" i="8"/>
  <c r="AF14" i="8"/>
  <c r="AE24" i="8"/>
  <c r="AK23" i="8"/>
  <c r="BL1" i="2"/>
  <c r="BK4" i="2"/>
  <c r="AK17" i="8"/>
  <c r="BL2" i="2"/>
  <c r="BM2" i="2" s="1"/>
  <c r="AL41" i="6"/>
  <c r="AB10" i="8"/>
  <c r="AB9" i="8"/>
  <c r="AB7" i="8"/>
  <c r="AB8" i="8"/>
  <c r="AK45" i="6"/>
  <c r="AK49" i="6"/>
  <c r="AG45" i="8" s="1"/>
  <c r="AN1" i="6"/>
  <c r="AM40" i="6"/>
  <c r="AM39" i="6"/>
  <c r="AM36" i="6"/>
  <c r="AM32" i="6"/>
  <c r="AM30" i="6"/>
  <c r="AM15" i="6"/>
  <c r="AM27" i="6"/>
  <c r="AM19" i="6"/>
  <c r="AM38" i="6"/>
  <c r="AM29" i="6"/>
  <c r="AM9" i="6"/>
  <c r="AM10" i="6"/>
  <c r="AM11" i="6"/>
  <c r="AM33" i="6"/>
  <c r="AM34" i="6"/>
  <c r="AM37" i="6"/>
  <c r="AM12" i="6"/>
  <c r="AM28" i="6"/>
  <c r="AM17" i="6"/>
  <c r="AM26" i="6"/>
  <c r="AM20" i="6"/>
  <c r="AM13" i="6"/>
  <c r="AM31" i="6"/>
  <c r="AM25" i="6"/>
  <c r="AM6" i="6"/>
  <c r="AM7" i="6"/>
  <c r="AM16" i="6"/>
  <c r="AM35" i="6"/>
  <c r="AM14" i="6"/>
  <c r="AM18" i="6"/>
  <c r="AM5" i="6"/>
  <c r="AM8" i="6"/>
  <c r="AM2" i="6"/>
  <c r="AK64" i="8"/>
  <c r="AK65" i="8" s="1"/>
  <c r="AK50" i="8"/>
  <c r="AK53" i="8" s="1"/>
  <c r="AK31" i="8"/>
  <c r="AK32" i="8"/>
  <c r="AK34" i="8"/>
  <c r="AK36" i="8"/>
  <c r="AK30" i="8"/>
  <c r="AK33" i="8"/>
  <c r="AK29" i="8"/>
  <c r="AK35" i="8"/>
  <c r="AJ40" i="8"/>
  <c r="AJ39" i="8"/>
  <c r="AK2" i="8"/>
  <c r="AL1" i="8"/>
  <c r="AL22" i="8" s="1"/>
  <c r="AK12" i="7"/>
  <c r="AB11" i="8" l="1"/>
  <c r="AB26" i="8" s="1"/>
  <c r="AB37" i="8" s="1"/>
  <c r="AB41" i="8" s="1"/>
  <c r="AB43" i="8" s="1"/>
  <c r="AB47" i="8" s="1"/>
  <c r="AM21" i="6"/>
  <c r="AG14" i="8"/>
  <c r="AF24" i="8"/>
  <c r="AL18" i="8"/>
  <c r="AL19" i="8"/>
  <c r="AJ16" i="7"/>
  <c r="AJ19" i="7" s="1"/>
  <c r="AL21" i="8"/>
  <c r="AM21" i="8" s="1"/>
  <c r="BN2" i="2"/>
  <c r="AL16" i="8"/>
  <c r="AM16" i="8" s="1"/>
  <c r="AL17" i="8"/>
  <c r="AL20" i="8"/>
  <c r="P55" i="8"/>
  <c r="AL45" i="6"/>
  <c r="AL49" i="6"/>
  <c r="AH45" i="8" s="1"/>
  <c r="AK18" i="7"/>
  <c r="AK15" i="7"/>
  <c r="AK14" i="7"/>
  <c r="AM41" i="6"/>
  <c r="AO1" i="6"/>
  <c r="AN39" i="6"/>
  <c r="AN38" i="6"/>
  <c r="AN37" i="6"/>
  <c r="AN35" i="6"/>
  <c r="AN31" i="6"/>
  <c r="AN27" i="6"/>
  <c r="AN29" i="6"/>
  <c r="AN14" i="6"/>
  <c r="AN40" i="6"/>
  <c r="AN7" i="6"/>
  <c r="AN11" i="6"/>
  <c r="AN18" i="6"/>
  <c r="AN32" i="6"/>
  <c r="AN36" i="6"/>
  <c r="AN8" i="6"/>
  <c r="AN12" i="6"/>
  <c r="AN15" i="6"/>
  <c r="AN33" i="6"/>
  <c r="AN16" i="6"/>
  <c r="AN9" i="6"/>
  <c r="AN28" i="6"/>
  <c r="AN5" i="6"/>
  <c r="AN13" i="6"/>
  <c r="AN34" i="6"/>
  <c r="AN25" i="6"/>
  <c r="AN41" i="6" s="1"/>
  <c r="AN17" i="6"/>
  <c r="AN26" i="6"/>
  <c r="AN6" i="6"/>
  <c r="AN10" i="6"/>
  <c r="AN19" i="6"/>
  <c r="AN30" i="6"/>
  <c r="AN20" i="6"/>
  <c r="AN2" i="6"/>
  <c r="BM1" i="2"/>
  <c r="BL4" i="2"/>
  <c r="P5" i="7"/>
  <c r="P7" i="7"/>
  <c r="AL23" i="8"/>
  <c r="AC7" i="8"/>
  <c r="AC10" i="8"/>
  <c r="AC8" i="8"/>
  <c r="AC9" i="8"/>
  <c r="AL15" i="8"/>
  <c r="AK2" i="7"/>
  <c r="AJ8" i="7"/>
  <c r="AK52" i="8" s="1"/>
  <c r="BG3" i="2"/>
  <c r="BF5" i="2"/>
  <c r="AD6" i="8" s="1"/>
  <c r="AL64" i="8"/>
  <c r="AL65" i="8" s="1"/>
  <c r="AK40" i="8"/>
  <c r="AK39" i="8"/>
  <c r="AL50" i="8"/>
  <c r="AL53" i="8" s="1"/>
  <c r="AL30" i="8"/>
  <c r="AL32" i="8"/>
  <c r="AL34" i="8"/>
  <c r="AL36" i="8"/>
  <c r="AL33" i="8"/>
  <c r="AL29" i="8"/>
  <c r="AL31" i="8"/>
  <c r="AL35" i="8"/>
  <c r="AL2" i="8"/>
  <c r="AM1" i="8"/>
  <c r="AL12" i="7"/>
  <c r="BH3" i="2" l="1"/>
  <c r="BG5" i="2"/>
  <c r="AE6" i="8" s="1"/>
  <c r="AL2" i="7"/>
  <c r="AK8" i="7"/>
  <c r="AL52" i="8" s="1"/>
  <c r="BN1" i="2"/>
  <c r="BM4" i="2"/>
  <c r="AN21" i="6"/>
  <c r="AK17" i="7"/>
  <c r="AK16" i="7" s="1"/>
  <c r="AK19" i="7" s="1"/>
  <c r="AM15" i="8"/>
  <c r="AM19" i="8"/>
  <c r="AM18" i="8"/>
  <c r="AH14" i="8"/>
  <c r="AG24" i="8"/>
  <c r="AL18" i="7"/>
  <c r="AL15" i="7"/>
  <c r="AL14" i="7"/>
  <c r="AL17" i="7" s="1"/>
  <c r="AC11" i="8"/>
  <c r="AC26" i="8" s="1"/>
  <c r="AC37" i="8" s="1"/>
  <c r="AC41" i="8" s="1"/>
  <c r="AC43" i="8" s="1"/>
  <c r="AC47" i="8" s="1"/>
  <c r="AM45" i="6"/>
  <c r="AM49" i="6"/>
  <c r="AI45" i="8" s="1"/>
  <c r="P59" i="8"/>
  <c r="AM23" i="8"/>
  <c r="AM20" i="8"/>
  <c r="AD8" i="8"/>
  <c r="AD9" i="8"/>
  <c r="AD7" i="8"/>
  <c r="AD10" i="8"/>
  <c r="P6" i="7"/>
  <c r="P9" i="7" s="1"/>
  <c r="Q4" i="7" s="1"/>
  <c r="Q51" i="8"/>
  <c r="AP1" i="6"/>
  <c r="AO36" i="6"/>
  <c r="AO35" i="6"/>
  <c r="AO40" i="6"/>
  <c r="AO38" i="6"/>
  <c r="AO30" i="6"/>
  <c r="AO25" i="6"/>
  <c r="AO13" i="6"/>
  <c r="AO32" i="6"/>
  <c r="AO15" i="6"/>
  <c r="AO17" i="6"/>
  <c r="AO11" i="6"/>
  <c r="AO39" i="6"/>
  <c r="AO37" i="6"/>
  <c r="AO7" i="6"/>
  <c r="AO33" i="6"/>
  <c r="AO34" i="6"/>
  <c r="AO6" i="6"/>
  <c r="AO28" i="6"/>
  <c r="AO16" i="6"/>
  <c r="AO9" i="6"/>
  <c r="AO26" i="6"/>
  <c r="AO12" i="6"/>
  <c r="AO8" i="6"/>
  <c r="AO29" i="6"/>
  <c r="AO5" i="6"/>
  <c r="AO14" i="6"/>
  <c r="AO27" i="6"/>
  <c r="AO10" i="6"/>
  <c r="AO31" i="6"/>
  <c r="AO19" i="6"/>
  <c r="AO20" i="6"/>
  <c r="AO18" i="6"/>
  <c r="AO2" i="6"/>
  <c r="AM38" i="8"/>
  <c r="AL38" i="8"/>
  <c r="AM17" i="8"/>
  <c r="AM22" i="8"/>
  <c r="AM64" i="8"/>
  <c r="AM65" i="8" s="1"/>
  <c r="AM50" i="8"/>
  <c r="AM53" i="8" s="1"/>
  <c r="AM30" i="8"/>
  <c r="AM32" i="8"/>
  <c r="AM31" i="8"/>
  <c r="AM33" i="8"/>
  <c r="AM35" i="8"/>
  <c r="AM34" i="8"/>
  <c r="AM36" i="8"/>
  <c r="AM29" i="8"/>
  <c r="AL40" i="8"/>
  <c r="AL39" i="8"/>
  <c r="AM2" i="8"/>
  <c r="AN21" i="8" s="1"/>
  <c r="AN1" i="8"/>
  <c r="AM12" i="7"/>
  <c r="AD11" i="8" l="1"/>
  <c r="AD26" i="8" s="1"/>
  <c r="AD43" i="8" s="1"/>
  <c r="AD47" i="8" s="1"/>
  <c r="AD37" i="8"/>
  <c r="AD41" i="8" s="1"/>
  <c r="AN45" i="6"/>
  <c r="AN49" i="6" s="1"/>
  <c r="AJ45" i="8" s="1"/>
  <c r="AO41" i="6"/>
  <c r="AL16" i="7"/>
  <c r="AL19" i="7" s="1"/>
  <c r="BO1" i="2"/>
  <c r="BN4" i="2"/>
  <c r="AN20" i="8"/>
  <c r="AO20" i="8" s="1"/>
  <c r="AM2" i="7"/>
  <c r="AL8" i="7"/>
  <c r="AM52" i="8" s="1"/>
  <c r="AM15" i="7"/>
  <c r="AM14" i="7"/>
  <c r="AM18" i="7"/>
  <c r="AN23" i="8"/>
  <c r="AO23" i="8" s="1"/>
  <c r="AI14" i="8"/>
  <c r="AH24" i="8"/>
  <c r="AN38" i="8"/>
  <c r="AN22" i="8"/>
  <c r="AO22" i="8" s="1"/>
  <c r="AN18" i="8"/>
  <c r="AO18" i="8" s="1"/>
  <c r="BO2" i="2"/>
  <c r="BP2" i="2" s="1"/>
  <c r="Q5" i="7"/>
  <c r="Q7" i="7"/>
  <c r="AO21" i="6"/>
  <c r="AN19" i="8"/>
  <c r="AQ1" i="6"/>
  <c r="AP34" i="6"/>
  <c r="AP33" i="6"/>
  <c r="AP32" i="6"/>
  <c r="AP37" i="6"/>
  <c r="AP25" i="6"/>
  <c r="AP38" i="6"/>
  <c r="AP29" i="6"/>
  <c r="AP40" i="6"/>
  <c r="AP28" i="6"/>
  <c r="AP12" i="6"/>
  <c r="AP16" i="6"/>
  <c r="AP17" i="6"/>
  <c r="AP18" i="6"/>
  <c r="AP19" i="6"/>
  <c r="AP39" i="6"/>
  <c r="AP20" i="6"/>
  <c r="AP6" i="6"/>
  <c r="AP36" i="6"/>
  <c r="AP26" i="6"/>
  <c r="AP27" i="6"/>
  <c r="AP9" i="6"/>
  <c r="AP5" i="6"/>
  <c r="AP35" i="6"/>
  <c r="AP31" i="6"/>
  <c r="AP8" i="6"/>
  <c r="AP14" i="6"/>
  <c r="AP13" i="6"/>
  <c r="AP15" i="6"/>
  <c r="AP7" i="6"/>
  <c r="AP10" i="6"/>
  <c r="AP30" i="6"/>
  <c r="AP11" i="6"/>
  <c r="AP2" i="6"/>
  <c r="BI3" i="2"/>
  <c r="BH5" i="2"/>
  <c r="AF6" i="8" s="1"/>
  <c r="AN17" i="8"/>
  <c r="AO17" i="8" s="1"/>
  <c r="AE8" i="8"/>
  <c r="AE7" i="8"/>
  <c r="AE9" i="8"/>
  <c r="AE10" i="8"/>
  <c r="Q55" i="8"/>
  <c r="P70" i="8"/>
  <c r="Q69" i="8" s="1"/>
  <c r="P67" i="8"/>
  <c r="AN15" i="8"/>
  <c r="AN16" i="8"/>
  <c r="AN64" i="8"/>
  <c r="AN50" i="8"/>
  <c r="AN53" i="8" s="1"/>
  <c r="AN30" i="8"/>
  <c r="AN32" i="8"/>
  <c r="AN31" i="8"/>
  <c r="AN33" i="8"/>
  <c r="AN35" i="8"/>
  <c r="AN36" i="8"/>
  <c r="AN34" i="8"/>
  <c r="AN29" i="8"/>
  <c r="AM40" i="8"/>
  <c r="AM39" i="8"/>
  <c r="AO1" i="8"/>
  <c r="AN2" i="8"/>
  <c r="AN12" i="7"/>
  <c r="AE11" i="8" l="1"/>
  <c r="AE26" i="8" s="1"/>
  <c r="AE37" i="8" s="1"/>
  <c r="AE41" i="8" s="1"/>
  <c r="AE43" i="8" s="1"/>
  <c r="AE47" i="8" s="1"/>
  <c r="AN14" i="7"/>
  <c r="AN17" i="7" s="1"/>
  <c r="AN18" i="7"/>
  <c r="AN15" i="7"/>
  <c r="AN16" i="7" s="1"/>
  <c r="AN19" i="7" s="1"/>
  <c r="AP23" i="8"/>
  <c r="AO16" i="8"/>
  <c r="AP16" i="8" s="1"/>
  <c r="AO15" i="8"/>
  <c r="AP15" i="8" s="1"/>
  <c r="AF10" i="8"/>
  <c r="AF7" i="8"/>
  <c r="AF9" i="8"/>
  <c r="AF8" i="8"/>
  <c r="AP21" i="6"/>
  <c r="AM16" i="7"/>
  <c r="AM19" i="7" s="1"/>
  <c r="Q6" i="7"/>
  <c r="Q9" i="7" s="1"/>
  <c r="R4" i="7" s="1"/>
  <c r="R51" i="8"/>
  <c r="R55" i="8" s="1"/>
  <c r="R59" i="8" s="1"/>
  <c r="R67" i="8" s="1"/>
  <c r="AN2" i="7"/>
  <c r="AM5" i="7"/>
  <c r="AN51" i="8" s="1"/>
  <c r="AM8" i="7"/>
  <c r="AN52" i="8" s="1"/>
  <c r="Q59" i="8"/>
  <c r="Q67" i="8" s="1"/>
  <c r="AP41" i="6"/>
  <c r="BP1" i="2"/>
  <c r="BO4" i="2"/>
  <c r="AJ14" i="8"/>
  <c r="AI24" i="8"/>
  <c r="AP17" i="8"/>
  <c r="AR1" i="6"/>
  <c r="AQ39" i="6"/>
  <c r="AQ27" i="6"/>
  <c r="AQ34" i="6"/>
  <c r="AQ11" i="6"/>
  <c r="AQ38" i="6"/>
  <c r="AQ37" i="6"/>
  <c r="AQ10" i="6"/>
  <c r="AQ16" i="6"/>
  <c r="AQ36" i="6"/>
  <c r="AQ29" i="6"/>
  <c r="AQ31" i="6"/>
  <c r="AQ7" i="6"/>
  <c r="AQ19" i="6"/>
  <c r="AQ33" i="6"/>
  <c r="AQ32" i="6"/>
  <c r="AQ12" i="6"/>
  <c r="AQ13" i="6"/>
  <c r="AQ28" i="6"/>
  <c r="AQ26" i="6"/>
  <c r="AQ40" i="6"/>
  <c r="AQ6" i="6"/>
  <c r="AQ30" i="6"/>
  <c r="AQ20" i="6"/>
  <c r="AQ25" i="6"/>
  <c r="AQ8" i="6"/>
  <c r="AQ5" i="6"/>
  <c r="AQ21" i="6" s="1"/>
  <c r="AQ9" i="6"/>
  <c r="AQ17" i="6"/>
  <c r="AQ35" i="6"/>
  <c r="AQ15" i="6"/>
  <c r="AQ18" i="6"/>
  <c r="AQ14" i="6"/>
  <c r="AQ2" i="6"/>
  <c r="AO19" i="8"/>
  <c r="AP19" i="8" s="1"/>
  <c r="AO38" i="8"/>
  <c r="BJ3" i="2"/>
  <c r="BI5" i="2"/>
  <c r="AG6" i="8" s="1"/>
  <c r="AO49" i="6"/>
  <c r="AK45" i="8" s="1"/>
  <c r="AO45" i="6"/>
  <c r="AM17" i="7"/>
  <c r="AO21" i="8"/>
  <c r="AP21" i="8" s="1"/>
  <c r="AN65" i="8"/>
  <c r="AO64" i="8"/>
  <c r="AO65" i="8" s="1"/>
  <c r="AN40" i="8"/>
  <c r="AN39" i="8"/>
  <c r="AO50" i="8"/>
  <c r="AO53" i="8" s="1"/>
  <c r="AO30" i="8"/>
  <c r="AO33" i="8"/>
  <c r="AO35" i="8"/>
  <c r="AO32" i="8"/>
  <c r="AO36" i="8"/>
  <c r="AO34" i="8"/>
  <c r="AO31" i="8"/>
  <c r="AO29" i="8"/>
  <c r="AP1" i="8"/>
  <c r="AO2" i="8"/>
  <c r="AO12" i="7"/>
  <c r="AF11" i="8" l="1"/>
  <c r="AF26" i="8" s="1"/>
  <c r="AF37" i="8" s="1"/>
  <c r="AF41" i="8" s="1"/>
  <c r="AF43" i="8" s="1"/>
  <c r="AF47" i="8" s="1"/>
  <c r="AG7" i="8"/>
  <c r="AG10" i="8"/>
  <c r="AG8" i="8"/>
  <c r="AG9" i="8"/>
  <c r="AO2" i="7"/>
  <c r="AN5" i="7"/>
  <c r="AO51" i="8" s="1"/>
  <c r="AN8" i="7"/>
  <c r="AO52" i="8" s="1"/>
  <c r="R7" i="7"/>
  <c r="R5" i="7"/>
  <c r="AP22" i="8"/>
  <c r="BK3" i="2"/>
  <c r="BJ5" i="2"/>
  <c r="AH6" i="8" s="1"/>
  <c r="AQ41" i="6"/>
  <c r="AQ45" i="6" s="1"/>
  <c r="AS1" i="6"/>
  <c r="AR38" i="6"/>
  <c r="AR36" i="6"/>
  <c r="AR40" i="6"/>
  <c r="AR28" i="6"/>
  <c r="AR10" i="6"/>
  <c r="AR29" i="6"/>
  <c r="AR6" i="6"/>
  <c r="AR14" i="6"/>
  <c r="AR5" i="6"/>
  <c r="AR33" i="6"/>
  <c r="AR11" i="6"/>
  <c r="AR15" i="6"/>
  <c r="AR18" i="6"/>
  <c r="AR26" i="6"/>
  <c r="AR25" i="6"/>
  <c r="AR34" i="6"/>
  <c r="AR31" i="6"/>
  <c r="AR37" i="6"/>
  <c r="AR8" i="6"/>
  <c r="AR39" i="6"/>
  <c r="AR30" i="6"/>
  <c r="AR27" i="6"/>
  <c r="AR16" i="6"/>
  <c r="AR19" i="6"/>
  <c r="AR32" i="6"/>
  <c r="AR7" i="6"/>
  <c r="AR35" i="6"/>
  <c r="AR9" i="6"/>
  <c r="AR13" i="6"/>
  <c r="AR17" i="6"/>
  <c r="AR20" i="6"/>
  <c r="AR12" i="6"/>
  <c r="AR2" i="6"/>
  <c r="AK14" i="8"/>
  <c r="AJ24" i="8"/>
  <c r="AO18" i="7"/>
  <c r="AO14" i="7"/>
  <c r="AO17" i="7" s="1"/>
  <c r="AO15" i="7"/>
  <c r="AO16" i="7" s="1"/>
  <c r="Q70" i="8"/>
  <c r="R69" i="8" s="1"/>
  <c r="R70" i="8" s="1"/>
  <c r="S69" i="8" s="1"/>
  <c r="AP18" i="8"/>
  <c r="BQ1" i="2"/>
  <c r="BP4" i="2"/>
  <c r="AP45" i="6"/>
  <c r="AP49" i="6" s="1"/>
  <c r="AL45" i="8" s="1"/>
  <c r="AP20" i="8"/>
  <c r="BQ2" i="2"/>
  <c r="BR2" i="2" s="1"/>
  <c r="AP64" i="8"/>
  <c r="AP50" i="8"/>
  <c r="AP53" i="8" s="1"/>
  <c r="AP31" i="8"/>
  <c r="AP33" i="8"/>
  <c r="AP35" i="8"/>
  <c r="AP30" i="8"/>
  <c r="AP32" i="8"/>
  <c r="AP29" i="8"/>
  <c r="AP36" i="8"/>
  <c r="AP34" i="8"/>
  <c r="AO40" i="8"/>
  <c r="AO39" i="8"/>
  <c r="AQ1" i="8"/>
  <c r="AP2" i="8"/>
  <c r="AP38" i="8" s="1"/>
  <c r="AP12" i="7"/>
  <c r="AG11" i="8" l="1"/>
  <c r="AG26" i="8" s="1"/>
  <c r="AG37" i="8" s="1"/>
  <c r="AG41" i="8" s="1"/>
  <c r="AG43" i="8" s="1"/>
  <c r="AG47" i="8" s="1"/>
  <c r="AQ17" i="8"/>
  <c r="AQ19" i="8"/>
  <c r="AQ15" i="8"/>
  <c r="AH10" i="8"/>
  <c r="AH9" i="8"/>
  <c r="AH7" i="8"/>
  <c r="AH8" i="8"/>
  <c r="BR1" i="2"/>
  <c r="BQ4" i="2"/>
  <c r="AR21" i="6"/>
  <c r="BL3" i="2"/>
  <c r="BK5" i="2"/>
  <c r="AI6" i="8" s="1"/>
  <c r="AQ16" i="8"/>
  <c r="AQ22" i="8"/>
  <c r="AQ18" i="8"/>
  <c r="R6" i="7"/>
  <c r="R9" i="7" s="1"/>
  <c r="S4" i="7" s="1"/>
  <c r="S51" i="8"/>
  <c r="AL14" i="8"/>
  <c r="AK24" i="8"/>
  <c r="AT1" i="6"/>
  <c r="AS37" i="6"/>
  <c r="AS35" i="6"/>
  <c r="AS6" i="6"/>
  <c r="AS7" i="6"/>
  <c r="AS8" i="6"/>
  <c r="AS9" i="6"/>
  <c r="AS10" i="6"/>
  <c r="AS11" i="6"/>
  <c r="AS12" i="6"/>
  <c r="AS13" i="6"/>
  <c r="AS14" i="6"/>
  <c r="AS15" i="6"/>
  <c r="AS34" i="6"/>
  <c r="AS36" i="6"/>
  <c r="AS33" i="6"/>
  <c r="AS31" i="6"/>
  <c r="AS26" i="6"/>
  <c r="AS25" i="6"/>
  <c r="AS17" i="6"/>
  <c r="AS20" i="6"/>
  <c r="AS38" i="6"/>
  <c r="AS40" i="6"/>
  <c r="AS39" i="6"/>
  <c r="AS30" i="6"/>
  <c r="AS27" i="6"/>
  <c r="AS29" i="6"/>
  <c r="AS16" i="6"/>
  <c r="AS28" i="6"/>
  <c r="AS18" i="6"/>
  <c r="AS32" i="6"/>
  <c r="AS19" i="6"/>
  <c r="AS5" i="6"/>
  <c r="AS2" i="6"/>
  <c r="AQ21" i="8"/>
  <c r="AO19" i="7"/>
  <c r="AQ23" i="8"/>
  <c r="AR23" i="8" s="1"/>
  <c r="AQ49" i="6"/>
  <c r="AM45" i="8" s="1"/>
  <c r="AQ20" i="8"/>
  <c r="AP2" i="7"/>
  <c r="AO5" i="7"/>
  <c r="AP51" i="8" s="1"/>
  <c r="AO8" i="7"/>
  <c r="AP52" i="8" s="1"/>
  <c r="AP15" i="7"/>
  <c r="AP14" i="7"/>
  <c r="AP18" i="7"/>
  <c r="AR41" i="6"/>
  <c r="AP65" i="8"/>
  <c r="AQ64" i="8"/>
  <c r="AQ65" i="8" s="1"/>
  <c r="AQ50" i="8"/>
  <c r="AQ53" i="8" s="1"/>
  <c r="AQ31" i="8"/>
  <c r="AQ30" i="8"/>
  <c r="AQ32" i="8"/>
  <c r="AQ34" i="8"/>
  <c r="AQ36" i="8"/>
  <c r="AQ33" i="8"/>
  <c r="AQ35" i="8"/>
  <c r="AQ29" i="8"/>
  <c r="AP40" i="8"/>
  <c r="AP39" i="8"/>
  <c r="AR1" i="8"/>
  <c r="AQ2" i="8"/>
  <c r="AQ38" i="8" s="1"/>
  <c r="AQ12" i="7"/>
  <c r="AH11" i="8" l="1"/>
  <c r="AH26" i="8" s="1"/>
  <c r="AR21" i="8"/>
  <c r="BS1" i="2"/>
  <c r="BR4" i="2"/>
  <c r="AP17" i="7"/>
  <c r="BS2" i="2"/>
  <c r="BT2" i="2" s="1"/>
  <c r="AS21" i="6"/>
  <c r="S55" i="8"/>
  <c r="AS41" i="6"/>
  <c r="AR18" i="8"/>
  <c r="AS18" i="8" s="1"/>
  <c r="AR22" i="8"/>
  <c r="AS22" i="8" s="1"/>
  <c r="AR15" i="8"/>
  <c r="AU1" i="6"/>
  <c r="AT37" i="6"/>
  <c r="AT26" i="6"/>
  <c r="AT9" i="6"/>
  <c r="AT31" i="6"/>
  <c r="AT6" i="6"/>
  <c r="AT10" i="6"/>
  <c r="AT34" i="6"/>
  <c r="AT16" i="6"/>
  <c r="AT28" i="6"/>
  <c r="AT40" i="6"/>
  <c r="AT39" i="6"/>
  <c r="AT30" i="6"/>
  <c r="AT27" i="6"/>
  <c r="AT11" i="6"/>
  <c r="AT36" i="6"/>
  <c r="AT8" i="6"/>
  <c r="AT38" i="6"/>
  <c r="AT29" i="6"/>
  <c r="AT12" i="6"/>
  <c r="AT20" i="6"/>
  <c r="AT25" i="6"/>
  <c r="AT18" i="6"/>
  <c r="AT35" i="6"/>
  <c r="AT33" i="6"/>
  <c r="AT32" i="6"/>
  <c r="AT5" i="6"/>
  <c r="AT13" i="6"/>
  <c r="AT17" i="6"/>
  <c r="AT15" i="6"/>
  <c r="AT7" i="6"/>
  <c r="AT19" i="6"/>
  <c r="AT14" i="6"/>
  <c r="AT2" i="6"/>
  <c r="AP16" i="7"/>
  <c r="AP19" i="7" s="1"/>
  <c r="S7" i="7"/>
  <c r="S5" i="7"/>
  <c r="AQ2" i="7"/>
  <c r="AP5" i="7"/>
  <c r="AQ51" i="8" s="1"/>
  <c r="AP8" i="7"/>
  <c r="AQ52" i="8" s="1"/>
  <c r="AR16" i="8"/>
  <c r="AR19" i="8"/>
  <c r="AR38" i="8"/>
  <c r="AM14" i="8"/>
  <c r="AL24" i="8"/>
  <c r="AH37" i="8"/>
  <c r="AH41" i="8" s="1"/>
  <c r="AH43" i="8" s="1"/>
  <c r="AH47" i="8" s="1"/>
  <c r="AR20" i="8"/>
  <c r="AI8" i="8"/>
  <c r="AI7" i="8"/>
  <c r="AI10" i="8"/>
  <c r="AI9" i="8"/>
  <c r="AR17" i="8"/>
  <c r="AS17" i="8" s="1"/>
  <c r="AS23" i="8"/>
  <c r="AR45" i="6"/>
  <c r="AR49" i="6" s="1"/>
  <c r="AN45" i="8" s="1"/>
  <c r="AQ18" i="7"/>
  <c r="AQ14" i="7"/>
  <c r="AQ15" i="7"/>
  <c r="BM3" i="2"/>
  <c r="BL5" i="2"/>
  <c r="AJ6" i="8" s="1"/>
  <c r="AR64" i="8"/>
  <c r="AR65" i="8" s="1"/>
  <c r="AQ39" i="8"/>
  <c r="AQ40" i="8"/>
  <c r="AR50" i="8"/>
  <c r="AR53" i="8" s="1"/>
  <c r="AR31" i="8"/>
  <c r="AR30" i="8"/>
  <c r="AR32" i="8"/>
  <c r="AR34" i="8"/>
  <c r="AR36" i="8"/>
  <c r="AR29" i="8"/>
  <c r="AR33" i="8"/>
  <c r="AR35" i="8"/>
  <c r="AS1" i="8"/>
  <c r="AR2" i="8"/>
  <c r="AR12" i="7"/>
  <c r="AI11" i="8" l="1"/>
  <c r="AI26" i="8" s="1"/>
  <c r="AI37" i="8" s="1"/>
  <c r="AI41" i="8" s="1"/>
  <c r="AI43" i="8" s="1"/>
  <c r="AI47" i="8" s="1"/>
  <c r="AR14" i="7"/>
  <c r="AR17" i="7" s="1"/>
  <c r="AR18" i="7"/>
  <c r="AR15" i="7"/>
  <c r="AR16" i="7" s="1"/>
  <c r="AR19" i="7" s="1"/>
  <c r="AS19" i="8"/>
  <c r="AS45" i="6"/>
  <c r="AS49" i="6" s="1"/>
  <c r="AO45" i="8" s="1"/>
  <c r="AS16" i="8"/>
  <c r="AT16" i="8" s="1"/>
  <c r="BU2" i="2"/>
  <c r="AT21" i="6"/>
  <c r="AQ17" i="7"/>
  <c r="AQ16" i="7" s="1"/>
  <c r="AQ19" i="7"/>
  <c r="AJ8" i="8"/>
  <c r="AJ10" i="8"/>
  <c r="AJ9" i="8"/>
  <c r="AJ7" i="8"/>
  <c r="AR2" i="7"/>
  <c r="AQ8" i="7"/>
  <c r="AR52" i="8" s="1"/>
  <c r="AQ5" i="7"/>
  <c r="AR51" i="8" s="1"/>
  <c r="AT22" i="8"/>
  <c r="AT41" i="6"/>
  <c r="BN3" i="2"/>
  <c r="BM5" i="2"/>
  <c r="AK6" i="8" s="1"/>
  <c r="S6" i="7"/>
  <c r="S9" i="7" s="1"/>
  <c r="T4" i="7" s="1"/>
  <c r="T51" i="8"/>
  <c r="AV1" i="6"/>
  <c r="AU36" i="6"/>
  <c r="AU34" i="6"/>
  <c r="AU33" i="6"/>
  <c r="AU8" i="6"/>
  <c r="AU25" i="6"/>
  <c r="AU28" i="6"/>
  <c r="AU5" i="6"/>
  <c r="AU31" i="6"/>
  <c r="AU37" i="6"/>
  <c r="AU35" i="6"/>
  <c r="AU26" i="6"/>
  <c r="AU38" i="6"/>
  <c r="AU29" i="6"/>
  <c r="AU11" i="6"/>
  <c r="AU6" i="6"/>
  <c r="AU14" i="6"/>
  <c r="AU40" i="6"/>
  <c r="AU13" i="6"/>
  <c r="AU10" i="6"/>
  <c r="AU15" i="6"/>
  <c r="AU12" i="6"/>
  <c r="AU20" i="6"/>
  <c r="AU18" i="6"/>
  <c r="AU30" i="6"/>
  <c r="AU39" i="6"/>
  <c r="AU32" i="6"/>
  <c r="AU27" i="6"/>
  <c r="AU9" i="6"/>
  <c r="AU16" i="6"/>
  <c r="AU17" i="6"/>
  <c r="AU19" i="6"/>
  <c r="AU7" i="6"/>
  <c r="AU2" i="6"/>
  <c r="BT1" i="2"/>
  <c r="BS4" i="2"/>
  <c r="AN14" i="8"/>
  <c r="AM24" i="8"/>
  <c r="S59" i="8"/>
  <c r="AT23" i="8"/>
  <c r="AS20" i="8"/>
  <c r="AS15" i="8"/>
  <c r="AS21" i="8"/>
  <c r="AS64" i="8"/>
  <c r="AR40" i="8"/>
  <c r="AR39" i="8"/>
  <c r="AS50" i="8"/>
  <c r="AS53" i="8" s="1"/>
  <c r="AS31" i="8"/>
  <c r="AS34" i="8"/>
  <c r="AS36" i="8"/>
  <c r="AS35" i="8"/>
  <c r="AS30" i="8"/>
  <c r="AS32" i="8"/>
  <c r="AS29" i="8"/>
  <c r="AS33" i="8"/>
  <c r="AS2" i="8"/>
  <c r="AS38" i="8" s="1"/>
  <c r="AT1" i="8"/>
  <c r="AT18" i="8" s="1"/>
  <c r="AS12" i="7"/>
  <c r="AJ11" i="8" l="1"/>
  <c r="AJ26" i="8" s="1"/>
  <c r="AJ37" i="8" s="1"/>
  <c r="AJ41" i="8" s="1"/>
  <c r="AJ43" i="8" s="1"/>
  <c r="AJ47" i="8" s="1"/>
  <c r="AU41" i="6"/>
  <c r="AT45" i="6"/>
  <c r="AT49" i="6" s="1"/>
  <c r="AP45" i="8" s="1"/>
  <c r="AS2" i="7"/>
  <c r="AR5" i="7"/>
  <c r="AS51" i="8" s="1"/>
  <c r="AR8" i="7"/>
  <c r="AS52" i="8" s="1"/>
  <c r="AW1" i="6"/>
  <c r="AV33" i="6"/>
  <c r="AV31" i="6"/>
  <c r="AV30" i="6"/>
  <c r="AV29" i="6"/>
  <c r="AV37" i="6"/>
  <c r="AV39" i="6"/>
  <c r="AV7" i="6"/>
  <c r="AV25" i="6"/>
  <c r="AV9" i="6"/>
  <c r="AV13" i="6"/>
  <c r="AV26" i="6"/>
  <c r="AV6" i="6"/>
  <c r="AV10" i="6"/>
  <c r="AV14" i="6"/>
  <c r="AV34" i="6"/>
  <c r="AV35" i="6"/>
  <c r="AV40" i="6"/>
  <c r="AV38" i="6"/>
  <c r="AV36" i="6"/>
  <c r="AV8" i="6"/>
  <c r="AV11" i="6"/>
  <c r="AV12" i="6"/>
  <c r="AV32" i="6"/>
  <c r="AV20" i="6"/>
  <c r="AV16" i="6"/>
  <c r="AV17" i="6"/>
  <c r="AV27" i="6"/>
  <c r="AV18" i="6"/>
  <c r="AV5" i="6"/>
  <c r="AV15" i="6"/>
  <c r="AV28" i="6"/>
  <c r="AV19" i="6"/>
  <c r="AV2" i="6"/>
  <c r="AT21" i="8"/>
  <c r="AU21" i="8" s="1"/>
  <c r="BU1" i="2"/>
  <c r="BT4" i="2"/>
  <c r="T7" i="7"/>
  <c r="T5" i="7"/>
  <c r="AT15" i="8"/>
  <c r="AK10" i="8"/>
  <c r="AK9" i="8"/>
  <c r="AK8" i="8"/>
  <c r="AK7" i="8"/>
  <c r="AU22" i="8"/>
  <c r="AU16" i="8"/>
  <c r="AS18" i="7"/>
  <c r="AS15" i="7"/>
  <c r="AS14" i="7"/>
  <c r="AS17" i="7" s="1"/>
  <c r="AT19" i="8"/>
  <c r="T55" i="8"/>
  <c r="AT20" i="8"/>
  <c r="BO3" i="2"/>
  <c r="BN5" i="2"/>
  <c r="AL6" i="8" s="1"/>
  <c r="AU21" i="6"/>
  <c r="S70" i="8"/>
  <c r="T69" i="8" s="1"/>
  <c r="S67" i="8"/>
  <c r="AO14" i="8"/>
  <c r="AN24" i="8"/>
  <c r="AT38" i="8"/>
  <c r="AT17" i="8"/>
  <c r="AS65" i="8"/>
  <c r="AT64" i="8"/>
  <c r="AT65" i="8" s="1"/>
  <c r="AS40" i="8"/>
  <c r="AS39" i="8"/>
  <c r="AT30" i="8"/>
  <c r="AT50" i="8"/>
  <c r="AT53" i="8" s="1"/>
  <c r="AT34" i="8"/>
  <c r="AT36" i="8"/>
  <c r="AT31" i="8"/>
  <c r="AT35" i="8"/>
  <c r="AT32" i="8"/>
  <c r="AT29" i="8"/>
  <c r="AT33" i="8"/>
  <c r="AT2" i="8"/>
  <c r="AU1" i="8"/>
  <c r="AT12" i="7"/>
  <c r="AK11" i="8" l="1"/>
  <c r="AK26" i="8" s="1"/>
  <c r="AP14" i="8"/>
  <c r="AO24" i="8"/>
  <c r="AX1" i="6"/>
  <c r="AW32" i="6"/>
  <c r="AW28" i="6"/>
  <c r="AW26" i="6"/>
  <c r="AW6" i="6"/>
  <c r="AW34" i="6"/>
  <c r="AW9" i="6"/>
  <c r="AW13" i="6"/>
  <c r="AW35" i="6"/>
  <c r="AW30" i="6"/>
  <c r="AW31" i="6"/>
  <c r="AW40" i="6"/>
  <c r="AW37" i="6"/>
  <c r="AW29" i="6"/>
  <c r="AW33" i="6"/>
  <c r="AW8" i="6"/>
  <c r="AW11" i="6"/>
  <c r="AW18" i="6"/>
  <c r="AW38" i="6"/>
  <c r="AW25" i="6"/>
  <c r="AW19" i="6"/>
  <c r="AW27" i="6"/>
  <c r="AW5" i="6"/>
  <c r="AW14" i="6"/>
  <c r="AW39" i="6"/>
  <c r="AW12" i="6"/>
  <c r="AW20" i="6"/>
  <c r="AW36" i="6"/>
  <c r="AW10" i="6"/>
  <c r="AW16" i="6"/>
  <c r="AW17" i="6"/>
  <c r="AW7" i="6"/>
  <c r="AW15" i="6"/>
  <c r="AW2" i="6"/>
  <c r="BV1" i="2"/>
  <c r="BU4" i="2"/>
  <c r="AU45" i="6"/>
  <c r="AU49" i="6" s="1"/>
  <c r="AQ45" i="8" s="1"/>
  <c r="AT14" i="7"/>
  <c r="AT17" i="7" s="1"/>
  <c r="AT18" i="7"/>
  <c r="AT15" i="7"/>
  <c r="AT16" i="7" s="1"/>
  <c r="AT19" i="7" s="1"/>
  <c r="AK37" i="8"/>
  <c r="AK41" i="8" s="1"/>
  <c r="AK43" i="8" s="1"/>
  <c r="AV41" i="6"/>
  <c r="BV2" i="2"/>
  <c r="BW2" i="2" s="1"/>
  <c r="BP3" i="2"/>
  <c r="BO5" i="2"/>
  <c r="AM6" i="8" s="1"/>
  <c r="AU20" i="8"/>
  <c r="AU17" i="8"/>
  <c r="T59" i="8"/>
  <c r="T67" i="8" s="1"/>
  <c r="AV21" i="6"/>
  <c r="AU23" i="8"/>
  <c r="AV23" i="8" s="1"/>
  <c r="AV16" i="8"/>
  <c r="AT2" i="7"/>
  <c r="AS5" i="7"/>
  <c r="AT51" i="8" s="1"/>
  <c r="AS8" i="7"/>
  <c r="AT52" i="8" s="1"/>
  <c r="AU19" i="8"/>
  <c r="AU15" i="8"/>
  <c r="AU18" i="8"/>
  <c r="AS16" i="7"/>
  <c r="AS19" i="7" s="1"/>
  <c r="AV22" i="8"/>
  <c r="AL8" i="8"/>
  <c r="AL9" i="8"/>
  <c r="AL7" i="8"/>
  <c r="AL10" i="8"/>
  <c r="T6" i="7"/>
  <c r="T9" i="7" s="1"/>
  <c r="U4" i="7" s="1"/>
  <c r="U51" i="8"/>
  <c r="AU64" i="8"/>
  <c r="AT40" i="8"/>
  <c r="AT39" i="8"/>
  <c r="AU50" i="8"/>
  <c r="AU53" i="8" s="1"/>
  <c r="AU30" i="8"/>
  <c r="AU32" i="8"/>
  <c r="AU31" i="8"/>
  <c r="AU33" i="8"/>
  <c r="AU35" i="8"/>
  <c r="AU34" i="8"/>
  <c r="AU36" i="8"/>
  <c r="AU29" i="8"/>
  <c r="AU2" i="8"/>
  <c r="AU38" i="8" s="1"/>
  <c r="AV1" i="8"/>
  <c r="AU12" i="7"/>
  <c r="AL11" i="8" l="1"/>
  <c r="AL26" i="8" s="1"/>
  <c r="AL37" i="8"/>
  <c r="AL41" i="8" s="1"/>
  <c r="AL43" i="8" s="1"/>
  <c r="AL47" i="8" s="1"/>
  <c r="AU2" i="7"/>
  <c r="AT8" i="7"/>
  <c r="AU52" i="8" s="1"/>
  <c r="AT5" i="7"/>
  <c r="AU51" i="8" s="1"/>
  <c r="AK47" i="8"/>
  <c r="AW41" i="6"/>
  <c r="AW22" i="8"/>
  <c r="AV17" i="8"/>
  <c r="AW17" i="8" s="1"/>
  <c r="AU18" i="7"/>
  <c r="AU15" i="7"/>
  <c r="AU16" i="7" s="1"/>
  <c r="AU19" i="7" s="1"/>
  <c r="AU14" i="7"/>
  <c r="AU17" i="7" s="1"/>
  <c r="AV18" i="8"/>
  <c r="AV20" i="8"/>
  <c r="AV15" i="8"/>
  <c r="AM7" i="8"/>
  <c r="AM9" i="8"/>
  <c r="AM8" i="8"/>
  <c r="AM10" i="8"/>
  <c r="AM11" i="8" s="1"/>
  <c r="AM26" i="8" s="1"/>
  <c r="AM37" i="8" s="1"/>
  <c r="AM41" i="8" s="1"/>
  <c r="AM43" i="8" s="1"/>
  <c r="AM47" i="8" s="1"/>
  <c r="AV21" i="8"/>
  <c r="AW21" i="8" s="1"/>
  <c r="AV19" i="8"/>
  <c r="BQ3" i="2"/>
  <c r="BP5" i="2"/>
  <c r="AN6" i="8" s="1"/>
  <c r="AY1" i="6"/>
  <c r="AX40" i="6"/>
  <c r="AX39" i="6"/>
  <c r="AX33" i="6"/>
  <c r="AX34" i="6"/>
  <c r="AX26" i="6"/>
  <c r="AX28" i="6"/>
  <c r="AX27" i="6"/>
  <c r="AX37" i="6"/>
  <c r="AX35" i="6"/>
  <c r="AX30" i="6"/>
  <c r="AX13" i="6"/>
  <c r="AX15" i="6"/>
  <c r="AX29" i="6"/>
  <c r="AX7" i="6"/>
  <c r="AX6" i="6"/>
  <c r="AX9" i="6"/>
  <c r="AX32" i="6"/>
  <c r="AX19" i="6"/>
  <c r="AX14" i="6"/>
  <c r="AX8" i="6"/>
  <c r="AX36" i="6"/>
  <c r="AX12" i="6"/>
  <c r="AX18" i="6"/>
  <c r="AX20" i="6"/>
  <c r="AX31" i="6"/>
  <c r="AX5" i="6"/>
  <c r="AX38" i="6"/>
  <c r="AX16" i="6"/>
  <c r="AX17" i="6"/>
  <c r="AX11" i="6"/>
  <c r="AX25" i="6"/>
  <c r="AX10" i="6"/>
  <c r="AX2" i="6"/>
  <c r="AW23" i="8"/>
  <c r="AV45" i="6"/>
  <c r="AV49" i="6" s="1"/>
  <c r="AR45" i="8" s="1"/>
  <c r="U55" i="8"/>
  <c r="BW1" i="2"/>
  <c r="BV4" i="2"/>
  <c r="AW16" i="8"/>
  <c r="U5" i="7"/>
  <c r="U7" i="7"/>
  <c r="BX2" i="2"/>
  <c r="T70" i="8"/>
  <c r="U69" i="8" s="1"/>
  <c r="AW21" i="6"/>
  <c r="AQ14" i="8"/>
  <c r="AP24" i="8"/>
  <c r="AU65" i="8"/>
  <c r="AV64" i="8"/>
  <c r="AV65" i="8" s="1"/>
  <c r="AV50" i="8"/>
  <c r="AV53" i="8" s="1"/>
  <c r="AV30" i="8"/>
  <c r="AV32" i="8"/>
  <c r="AV31" i="8"/>
  <c r="AV33" i="8"/>
  <c r="AV35" i="8"/>
  <c r="AV36" i="8"/>
  <c r="AV29" i="8"/>
  <c r="AV34" i="8"/>
  <c r="AU40" i="8"/>
  <c r="AU39" i="8"/>
  <c r="AV2" i="8"/>
  <c r="AV38" i="8" s="1"/>
  <c r="AW1" i="8"/>
  <c r="AV12" i="7"/>
  <c r="BX1" i="2" l="1"/>
  <c r="BW4" i="2"/>
  <c r="AV18" i="7"/>
  <c r="AV15" i="7"/>
  <c r="AV14" i="7"/>
  <c r="AV17" i="7" s="1"/>
  <c r="U59" i="8"/>
  <c r="U67" i="8" s="1"/>
  <c r="AX21" i="6"/>
  <c r="AW15" i="8"/>
  <c r="AZ1" i="6"/>
  <c r="AY40" i="6"/>
  <c r="AY32" i="6"/>
  <c r="AY31" i="6"/>
  <c r="AY27" i="6"/>
  <c r="AY28" i="6"/>
  <c r="AY8" i="6"/>
  <c r="AY12" i="6"/>
  <c r="AY35" i="6"/>
  <c r="AY30" i="6"/>
  <c r="AY9" i="6"/>
  <c r="AY13" i="6"/>
  <c r="AY10" i="6"/>
  <c r="AY14" i="6"/>
  <c r="AY15" i="6"/>
  <c r="AY33" i="6"/>
  <c r="AY11" i="6"/>
  <c r="AY5" i="6"/>
  <c r="AY39" i="6"/>
  <c r="AY7" i="6"/>
  <c r="AY19" i="6"/>
  <c r="AY37" i="6"/>
  <c r="AY36" i="6"/>
  <c r="AY26" i="6"/>
  <c r="AY34" i="6"/>
  <c r="AY18" i="6"/>
  <c r="AY20" i="6"/>
  <c r="AY6" i="6"/>
  <c r="AY38" i="6"/>
  <c r="AY29" i="6"/>
  <c r="AY25" i="6"/>
  <c r="AY16" i="6"/>
  <c r="AY17" i="6"/>
  <c r="AY2" i="6"/>
  <c r="BY2" i="2"/>
  <c r="AR14" i="8"/>
  <c r="AQ24" i="8"/>
  <c r="AN10" i="8"/>
  <c r="AN8" i="8"/>
  <c r="AN11" i="8" s="1"/>
  <c r="AN26" i="8" s="1"/>
  <c r="AN9" i="8"/>
  <c r="AN7" i="8"/>
  <c r="AW20" i="8"/>
  <c r="AV2" i="7"/>
  <c r="AU8" i="7"/>
  <c r="AV52" i="8" s="1"/>
  <c r="AU5" i="7"/>
  <c r="AV51" i="8" s="1"/>
  <c r="AX41" i="6"/>
  <c r="U6" i="7"/>
  <c r="U9" i="7" s="1"/>
  <c r="V4" i="7" s="1"/>
  <c r="V51" i="8"/>
  <c r="AW45" i="6"/>
  <c r="AW49" i="6"/>
  <c r="AS45" i="8" s="1"/>
  <c r="BR3" i="2"/>
  <c r="BQ5" i="2"/>
  <c r="AO6" i="8" s="1"/>
  <c r="AW18" i="8"/>
  <c r="AX18" i="8" s="1"/>
  <c r="AW19" i="8"/>
  <c r="AX19" i="8" s="1"/>
  <c r="AW64" i="8"/>
  <c r="AW65" i="8" s="1"/>
  <c r="AW50" i="8"/>
  <c r="AW53" i="8" s="1"/>
  <c r="AW30" i="8"/>
  <c r="AW31" i="8"/>
  <c r="AW33" i="8"/>
  <c r="AW35" i="8"/>
  <c r="AW34" i="8"/>
  <c r="AW32" i="8"/>
  <c r="AW36" i="8"/>
  <c r="AW29" i="8"/>
  <c r="AV40" i="8"/>
  <c r="AV39" i="8"/>
  <c r="AX1" i="8"/>
  <c r="AX21" i="8" s="1"/>
  <c r="AW2" i="8"/>
  <c r="AW38" i="8" s="1"/>
  <c r="AW12" i="7"/>
  <c r="AY41" i="6" l="1"/>
  <c r="AO8" i="8"/>
  <c r="AO7" i="8"/>
  <c r="AO9" i="8"/>
  <c r="AO10" i="8"/>
  <c r="AW18" i="7"/>
  <c r="AW15" i="7"/>
  <c r="AW14" i="7"/>
  <c r="AW17" i="7" s="1"/>
  <c r="V5" i="7"/>
  <c r="V7" i="7"/>
  <c r="BA1" i="6"/>
  <c r="AZ39" i="6"/>
  <c r="AZ38" i="6"/>
  <c r="AZ37" i="6"/>
  <c r="AZ36" i="6"/>
  <c r="AZ35" i="6"/>
  <c r="AZ30" i="6"/>
  <c r="AZ15" i="6"/>
  <c r="AZ19" i="6"/>
  <c r="AZ12" i="6"/>
  <c r="AZ8" i="6"/>
  <c r="AZ40" i="6"/>
  <c r="AZ14" i="6"/>
  <c r="AZ16" i="6"/>
  <c r="AZ7" i="6"/>
  <c r="AZ33" i="6"/>
  <c r="AZ10" i="6"/>
  <c r="AZ13" i="6"/>
  <c r="AZ17" i="6"/>
  <c r="AZ31" i="6"/>
  <c r="AZ25" i="6"/>
  <c r="AZ32" i="6"/>
  <c r="AZ20" i="6"/>
  <c r="AZ6" i="6"/>
  <c r="AZ27" i="6"/>
  <c r="AZ11" i="6"/>
  <c r="AZ26" i="6"/>
  <c r="AZ34" i="6"/>
  <c r="AZ18" i="6"/>
  <c r="AZ9" i="6"/>
  <c r="AZ28" i="6"/>
  <c r="AZ29" i="6"/>
  <c r="AZ5" i="6"/>
  <c r="AZ2" i="6"/>
  <c r="AX22" i="8"/>
  <c r="AX17" i="8"/>
  <c r="AX15" i="8"/>
  <c r="BY1" i="2"/>
  <c r="BZ2" i="2" s="1"/>
  <c r="BX4" i="2"/>
  <c r="AN37" i="8"/>
  <c r="AN41" i="8" s="1"/>
  <c r="AN43" i="8" s="1"/>
  <c r="AN47" i="8" s="1"/>
  <c r="AN55" i="8" s="1"/>
  <c r="AN59" i="8" s="1"/>
  <c r="AY21" i="6"/>
  <c r="BS3" i="2"/>
  <c r="BR5" i="2"/>
  <c r="AP6" i="8" s="1"/>
  <c r="V55" i="8"/>
  <c r="V59" i="8" s="1"/>
  <c r="V67" i="8" s="1"/>
  <c r="AV16" i="7"/>
  <c r="AV19" i="7" s="1"/>
  <c r="AX23" i="8"/>
  <c r="AX45" i="6"/>
  <c r="AX49" i="6"/>
  <c r="AT45" i="8" s="1"/>
  <c r="AY19" i="8"/>
  <c r="U70" i="8"/>
  <c r="V69" i="8" s="1"/>
  <c r="AX38" i="8"/>
  <c r="AS14" i="8"/>
  <c r="AR24" i="8"/>
  <c r="AX16" i="8"/>
  <c r="AY16" i="8" s="1"/>
  <c r="AW2" i="7"/>
  <c r="AV5" i="7"/>
  <c r="AW51" i="8" s="1"/>
  <c r="AV8" i="7"/>
  <c r="AW52" i="8" s="1"/>
  <c r="AX20" i="8"/>
  <c r="AX64" i="8"/>
  <c r="AX65" i="8" s="1"/>
  <c r="AW39" i="8"/>
  <c r="AW40" i="8"/>
  <c r="AX50" i="8"/>
  <c r="AX53" i="8" s="1"/>
  <c r="AX31" i="8"/>
  <c r="AX32" i="8"/>
  <c r="AX33" i="8"/>
  <c r="AX35" i="8"/>
  <c r="AX29" i="8"/>
  <c r="AX34" i="8"/>
  <c r="AX30" i="8"/>
  <c r="AX36" i="8"/>
  <c r="AY1" i="8"/>
  <c r="AY18" i="8" s="1"/>
  <c r="AX2" i="8"/>
  <c r="AX12" i="7"/>
  <c r="AO11" i="8" l="1"/>
  <c r="AO26" i="8" s="1"/>
  <c r="AO37" i="8" s="1"/>
  <c r="AO41" i="8" s="1"/>
  <c r="AO43" i="8" s="1"/>
  <c r="AO47" i="8" s="1"/>
  <c r="AO55" i="8" s="1"/>
  <c r="AO59" i="8" s="1"/>
  <c r="AO67" i="8" s="1"/>
  <c r="V70" i="8"/>
  <c r="W69" i="8" s="1"/>
  <c r="AT14" i="8"/>
  <c r="AS24" i="8"/>
  <c r="AZ41" i="6"/>
  <c r="AY23" i="8"/>
  <c r="V6" i="7"/>
  <c r="V9" i="7" s="1"/>
  <c r="W4" i="7" s="1"/>
  <c r="W51" i="8"/>
  <c r="W55" i="8" s="1"/>
  <c r="W59" i="8" s="1"/>
  <c r="W67" i="8" s="1"/>
  <c r="AP7" i="8"/>
  <c r="AP10" i="8"/>
  <c r="AP9" i="8"/>
  <c r="AP8" i="8"/>
  <c r="AZ21" i="6"/>
  <c r="AW16" i="7"/>
  <c r="AW19" i="7" s="1"/>
  <c r="AY45" i="6"/>
  <c r="AY49" i="6"/>
  <c r="AU45" i="8" s="1"/>
  <c r="AX18" i="7"/>
  <c r="AX15" i="7"/>
  <c r="AX14" i="7"/>
  <c r="AN67" i="8"/>
  <c r="BZ1" i="2"/>
  <c r="CA2" i="2" s="1"/>
  <c r="BY4" i="2"/>
  <c r="AY15" i="8"/>
  <c r="AY17" i="8"/>
  <c r="BB1" i="6"/>
  <c r="BA36" i="6"/>
  <c r="BA35" i="6"/>
  <c r="BA39" i="6"/>
  <c r="BA32" i="6"/>
  <c r="BA31" i="6"/>
  <c r="BA27" i="6"/>
  <c r="BA29" i="6"/>
  <c r="BA14" i="6"/>
  <c r="BA30" i="6"/>
  <c r="BA18" i="6"/>
  <c r="BA33" i="6"/>
  <c r="BA7" i="6"/>
  <c r="BA25" i="6"/>
  <c r="BA10" i="6"/>
  <c r="BA13" i="6"/>
  <c r="BA15" i="6"/>
  <c r="BA16" i="6"/>
  <c r="BA17" i="6"/>
  <c r="BA11" i="6"/>
  <c r="BA12" i="6"/>
  <c r="BA38" i="6"/>
  <c r="BA28" i="6"/>
  <c r="BA26" i="6"/>
  <c r="BA37" i="6"/>
  <c r="BA9" i="6"/>
  <c r="BA34" i="6"/>
  <c r="BA19" i="6"/>
  <c r="BA8" i="6"/>
  <c r="BA40" i="6"/>
  <c r="BA20" i="6"/>
  <c r="BA6" i="6"/>
  <c r="BA5" i="6"/>
  <c r="BA2" i="6"/>
  <c r="BT3" i="2"/>
  <c r="BS5" i="2"/>
  <c r="AQ6" i="8" s="1"/>
  <c r="AY38" i="8"/>
  <c r="AY20" i="8"/>
  <c r="AX2" i="7"/>
  <c r="AW8" i="7"/>
  <c r="AX52" i="8" s="1"/>
  <c r="AW5" i="7"/>
  <c r="AX51" i="8" s="1"/>
  <c r="AY22" i="8"/>
  <c r="AY21" i="8"/>
  <c r="AZ21" i="8" s="1"/>
  <c r="AY64" i="8"/>
  <c r="AY65" i="8" s="1"/>
  <c r="AX39" i="8"/>
  <c r="AX40" i="8"/>
  <c r="AY50" i="8"/>
  <c r="AY53" i="8" s="1"/>
  <c r="AY31" i="8"/>
  <c r="AY30" i="8"/>
  <c r="AY32" i="8"/>
  <c r="AY34" i="8"/>
  <c r="AY36" i="8"/>
  <c r="AY33" i="8"/>
  <c r="AY35" i="8"/>
  <c r="AY29" i="8"/>
  <c r="AZ1" i="8"/>
  <c r="AZ19" i="8" s="1"/>
  <c r="AY2" i="8"/>
  <c r="AY12" i="7"/>
  <c r="AP11" i="8" l="1"/>
  <c r="AP26" i="8" s="1"/>
  <c r="AP37" i="8" s="1"/>
  <c r="AP41" i="8" s="1"/>
  <c r="AP43" i="8" s="1"/>
  <c r="AP47" i="8" s="1"/>
  <c r="AP55" i="8" s="1"/>
  <c r="AP59" i="8" s="1"/>
  <c r="AP67" i="8" s="1"/>
  <c r="BA19" i="8"/>
  <c r="AX17" i="7"/>
  <c r="AX16" i="7"/>
  <c r="AX19" i="7" s="1"/>
  <c r="AZ23" i="8"/>
  <c r="BA23" i="8" s="1"/>
  <c r="BA41" i="6"/>
  <c r="W70" i="8"/>
  <c r="X69" i="8" s="1"/>
  <c r="AQ8" i="8"/>
  <c r="AQ7" i="8"/>
  <c r="AQ9" i="8"/>
  <c r="AQ10" i="8"/>
  <c r="BC1" i="6"/>
  <c r="BB34" i="6"/>
  <c r="BB33" i="6"/>
  <c r="BB32" i="6"/>
  <c r="BB40" i="6"/>
  <c r="BB38" i="6"/>
  <c r="BB25" i="6"/>
  <c r="BB30" i="6"/>
  <c r="BB13" i="6"/>
  <c r="BB16" i="6"/>
  <c r="BB17" i="6"/>
  <c r="BB18" i="6"/>
  <c r="BB19" i="6"/>
  <c r="BB35" i="6"/>
  <c r="BB7" i="6"/>
  <c r="BB11" i="6"/>
  <c r="BB20" i="6"/>
  <c r="BB27" i="6"/>
  <c r="BB8" i="6"/>
  <c r="BB12" i="6"/>
  <c r="BB36" i="6"/>
  <c r="BB14" i="6"/>
  <c r="BB31" i="6"/>
  <c r="BB10" i="6"/>
  <c r="BB15" i="6"/>
  <c r="BB39" i="6"/>
  <c r="BB26" i="6"/>
  <c r="BB28" i="6"/>
  <c r="BB29" i="6"/>
  <c r="BB37" i="6"/>
  <c r="BB9" i="6"/>
  <c r="BB5" i="6"/>
  <c r="BB6" i="6"/>
  <c r="BB2" i="6"/>
  <c r="AZ15" i="8"/>
  <c r="AU14" i="8"/>
  <c r="AT24" i="8"/>
  <c r="AZ38" i="8"/>
  <c r="AZ22" i="8"/>
  <c r="BA22" i="8" s="1"/>
  <c r="AZ16" i="8"/>
  <c r="BA16" i="8" s="1"/>
  <c r="AY2" i="7"/>
  <c r="AX8" i="7"/>
  <c r="AY52" i="8" s="1"/>
  <c r="AX5" i="7"/>
  <c r="AY51" i="8" s="1"/>
  <c r="BU3" i="2"/>
  <c r="BT5" i="2"/>
  <c r="AR6" i="8" s="1"/>
  <c r="AZ17" i="8"/>
  <c r="AY15" i="7"/>
  <c r="AY18" i="7"/>
  <c r="AY14" i="7"/>
  <c r="BA21" i="8"/>
  <c r="W7" i="7"/>
  <c r="W5" i="7"/>
  <c r="AZ20" i="8"/>
  <c r="BA20" i="8" s="1"/>
  <c r="AZ45" i="6"/>
  <c r="AZ49" i="6"/>
  <c r="AV45" i="8" s="1"/>
  <c r="BA21" i="6"/>
  <c r="CA1" i="2"/>
  <c r="BZ4" i="2"/>
  <c r="AZ18" i="8"/>
  <c r="AZ64" i="8"/>
  <c r="AY39" i="8"/>
  <c r="AY40" i="8"/>
  <c r="AZ50" i="8"/>
  <c r="AZ53" i="8" s="1"/>
  <c r="AZ31" i="8"/>
  <c r="AZ30" i="8"/>
  <c r="AZ32" i="8"/>
  <c r="AZ34" i="8"/>
  <c r="AZ36" i="8"/>
  <c r="AZ35" i="8"/>
  <c r="AZ29" i="8"/>
  <c r="AZ33" i="8"/>
  <c r="BA1" i="8"/>
  <c r="AZ2" i="8"/>
  <c r="AZ12" i="7"/>
  <c r="AQ11" i="8" l="1"/>
  <c r="AQ26" i="8" s="1"/>
  <c r="AQ37" i="8"/>
  <c r="AQ41" i="8" s="1"/>
  <c r="AQ43" i="8" s="1"/>
  <c r="AQ47" i="8" s="1"/>
  <c r="BB41" i="6"/>
  <c r="AZ2" i="7"/>
  <c r="AY8" i="7"/>
  <c r="AZ52" i="8" s="1"/>
  <c r="AY5" i="7"/>
  <c r="AZ51" i="8" s="1"/>
  <c r="AZ14" i="7"/>
  <c r="AZ15" i="7"/>
  <c r="AZ18" i="7"/>
  <c r="AY17" i="7"/>
  <c r="AY16" i="7" s="1"/>
  <c r="AY19" i="7"/>
  <c r="BA18" i="8"/>
  <c r="AV14" i="8"/>
  <c r="AU24" i="8"/>
  <c r="BA45" i="6"/>
  <c r="BA49" i="6"/>
  <c r="AW45" i="8" s="1"/>
  <c r="BV3" i="2"/>
  <c r="BU5" i="2"/>
  <c r="AS6" i="8" s="1"/>
  <c r="BB23" i="8"/>
  <c r="BB19" i="8"/>
  <c r="BA15" i="8"/>
  <c r="BB15" i="8" s="1"/>
  <c r="AR7" i="8"/>
  <c r="AR9" i="8"/>
  <c r="AR8" i="8"/>
  <c r="AR10" i="8"/>
  <c r="BB21" i="6"/>
  <c r="BB20" i="8"/>
  <c r="X51" i="8"/>
  <c r="W6" i="7"/>
  <c r="W9" i="7" s="1"/>
  <c r="X4" i="7" s="1"/>
  <c r="BB22" i="8"/>
  <c r="BB21" i="8"/>
  <c r="BD1" i="6"/>
  <c r="BC37" i="6"/>
  <c r="BC27" i="6"/>
  <c r="BC36" i="6"/>
  <c r="BC35" i="6"/>
  <c r="BC29" i="6"/>
  <c r="BC38" i="6"/>
  <c r="BC28" i="6"/>
  <c r="BC25" i="6"/>
  <c r="BC12" i="6"/>
  <c r="BC15" i="6"/>
  <c r="BC17" i="6"/>
  <c r="BC7" i="6"/>
  <c r="BC11" i="6"/>
  <c r="BC40" i="6"/>
  <c r="BC32" i="6"/>
  <c r="BC6" i="6"/>
  <c r="BC30" i="6"/>
  <c r="BC39" i="6"/>
  <c r="BC31" i="6"/>
  <c r="BC14" i="6"/>
  <c r="BC13" i="6"/>
  <c r="BC26" i="6"/>
  <c r="BC5" i="6"/>
  <c r="BC21" i="6" s="1"/>
  <c r="BC16" i="6"/>
  <c r="BC34" i="6"/>
  <c r="BC18" i="6"/>
  <c r="BC20" i="6"/>
  <c r="BC33" i="6"/>
  <c r="BC19" i="6"/>
  <c r="BC8" i="6"/>
  <c r="BC9" i="6"/>
  <c r="BC10" i="6"/>
  <c r="BC2" i="6"/>
  <c r="BA38" i="8"/>
  <c r="CB1" i="2"/>
  <c r="CA4" i="2"/>
  <c r="BA17" i="8"/>
  <c r="CB2" i="2"/>
  <c r="AZ65" i="8"/>
  <c r="BA64" i="8"/>
  <c r="BA65" i="8" s="1"/>
  <c r="AZ40" i="8"/>
  <c r="AZ39" i="8"/>
  <c r="BA50" i="8"/>
  <c r="BA53" i="8" s="1"/>
  <c r="BA31" i="8"/>
  <c r="BA32" i="8"/>
  <c r="BA34" i="8"/>
  <c r="BA36" i="8"/>
  <c r="BA30" i="8"/>
  <c r="BA35" i="8"/>
  <c r="BA29" i="8"/>
  <c r="BA33" i="8"/>
  <c r="BA2" i="8"/>
  <c r="BB1" i="8"/>
  <c r="BA12" i="7"/>
  <c r="AR11" i="8" l="1"/>
  <c r="AR26" i="8" s="1"/>
  <c r="AR37" i="8" s="1"/>
  <c r="AR41" i="8" s="1"/>
  <c r="AR43" i="8" s="1"/>
  <c r="AR47" i="8" s="1"/>
  <c r="AR55" i="8" s="1"/>
  <c r="AR59" i="8" s="1"/>
  <c r="AR67" i="8" s="1"/>
  <c r="AQ55" i="8"/>
  <c r="AQ59" i="8" s="1"/>
  <c r="AQ67" i="8" s="1"/>
  <c r="BC41" i="6"/>
  <c r="BC45" i="6" s="1"/>
  <c r="AZ17" i="7"/>
  <c r="BC20" i="8"/>
  <c r="BW3" i="2"/>
  <c r="BV5" i="2"/>
  <c r="AT6" i="8" s="1"/>
  <c r="BA2" i="7"/>
  <c r="AZ8" i="7"/>
  <c r="BA52" i="8" s="1"/>
  <c r="AZ5" i="7"/>
  <c r="BA51" i="8" s="1"/>
  <c r="X7" i="7"/>
  <c r="X5" i="7"/>
  <c r="BC23" i="8"/>
  <c r="BA18" i="7"/>
  <c r="BA14" i="7"/>
  <c r="BA17" i="7" s="1"/>
  <c r="BA15" i="7"/>
  <c r="BA16" i="7" s="1"/>
  <c r="BA19" i="7" s="1"/>
  <c r="BB38" i="8"/>
  <c r="BB45" i="6"/>
  <c r="BB49" i="6" s="1"/>
  <c r="AX45" i="8" s="1"/>
  <c r="BB17" i="8"/>
  <c r="AW14" i="8"/>
  <c r="AV24" i="8"/>
  <c r="CC1" i="2"/>
  <c r="CB4" i="2"/>
  <c r="BC19" i="8"/>
  <c r="AZ16" i="7"/>
  <c r="AZ19" i="7" s="1"/>
  <c r="X55" i="8"/>
  <c r="X59" i="8" s="1"/>
  <c r="X70" i="8" s="1"/>
  <c r="Y69" i="8" s="1"/>
  <c r="AS10" i="8"/>
  <c r="AS7" i="8"/>
  <c r="AS8" i="8"/>
  <c r="AS9" i="8"/>
  <c r="BB16" i="8"/>
  <c r="CC2" i="2"/>
  <c r="CD2" i="2" s="1"/>
  <c r="BE1" i="6"/>
  <c r="BD39" i="6"/>
  <c r="BD11" i="6"/>
  <c r="BD27" i="6"/>
  <c r="BD16" i="6"/>
  <c r="BD5" i="6"/>
  <c r="BD38" i="6"/>
  <c r="BD29" i="6"/>
  <c r="BD19" i="6"/>
  <c r="BD30" i="6"/>
  <c r="BD7" i="6"/>
  <c r="BD8" i="6"/>
  <c r="BD9" i="6"/>
  <c r="BD10" i="6"/>
  <c r="BD36" i="6"/>
  <c r="BD31" i="6"/>
  <c r="BD25" i="6"/>
  <c r="BD35" i="6"/>
  <c r="BD32" i="6"/>
  <c r="BD14" i="6"/>
  <c r="BD17" i="6"/>
  <c r="BD33" i="6"/>
  <c r="BD37" i="6"/>
  <c r="BD18" i="6"/>
  <c r="BD34" i="6"/>
  <c r="BD40" i="6"/>
  <c r="BD12" i="6"/>
  <c r="BD28" i="6"/>
  <c r="BD13" i="6"/>
  <c r="BD15" i="6"/>
  <c r="BD6" i="6"/>
  <c r="BD20" i="6"/>
  <c r="BD26" i="6"/>
  <c r="BD2" i="6"/>
  <c r="BB18" i="8"/>
  <c r="BB64" i="8"/>
  <c r="BA40" i="8"/>
  <c r="BA39" i="8"/>
  <c r="BB50" i="8"/>
  <c r="BB53" i="8" s="1"/>
  <c r="BB30" i="8"/>
  <c r="BB31" i="8"/>
  <c r="BB32" i="8"/>
  <c r="BB34" i="8"/>
  <c r="BB36" i="8"/>
  <c r="BB33" i="8"/>
  <c r="BB35" i="8"/>
  <c r="BB29" i="8"/>
  <c r="BB2" i="8"/>
  <c r="BC1" i="8"/>
  <c r="BC21" i="8" s="1"/>
  <c r="BB12" i="7"/>
  <c r="X67" i="8" l="1"/>
  <c r="AS11" i="8"/>
  <c r="AS26" i="8" s="1"/>
  <c r="AS37" i="8" s="1"/>
  <c r="AS41" i="8" s="1"/>
  <c r="AS43" i="8" s="1"/>
  <c r="AS47" i="8" s="1"/>
  <c r="AS55" i="8" s="1"/>
  <c r="AS59" i="8" s="1"/>
  <c r="AS67" i="8" s="1"/>
  <c r="BX3" i="2"/>
  <c r="BW5" i="2"/>
  <c r="AU6" i="8" s="1"/>
  <c r="BD23" i="8"/>
  <c r="BB15" i="7"/>
  <c r="BB18" i="7"/>
  <c r="BB14" i="7"/>
  <c r="BB17" i="7" s="1"/>
  <c r="BF1" i="6"/>
  <c r="BE38" i="6"/>
  <c r="BE36" i="6"/>
  <c r="BE6" i="6"/>
  <c r="BE7" i="6"/>
  <c r="BE8" i="6"/>
  <c r="BE9" i="6"/>
  <c r="BE10" i="6"/>
  <c r="BE11" i="6"/>
  <c r="BE12" i="6"/>
  <c r="BE13" i="6"/>
  <c r="BE14" i="6"/>
  <c r="BE15" i="6"/>
  <c r="BE28" i="6"/>
  <c r="BE40" i="6"/>
  <c r="BE34" i="6"/>
  <c r="BE32" i="6"/>
  <c r="BE39" i="6"/>
  <c r="BE37" i="6"/>
  <c r="BE18" i="6"/>
  <c r="BE20" i="6"/>
  <c r="BE25" i="6"/>
  <c r="BE35" i="6"/>
  <c r="BE5" i="6"/>
  <c r="BE27" i="6"/>
  <c r="BE16" i="6"/>
  <c r="BE29" i="6"/>
  <c r="BE33" i="6"/>
  <c r="BE17" i="6"/>
  <c r="BE31" i="6"/>
  <c r="BE19" i="6"/>
  <c r="BE30" i="6"/>
  <c r="BE26" i="6"/>
  <c r="BE2" i="6"/>
  <c r="AX14" i="8"/>
  <c r="AW24" i="8"/>
  <c r="BC17" i="8"/>
  <c r="BC49" i="6"/>
  <c r="AY45" i="8" s="1"/>
  <c r="BD21" i="6"/>
  <c r="BD41" i="6"/>
  <c r="BB2" i="7"/>
  <c r="BA5" i="7"/>
  <c r="BB51" i="8" s="1"/>
  <c r="BA8" i="7"/>
  <c r="BB52" i="8" s="1"/>
  <c r="BD20" i="8"/>
  <c r="BC38" i="8"/>
  <c r="CD1" i="2"/>
  <c r="CC4" i="2"/>
  <c r="BC18" i="8"/>
  <c r="BD18" i="8" s="1"/>
  <c r="BC22" i="8"/>
  <c r="AT7" i="8"/>
  <c r="AT10" i="8"/>
  <c r="AT8" i="8"/>
  <c r="AT9" i="8"/>
  <c r="BD19" i="8"/>
  <c r="X6" i="7"/>
  <c r="X9" i="7" s="1"/>
  <c r="Y4" i="7" s="1"/>
  <c r="Y51" i="8"/>
  <c r="BC16" i="8"/>
  <c r="BD16" i="8" s="1"/>
  <c r="BC15" i="8"/>
  <c r="BD15" i="8" s="1"/>
  <c r="BB65" i="8"/>
  <c r="BC64" i="8"/>
  <c r="BC65" i="8" s="1"/>
  <c r="BC50" i="8"/>
  <c r="BC53" i="8" s="1"/>
  <c r="BC30" i="8"/>
  <c r="BC32" i="8"/>
  <c r="BC31" i="8"/>
  <c r="BC33" i="8"/>
  <c r="BC35" i="8"/>
  <c r="BC34" i="8"/>
  <c r="BC36" i="8"/>
  <c r="BC29" i="8"/>
  <c r="BB39" i="8"/>
  <c r="BB40" i="8"/>
  <c r="BC2" i="8"/>
  <c r="BD1" i="8"/>
  <c r="BC12" i="7"/>
  <c r="AT11" i="8" l="1"/>
  <c r="AT26" i="8" s="1"/>
  <c r="BG1" i="6"/>
  <c r="BF37" i="6"/>
  <c r="BF35" i="6"/>
  <c r="BF38" i="6"/>
  <c r="BF10" i="6"/>
  <c r="BF32" i="6"/>
  <c r="BF40" i="6"/>
  <c r="BF29" i="6"/>
  <c r="BF33" i="6"/>
  <c r="BF31" i="6"/>
  <c r="BF7" i="6"/>
  <c r="BF17" i="6"/>
  <c r="BF36" i="6"/>
  <c r="BF27" i="6"/>
  <c r="BF15" i="6"/>
  <c r="BF39" i="6"/>
  <c r="BF9" i="6"/>
  <c r="BF12" i="6"/>
  <c r="BF16" i="6"/>
  <c r="BF20" i="6"/>
  <c r="BF34" i="6"/>
  <c r="BF6" i="6"/>
  <c r="BF30" i="6"/>
  <c r="BF13" i="6"/>
  <c r="BF25" i="6"/>
  <c r="BF18" i="6"/>
  <c r="BF5" i="6"/>
  <c r="BF11" i="6"/>
  <c r="BF14" i="6"/>
  <c r="BF28" i="6"/>
  <c r="BF8" i="6"/>
  <c r="BF19" i="6"/>
  <c r="BF26" i="6"/>
  <c r="BF2" i="6"/>
  <c r="CE1" i="2"/>
  <c r="CD4" i="2"/>
  <c r="Y55" i="8"/>
  <c r="Y59" i="8" s="1"/>
  <c r="Y70" i="8" s="1"/>
  <c r="Z69" i="8" s="1"/>
  <c r="Y7" i="7"/>
  <c r="Y5" i="7"/>
  <c r="BE41" i="6"/>
  <c r="AT37" i="8"/>
  <c r="AT41" i="8" s="1"/>
  <c r="AT43" i="8"/>
  <c r="AT47" i="8" s="1"/>
  <c r="AT55" i="8" s="1"/>
  <c r="AT59" i="8" s="1"/>
  <c r="AT67" i="8" s="1"/>
  <c r="AU10" i="8"/>
  <c r="AU8" i="8"/>
  <c r="AU9" i="8"/>
  <c r="AU7" i="8"/>
  <c r="BC2" i="7"/>
  <c r="BB8" i="7"/>
  <c r="BC52" i="8" s="1"/>
  <c r="BB5" i="7"/>
  <c r="BC51" i="8" s="1"/>
  <c r="BD45" i="6"/>
  <c r="BD49" i="6"/>
  <c r="AZ45" i="8" s="1"/>
  <c r="AY14" i="8"/>
  <c r="AX24" i="8"/>
  <c r="BE21" i="6"/>
  <c r="BB16" i="7"/>
  <c r="BB19" i="7" s="1"/>
  <c r="BY3" i="2"/>
  <c r="BX5" i="2"/>
  <c r="AV6" i="8" s="1"/>
  <c r="CE2" i="2"/>
  <c r="CF2" i="2" s="1"/>
  <c r="BC15" i="7"/>
  <c r="BC14" i="7"/>
  <c r="BC18" i="7"/>
  <c r="BD22" i="8"/>
  <c r="BD17" i="8"/>
  <c r="BD21" i="8"/>
  <c r="BE21" i="8" s="1"/>
  <c r="BD64" i="8"/>
  <c r="BC40" i="8"/>
  <c r="BC39" i="8"/>
  <c r="BD50" i="8"/>
  <c r="BD53" i="8" s="1"/>
  <c r="BD30" i="8"/>
  <c r="BD32" i="8"/>
  <c r="BD31" i="8"/>
  <c r="BD33" i="8"/>
  <c r="BD35" i="8"/>
  <c r="BD34" i="8"/>
  <c r="BD36" i="8"/>
  <c r="BD29" i="8"/>
  <c r="BD2" i="8"/>
  <c r="BD38" i="8" s="1"/>
  <c r="BE1" i="8"/>
  <c r="BE16" i="8" s="1"/>
  <c r="BD12" i="7"/>
  <c r="Y67" i="8" l="1"/>
  <c r="AZ14" i="8"/>
  <c r="AY24" i="8"/>
  <c r="BC17" i="7"/>
  <c r="BC16" i="7"/>
  <c r="BC19" i="7" s="1"/>
  <c r="Y6" i="7"/>
  <c r="Y9" i="7" s="1"/>
  <c r="Z4" i="7" s="1"/>
  <c r="Z51" i="8"/>
  <c r="Z55" i="8" s="1"/>
  <c r="Z59" i="8" s="1"/>
  <c r="Z67" i="8" s="1"/>
  <c r="AV9" i="8"/>
  <c r="AV8" i="8"/>
  <c r="AV10" i="8"/>
  <c r="AV7" i="8"/>
  <c r="BD2" i="7"/>
  <c r="BC8" i="7"/>
  <c r="BD52" i="8" s="1"/>
  <c r="BC5" i="7"/>
  <c r="BD51" i="8" s="1"/>
  <c r="BF41" i="6"/>
  <c r="BH1" i="6"/>
  <c r="BG40" i="6"/>
  <c r="BG34" i="6"/>
  <c r="BG26" i="6"/>
  <c r="BG9" i="6"/>
  <c r="BG29" i="6"/>
  <c r="BG6" i="6"/>
  <c r="BG10" i="6"/>
  <c r="BG14" i="6"/>
  <c r="BG39" i="6"/>
  <c r="BG36" i="6"/>
  <c r="BG25" i="6"/>
  <c r="BG11" i="6"/>
  <c r="BG15" i="6"/>
  <c r="BG16" i="6"/>
  <c r="BG5" i="6"/>
  <c r="BG21" i="6" s="1"/>
  <c r="BG35" i="6"/>
  <c r="BG12" i="6"/>
  <c r="BG32" i="6"/>
  <c r="BG7" i="6"/>
  <c r="BG19" i="6"/>
  <c r="BG33" i="6"/>
  <c r="BG17" i="6"/>
  <c r="BG38" i="6"/>
  <c r="BG31" i="6"/>
  <c r="BG37" i="6"/>
  <c r="BG30" i="6"/>
  <c r="BG28" i="6"/>
  <c r="BG8" i="6"/>
  <c r="BG13" i="6"/>
  <c r="BG27" i="6"/>
  <c r="BG18" i="6"/>
  <c r="BG20" i="6"/>
  <c r="BG2" i="6"/>
  <c r="BE19" i="8"/>
  <c r="BF19" i="8" s="1"/>
  <c r="BE20" i="8"/>
  <c r="BF20" i="8" s="1"/>
  <c r="BF21" i="6"/>
  <c r="CG2" i="2"/>
  <c r="BZ3" i="2"/>
  <c r="BY5" i="2"/>
  <c r="AW6" i="8" s="1"/>
  <c r="AU11" i="8"/>
  <c r="AU26" i="8" s="1"/>
  <c r="AU37" i="8" s="1"/>
  <c r="AU41" i="8" s="1"/>
  <c r="AU43" i="8" s="1"/>
  <c r="AU47" i="8" s="1"/>
  <c r="BE45" i="6"/>
  <c r="BE49" i="6" s="1"/>
  <c r="BA45" i="8" s="1"/>
  <c r="BE17" i="8"/>
  <c r="BE22" i="8"/>
  <c r="BE15" i="8"/>
  <c r="BF15" i="8" s="1"/>
  <c r="BE23" i="8"/>
  <c r="BF23" i="8" s="1"/>
  <c r="BD14" i="7"/>
  <c r="BD17" i="7" s="1"/>
  <c r="BD15" i="7"/>
  <c r="BD16" i="7" s="1"/>
  <c r="BD18" i="7"/>
  <c r="CF1" i="2"/>
  <c r="CE4" i="2"/>
  <c r="BE18" i="8"/>
  <c r="BD65" i="8"/>
  <c r="BE64" i="8"/>
  <c r="BE65" i="8" s="1"/>
  <c r="BE50" i="8"/>
  <c r="BE53" i="8" s="1"/>
  <c r="BE30" i="8"/>
  <c r="BE31" i="8"/>
  <c r="BE33" i="8"/>
  <c r="BE35" i="8"/>
  <c r="BE32" i="8"/>
  <c r="BE34" i="8"/>
  <c r="BE36" i="8"/>
  <c r="BE29" i="8"/>
  <c r="BD39" i="8"/>
  <c r="BD40" i="8"/>
  <c r="BF1" i="8"/>
  <c r="BE2" i="8"/>
  <c r="BE38" i="8" s="1"/>
  <c r="BE12" i="7"/>
  <c r="BD19" i="7" l="1"/>
  <c r="BF45" i="6"/>
  <c r="BF49" i="6" s="1"/>
  <c r="BB45" i="8" s="1"/>
  <c r="BE15" i="7"/>
  <c r="BE14" i="7"/>
  <c r="BE17" i="7" s="1"/>
  <c r="BE18" i="7"/>
  <c r="BG41" i="6"/>
  <c r="BF22" i="8"/>
  <c r="BG22" i="8" s="1"/>
  <c r="Z70" i="8"/>
  <c r="AA69" i="8" s="1"/>
  <c r="BF38" i="8"/>
  <c r="BF18" i="8"/>
  <c r="BE2" i="7"/>
  <c r="BD5" i="7"/>
  <c r="BE51" i="8" s="1"/>
  <c r="BD8" i="7"/>
  <c r="BE52" i="8" s="1"/>
  <c r="BF21" i="8"/>
  <c r="AU55" i="8"/>
  <c r="AU59" i="8" s="1"/>
  <c r="AU67" i="8" s="1"/>
  <c r="AV11" i="8"/>
  <c r="AV26" i="8" s="1"/>
  <c r="BA14" i="8"/>
  <c r="AZ24" i="8"/>
  <c r="CH2" i="2"/>
  <c r="BG23" i="8"/>
  <c r="Z7" i="7"/>
  <c r="Z5" i="7"/>
  <c r="BF17" i="8"/>
  <c r="CG1" i="2"/>
  <c r="CF4" i="2"/>
  <c r="AW8" i="8"/>
  <c r="AW10" i="8"/>
  <c r="AW7" i="8"/>
  <c r="AW9" i="8"/>
  <c r="BG20" i="8"/>
  <c r="BI1" i="6"/>
  <c r="BH36" i="6"/>
  <c r="BH34" i="6"/>
  <c r="BH31" i="6"/>
  <c r="BH30" i="6"/>
  <c r="BH29" i="6"/>
  <c r="BH8" i="6"/>
  <c r="BH40" i="6"/>
  <c r="BH39" i="6"/>
  <c r="BH38" i="6"/>
  <c r="BH37" i="6"/>
  <c r="BH33" i="6"/>
  <c r="BH6" i="6"/>
  <c r="BH10" i="6"/>
  <c r="BH26" i="6"/>
  <c r="BH32" i="6"/>
  <c r="BH35" i="6"/>
  <c r="BH9" i="6"/>
  <c r="BH16" i="6"/>
  <c r="BH12" i="6"/>
  <c r="BH28" i="6"/>
  <c r="BH7" i="6"/>
  <c r="BH15" i="6"/>
  <c r="BH5" i="6"/>
  <c r="BH25" i="6"/>
  <c r="BH17" i="6"/>
  <c r="BH11" i="6"/>
  <c r="BH14" i="6"/>
  <c r="BH19" i="6"/>
  <c r="BH20" i="6"/>
  <c r="BH27" i="6"/>
  <c r="BH18" i="6"/>
  <c r="BH13" i="6"/>
  <c r="BH2" i="6"/>
  <c r="CA3" i="2"/>
  <c r="BZ5" i="2"/>
  <c r="AX6" i="8" s="1"/>
  <c r="BF16" i="8"/>
  <c r="BF64" i="8"/>
  <c r="BE39" i="8"/>
  <c r="BE40" i="8"/>
  <c r="BF50" i="8"/>
  <c r="BF53" i="8" s="1"/>
  <c r="BF31" i="8"/>
  <c r="BF30" i="8"/>
  <c r="BF33" i="8"/>
  <c r="BF35" i="8"/>
  <c r="BF32" i="8"/>
  <c r="BF36" i="8"/>
  <c r="BF29" i="8"/>
  <c r="BF34" i="8"/>
  <c r="BG1" i="8"/>
  <c r="BF2" i="8"/>
  <c r="BF12" i="7"/>
  <c r="AW11" i="8" l="1"/>
  <c r="AW26" i="8" s="1"/>
  <c r="AW37" i="8" s="1"/>
  <c r="AW41" i="8" s="1"/>
  <c r="AW43" i="8" s="1"/>
  <c r="AW47" i="8" s="1"/>
  <c r="CB3" i="2"/>
  <c r="CA5" i="2"/>
  <c r="AY6" i="8" s="1"/>
  <c r="AW55" i="8"/>
  <c r="AW59" i="8" s="1"/>
  <c r="AW67" i="8" s="1"/>
  <c r="CH1" i="2"/>
  <c r="CI2" i="2" s="1"/>
  <c r="CG4" i="2"/>
  <c r="BG21" i="8"/>
  <c r="BH21" i="8" s="1"/>
  <c r="BG17" i="8"/>
  <c r="BH17" i="8" s="1"/>
  <c r="BH20" i="8"/>
  <c r="BH22" i="8"/>
  <c r="Z6" i="7"/>
  <c r="Z9" i="7" s="1"/>
  <c r="AA4" i="7" s="1"/>
  <c r="AA51" i="8"/>
  <c r="AV37" i="8"/>
  <c r="AV41" i="8" s="1"/>
  <c r="AV43" i="8" s="1"/>
  <c r="BF15" i="7"/>
  <c r="BF18" i="7"/>
  <c r="BF14" i="7"/>
  <c r="BG38" i="8"/>
  <c r="BG16" i="8"/>
  <c r="BH16" i="8" s="1"/>
  <c r="BH41" i="6"/>
  <c r="BJ1" i="6"/>
  <c r="BI33" i="6"/>
  <c r="BI28" i="6"/>
  <c r="BI26" i="6"/>
  <c r="BI37" i="6"/>
  <c r="BI7" i="6"/>
  <c r="BI38" i="6"/>
  <c r="BI31" i="6"/>
  <c r="BI25" i="6"/>
  <c r="BI39" i="6"/>
  <c r="BI11" i="6"/>
  <c r="BI12" i="6"/>
  <c r="BI13" i="6"/>
  <c r="BI32" i="6"/>
  <c r="BI29" i="6"/>
  <c r="BI9" i="6"/>
  <c r="BI16" i="6"/>
  <c r="BI10" i="6"/>
  <c r="BI18" i="6"/>
  <c r="BI20" i="6"/>
  <c r="BI35" i="6"/>
  <c r="BI19" i="6"/>
  <c r="BI6" i="6"/>
  <c r="BI15" i="6"/>
  <c r="BI36" i="6"/>
  <c r="BI8" i="6"/>
  <c r="BI27" i="6"/>
  <c r="BI40" i="6"/>
  <c r="BI5" i="6"/>
  <c r="BI30" i="6"/>
  <c r="BI17" i="6"/>
  <c r="BI14" i="6"/>
  <c r="BI34" i="6"/>
  <c r="BI2" i="6"/>
  <c r="BF2" i="7"/>
  <c r="BE5" i="7"/>
  <c r="BF51" i="8" s="1"/>
  <c r="BE8" i="7"/>
  <c r="BF52" i="8" s="1"/>
  <c r="BG45" i="6"/>
  <c r="BG49" i="6" s="1"/>
  <c r="BC45" i="8" s="1"/>
  <c r="BB14" i="8"/>
  <c r="BA24" i="8"/>
  <c r="BE16" i="7"/>
  <c r="BE19" i="7" s="1"/>
  <c r="AX8" i="8"/>
  <c r="AX7" i="8"/>
  <c r="AX9" i="8"/>
  <c r="AX10" i="8"/>
  <c r="BH21" i="6"/>
  <c r="BG19" i="8"/>
  <c r="BH19" i="8" s="1"/>
  <c r="BG15" i="8"/>
  <c r="BG18" i="8"/>
  <c r="BF65" i="8"/>
  <c r="BG64" i="8"/>
  <c r="BG65" i="8" s="1"/>
  <c r="BG50" i="8"/>
  <c r="BG53" i="8" s="1"/>
  <c r="BG31" i="8"/>
  <c r="BG30" i="8"/>
  <c r="BG32" i="8"/>
  <c r="BG34" i="8"/>
  <c r="BG36" i="8"/>
  <c r="BG33" i="8"/>
  <c r="BG35" i="8"/>
  <c r="BG29" i="8"/>
  <c r="BF40" i="8"/>
  <c r="BF39" i="8"/>
  <c r="BG2" i="8"/>
  <c r="BH1" i="8"/>
  <c r="BG12" i="7"/>
  <c r="BF17" i="7" l="1"/>
  <c r="BF16" i="7" s="1"/>
  <c r="BF19" i="7" s="1"/>
  <c r="AX11" i="8"/>
  <c r="AX26" i="8" s="1"/>
  <c r="AX37" i="8" s="1"/>
  <c r="AX41" i="8" s="1"/>
  <c r="AX43" i="8" s="1"/>
  <c r="AX47" i="8" s="1"/>
  <c r="BH38" i="8"/>
  <c r="BC14" i="8"/>
  <c r="BB24" i="8"/>
  <c r="BH23" i="8"/>
  <c r="BI23" i="8" s="1"/>
  <c r="BI22" i="8"/>
  <c r="BH49" i="6"/>
  <c r="BD45" i="8" s="1"/>
  <c r="BH45" i="6"/>
  <c r="BI41" i="6"/>
  <c r="BG15" i="7"/>
  <c r="BG14" i="7"/>
  <c r="BG18" i="7"/>
  <c r="CI1" i="2"/>
  <c r="CH4" i="2"/>
  <c r="AV47" i="8"/>
  <c r="AY9" i="8"/>
  <c r="AY7" i="8"/>
  <c r="AY10" i="8"/>
  <c r="AY8" i="8"/>
  <c r="BH18" i="8"/>
  <c r="AA55" i="8"/>
  <c r="AA59" i="8" s="1"/>
  <c r="AA70" i="8" s="1"/>
  <c r="AB69" i="8" s="1"/>
  <c r="CC3" i="2"/>
  <c r="CB5" i="2"/>
  <c r="AZ6" i="8" s="1"/>
  <c r="BI19" i="8"/>
  <c r="BG2" i="7"/>
  <c r="BF8" i="7"/>
  <c r="BG52" i="8" s="1"/>
  <c r="BF5" i="7"/>
  <c r="BG51" i="8" s="1"/>
  <c r="BI21" i="6"/>
  <c r="BH15" i="8"/>
  <c r="BK1" i="6"/>
  <c r="BJ32" i="6"/>
  <c r="BJ33" i="6"/>
  <c r="BJ6" i="6"/>
  <c r="BJ37" i="6"/>
  <c r="BJ31" i="6"/>
  <c r="BJ25" i="6"/>
  <c r="BJ41" i="6" s="1"/>
  <c r="BJ9" i="6"/>
  <c r="BJ13" i="6"/>
  <c r="BJ36" i="6"/>
  <c r="BJ10" i="6"/>
  <c r="BJ14" i="6"/>
  <c r="BJ29" i="6"/>
  <c r="BJ28" i="6"/>
  <c r="BJ34" i="6"/>
  <c r="BJ27" i="6"/>
  <c r="BJ26" i="6"/>
  <c r="BJ12" i="6"/>
  <c r="BJ16" i="6"/>
  <c r="BJ40" i="6"/>
  <c r="BJ15" i="6"/>
  <c r="BJ35" i="6"/>
  <c r="BJ18" i="6"/>
  <c r="BJ20" i="6"/>
  <c r="BJ7" i="6"/>
  <c r="BJ30" i="6"/>
  <c r="BJ5" i="6"/>
  <c r="BJ11" i="6"/>
  <c r="BJ17" i="6"/>
  <c r="BJ38" i="6"/>
  <c r="BJ8" i="6"/>
  <c r="BJ19" i="6"/>
  <c r="BJ39" i="6"/>
  <c r="BJ2" i="6"/>
  <c r="AA7" i="7"/>
  <c r="AA5" i="7"/>
  <c r="BH64" i="8"/>
  <c r="BG39" i="8"/>
  <c r="BG40" i="8"/>
  <c r="BH50" i="8"/>
  <c r="BH53" i="8" s="1"/>
  <c r="BH31" i="8"/>
  <c r="BH30" i="8"/>
  <c r="BH32" i="8"/>
  <c r="BH34" i="8"/>
  <c r="BH36" i="8"/>
  <c r="BH33" i="8"/>
  <c r="BH29" i="8"/>
  <c r="BH35" i="8"/>
  <c r="BH2" i="8"/>
  <c r="BI1" i="8"/>
  <c r="BH12" i="7"/>
  <c r="AY11" i="8" l="1"/>
  <c r="AY26" i="8" s="1"/>
  <c r="AA67" i="8"/>
  <c r="AY37" i="8"/>
  <c r="AY41" i="8" s="1"/>
  <c r="AY43" i="8" s="1"/>
  <c r="BJ21" i="6"/>
  <c r="AA6" i="7"/>
  <c r="AA9" i="7" s="1"/>
  <c r="AB4" i="7" s="1"/>
  <c r="AB51" i="8"/>
  <c r="BI15" i="8"/>
  <c r="BJ15" i="8" s="1"/>
  <c r="BI18" i="8"/>
  <c r="BJ18" i="8" s="1"/>
  <c r="AX55" i="8"/>
  <c r="AX59" i="8" s="1"/>
  <c r="AX67" i="8" s="1"/>
  <c r="BI49" i="6"/>
  <c r="BE45" i="8" s="1"/>
  <c r="BI45" i="6"/>
  <c r="BG17" i="7"/>
  <c r="BG16" i="7" s="1"/>
  <c r="BG19" i="7" s="1"/>
  <c r="BD14" i="8"/>
  <c r="BC24" i="8"/>
  <c r="BI38" i="8"/>
  <c r="BL1" i="6"/>
  <c r="BK40" i="6"/>
  <c r="BK37" i="6"/>
  <c r="BK39" i="6"/>
  <c r="BK36" i="6"/>
  <c r="BK33" i="6"/>
  <c r="BK13" i="6"/>
  <c r="BK26" i="6"/>
  <c r="BK9" i="6"/>
  <c r="BK34" i="6"/>
  <c r="BK28" i="6"/>
  <c r="BK6" i="6"/>
  <c r="BK32" i="6"/>
  <c r="BK38" i="6"/>
  <c r="BK27" i="6"/>
  <c r="BK35" i="6"/>
  <c r="BK31" i="6"/>
  <c r="BK18" i="6"/>
  <c r="BK20" i="6"/>
  <c r="BK10" i="6"/>
  <c r="BK30" i="6"/>
  <c r="BK7" i="6"/>
  <c r="BK15" i="6"/>
  <c r="BK16" i="6"/>
  <c r="BK5" i="6"/>
  <c r="BK11" i="6"/>
  <c r="BK14" i="6"/>
  <c r="BK17" i="6"/>
  <c r="BK29" i="6"/>
  <c r="BK25" i="6"/>
  <c r="BK12" i="6"/>
  <c r="BK8" i="6"/>
  <c r="BK19" i="6"/>
  <c r="BK2" i="6"/>
  <c r="CJ1" i="2"/>
  <c r="CI4" i="2"/>
  <c r="BI17" i="8"/>
  <c r="BJ17" i="8" s="1"/>
  <c r="BI21" i="8"/>
  <c r="BJ21" i="8" s="1"/>
  <c r="BJ22" i="8"/>
  <c r="BJ19" i="8"/>
  <c r="CD3" i="2"/>
  <c r="CC5" i="2"/>
  <c r="BA6" i="8" s="1"/>
  <c r="BH15" i="7"/>
  <c r="BH14" i="7"/>
  <c r="BH17" i="7" s="1"/>
  <c r="BH18" i="7"/>
  <c r="BI20" i="8"/>
  <c r="BI16" i="8"/>
  <c r="BH2" i="7"/>
  <c r="BG8" i="7"/>
  <c r="BH52" i="8" s="1"/>
  <c r="BG5" i="7"/>
  <c r="BH51" i="8" s="1"/>
  <c r="AZ8" i="8"/>
  <c r="AZ10" i="8"/>
  <c r="AZ9" i="8"/>
  <c r="AZ7" i="8"/>
  <c r="AV55" i="8"/>
  <c r="CJ2" i="2"/>
  <c r="CK2" i="2" s="1"/>
  <c r="BH65" i="8"/>
  <c r="BI64" i="8"/>
  <c r="BI65" i="8" s="1"/>
  <c r="BH40" i="8"/>
  <c r="BH39" i="8"/>
  <c r="BI50" i="8"/>
  <c r="BI53" i="8" s="1"/>
  <c r="BI31" i="8"/>
  <c r="BI30" i="8"/>
  <c r="BI34" i="8"/>
  <c r="BI36" i="8"/>
  <c r="BI33" i="8"/>
  <c r="BI29" i="8"/>
  <c r="BI32" i="8"/>
  <c r="BI35" i="8"/>
  <c r="BI2" i="8"/>
  <c r="BJ1" i="8"/>
  <c r="BJ23" i="8" s="1"/>
  <c r="BI12" i="7"/>
  <c r="AZ11" i="8" l="1"/>
  <c r="AZ26" i="8" s="1"/>
  <c r="AZ37" i="8"/>
  <c r="AZ41" i="8" s="1"/>
  <c r="AZ43" i="8"/>
  <c r="AZ47" i="8" s="1"/>
  <c r="AZ55" i="8" s="1"/>
  <c r="AZ59" i="8" s="1"/>
  <c r="AY47" i="8"/>
  <c r="CE3" i="2"/>
  <c r="CD5" i="2"/>
  <c r="BB6" i="8" s="1"/>
  <c r="BK18" i="8"/>
  <c r="BK21" i="8"/>
  <c r="BI2" i="7"/>
  <c r="BH5" i="7"/>
  <c r="BI51" i="8" s="1"/>
  <c r="BH8" i="7"/>
  <c r="BI52" i="8" s="1"/>
  <c r="AB55" i="8"/>
  <c r="CK1" i="2"/>
  <c r="CL2" i="2" s="1"/>
  <c r="CJ4" i="2"/>
  <c r="BE14" i="8"/>
  <c r="BD24" i="8"/>
  <c r="BJ45" i="6"/>
  <c r="BJ49" i="6"/>
  <c r="BF45" i="8" s="1"/>
  <c r="BI18" i="7"/>
  <c r="BI14" i="7"/>
  <c r="BI17" i="7" s="1"/>
  <c r="BI15" i="7"/>
  <c r="BK21" i="6"/>
  <c r="BM1" i="6"/>
  <c r="BL39" i="6"/>
  <c r="BL38" i="6"/>
  <c r="BL37" i="6"/>
  <c r="BL40" i="6"/>
  <c r="BL33" i="6"/>
  <c r="BL31" i="6"/>
  <c r="BL27" i="6"/>
  <c r="BL26" i="6"/>
  <c r="BL30" i="6"/>
  <c r="BL25" i="6"/>
  <c r="BL6" i="6"/>
  <c r="BL8" i="6"/>
  <c r="BL11" i="6"/>
  <c r="BL32" i="6"/>
  <c r="BL28" i="6"/>
  <c r="BL34" i="6"/>
  <c r="BL9" i="6"/>
  <c r="BL18" i="6"/>
  <c r="BL10" i="6"/>
  <c r="BL29" i="6"/>
  <c r="BL5" i="6"/>
  <c r="BL21" i="6" s="1"/>
  <c r="BL14" i="6"/>
  <c r="BL36" i="6"/>
  <c r="BL12" i="6"/>
  <c r="BL20" i="6"/>
  <c r="BL7" i="6"/>
  <c r="BL15" i="6"/>
  <c r="BL16" i="6"/>
  <c r="BL17" i="6"/>
  <c r="BL19" i="6"/>
  <c r="BL13" i="6"/>
  <c r="BL35" i="6"/>
  <c r="BL2" i="6"/>
  <c r="BJ16" i="8"/>
  <c r="AB7" i="7"/>
  <c r="AB5" i="7"/>
  <c r="BJ20" i="8"/>
  <c r="AV59" i="8"/>
  <c r="BH16" i="7"/>
  <c r="BH19" i="7" s="1"/>
  <c r="BK17" i="8"/>
  <c r="BA7" i="8"/>
  <c r="BA10" i="8"/>
  <c r="BA8" i="8"/>
  <c r="BA9" i="8"/>
  <c r="BK41" i="6"/>
  <c r="BJ64" i="8"/>
  <c r="BJ65" i="8" s="1"/>
  <c r="BI40" i="8"/>
  <c r="BI39" i="8"/>
  <c r="BJ50" i="8"/>
  <c r="BJ53" i="8" s="1"/>
  <c r="BJ30" i="8"/>
  <c r="BJ31" i="8"/>
  <c r="BJ34" i="8"/>
  <c r="BJ36" i="8"/>
  <c r="BJ33" i="8"/>
  <c r="BJ29" i="8"/>
  <c r="BJ32" i="8"/>
  <c r="BJ35" i="8"/>
  <c r="BJ2" i="8"/>
  <c r="BJ38" i="8" s="1"/>
  <c r="BK1" i="8"/>
  <c r="BK23" i="8" s="1"/>
  <c r="BJ12" i="7"/>
  <c r="AZ67" i="8" l="1"/>
  <c r="BA11" i="8"/>
  <c r="BA26" i="8" s="1"/>
  <c r="BA37" i="8" s="1"/>
  <c r="BA41" i="8" s="1"/>
  <c r="BA43" i="8" s="1"/>
  <c r="BA47" i="8" s="1"/>
  <c r="BA55" i="8" s="1"/>
  <c r="BA59" i="8" s="1"/>
  <c r="BA67" i="8" s="1"/>
  <c r="BJ18" i="7"/>
  <c r="BJ17" i="7"/>
  <c r="BJ15" i="7"/>
  <c r="BJ16" i="7" s="1"/>
  <c r="BJ14" i="7"/>
  <c r="BJ19" i="7" s="1"/>
  <c r="BN1" i="6"/>
  <c r="BM36" i="6"/>
  <c r="BM35" i="6"/>
  <c r="BM32" i="6"/>
  <c r="BM30" i="6"/>
  <c r="BM15" i="6"/>
  <c r="BM8" i="6"/>
  <c r="BM12" i="6"/>
  <c r="BM19" i="6"/>
  <c r="BM34" i="6"/>
  <c r="BM28" i="6"/>
  <c r="BM9" i="6"/>
  <c r="BM13" i="6"/>
  <c r="BM38" i="6"/>
  <c r="BM33" i="6"/>
  <c r="BM27" i="6"/>
  <c r="BM6" i="6"/>
  <c r="BM11" i="6"/>
  <c r="BM26" i="6"/>
  <c r="BM40" i="6"/>
  <c r="BM31" i="6"/>
  <c r="BM14" i="6"/>
  <c r="BM17" i="6"/>
  <c r="BM10" i="6"/>
  <c r="BM18" i="6"/>
  <c r="BM37" i="6"/>
  <c r="BM20" i="6"/>
  <c r="BM29" i="6"/>
  <c r="BM7" i="6"/>
  <c r="BM16" i="6"/>
  <c r="BM25" i="6"/>
  <c r="BM5" i="6"/>
  <c r="BM39" i="6"/>
  <c r="BM2" i="6"/>
  <c r="AB59" i="8"/>
  <c r="BJ2" i="7"/>
  <c r="BI5" i="7"/>
  <c r="BJ51" i="8" s="1"/>
  <c r="BI8" i="7"/>
  <c r="BJ52" i="8" s="1"/>
  <c r="AV67" i="8"/>
  <c r="BK22" i="8"/>
  <c r="BK20" i="8"/>
  <c r="BL20" i="8" s="1"/>
  <c r="BF14" i="8"/>
  <c r="BE24" i="8"/>
  <c r="BB7" i="8"/>
  <c r="BB9" i="8"/>
  <c r="BB10" i="8"/>
  <c r="BB8" i="8"/>
  <c r="CF3" i="2"/>
  <c r="CE5" i="2"/>
  <c r="BC6" i="8" s="1"/>
  <c r="BK15" i="8"/>
  <c r="CL1" i="2"/>
  <c r="CK4" i="2"/>
  <c r="BK19" i="8"/>
  <c r="BL19" i="8" s="1"/>
  <c r="AY55" i="8"/>
  <c r="AC51" i="8"/>
  <c r="AC55" i="8" s="1"/>
  <c r="AC59" i="8" s="1"/>
  <c r="AC67" i="8" s="1"/>
  <c r="AB6" i="7"/>
  <c r="AB9" i="7" s="1"/>
  <c r="AC4" i="7" s="1"/>
  <c r="BK45" i="6"/>
  <c r="BK49" i="6"/>
  <c r="BG45" i="8" s="1"/>
  <c r="BK16" i="8"/>
  <c r="BL41" i="6"/>
  <c r="BL45" i="6" s="1"/>
  <c r="BI16" i="7"/>
  <c r="BI19" i="7" s="1"/>
  <c r="BK64" i="8"/>
  <c r="BK65" i="8" s="1"/>
  <c r="BK50" i="8"/>
  <c r="BK53" i="8" s="1"/>
  <c r="BK30" i="8"/>
  <c r="BK32" i="8"/>
  <c r="BK31" i="8"/>
  <c r="BK33" i="8"/>
  <c r="BK35" i="8"/>
  <c r="BK34" i="8"/>
  <c r="BK36" i="8"/>
  <c r="BK29" i="8"/>
  <c r="BJ40" i="8"/>
  <c r="BJ39" i="8"/>
  <c r="BK2" i="8"/>
  <c r="BL1" i="8"/>
  <c r="BK12" i="7"/>
  <c r="BK18" i="7" s="1"/>
  <c r="BB11" i="8" l="1"/>
  <c r="BB26" i="8" s="1"/>
  <c r="BB37" i="8" s="1"/>
  <c r="BB41" i="8" s="1"/>
  <c r="BG14" i="8"/>
  <c r="BF24" i="8"/>
  <c r="CM1" i="2"/>
  <c r="CL4" i="2"/>
  <c r="BK38" i="8"/>
  <c r="AC7" i="7"/>
  <c r="AC5" i="7"/>
  <c r="BO1" i="6"/>
  <c r="BN34" i="6"/>
  <c r="BN33" i="6"/>
  <c r="BN32" i="6"/>
  <c r="BN39" i="6"/>
  <c r="BN25" i="6"/>
  <c r="BN31" i="6"/>
  <c r="BN27" i="6"/>
  <c r="BN29" i="6"/>
  <c r="BN14" i="6"/>
  <c r="BN16" i="6"/>
  <c r="BN17" i="6"/>
  <c r="BN18" i="6"/>
  <c r="BN19" i="6"/>
  <c r="BN28" i="6"/>
  <c r="BN20" i="6"/>
  <c r="BN8" i="6"/>
  <c r="BN12" i="6"/>
  <c r="BN35" i="6"/>
  <c r="BN38" i="6"/>
  <c r="BN26" i="6"/>
  <c r="BN6" i="6"/>
  <c r="BN11" i="6"/>
  <c r="BN40" i="6"/>
  <c r="BN36" i="6"/>
  <c r="BN13" i="6"/>
  <c r="BN7" i="6"/>
  <c r="BN30" i="6"/>
  <c r="BN5" i="6"/>
  <c r="BN37" i="6"/>
  <c r="BN10" i="6"/>
  <c r="BN15" i="6"/>
  <c r="BN9" i="6"/>
  <c r="BN2" i="6"/>
  <c r="BL22" i="8"/>
  <c r="BL21" i="8"/>
  <c r="BC9" i="8"/>
  <c r="BC7" i="8"/>
  <c r="BC10" i="8"/>
  <c r="BC8" i="8"/>
  <c r="CG3" i="2"/>
  <c r="CF5" i="2"/>
  <c r="BD6" i="8" s="1"/>
  <c r="BL23" i="8"/>
  <c r="AB70" i="8"/>
  <c r="AC69" i="8" s="1"/>
  <c r="AC70" i="8" s="1"/>
  <c r="AD69" i="8" s="1"/>
  <c r="AB67" i="8"/>
  <c r="BL15" i="8"/>
  <c r="BM15" i="8" s="1"/>
  <c r="BL17" i="8"/>
  <c r="BL18" i="8"/>
  <c r="BL16" i="8"/>
  <c r="BM21" i="6"/>
  <c r="BM41" i="6"/>
  <c r="BK2" i="7"/>
  <c r="BJ5" i="7"/>
  <c r="BK51" i="8" s="1"/>
  <c r="BL49" i="6"/>
  <c r="BH45" i="8" s="1"/>
  <c r="AY59" i="8"/>
  <c r="CM2" i="2"/>
  <c r="CN2" i="2" s="1"/>
  <c r="BL64" i="8"/>
  <c r="BK40" i="8"/>
  <c r="BK39" i="8"/>
  <c r="BL50" i="8"/>
  <c r="BL53" i="8" s="1"/>
  <c r="BL30" i="8"/>
  <c r="BL32" i="8"/>
  <c r="BL31" i="8"/>
  <c r="BL33" i="8"/>
  <c r="BL35" i="8"/>
  <c r="BL36" i="8"/>
  <c r="BL34" i="8"/>
  <c r="BL29" i="8"/>
  <c r="BM1" i="8"/>
  <c r="BM19" i="8" s="1"/>
  <c r="BL2" i="8"/>
  <c r="BL12" i="7"/>
  <c r="BL18" i="7" s="1"/>
  <c r="BB43" i="8" l="1"/>
  <c r="BB47" i="8" s="1"/>
  <c r="BB55" i="8" s="1"/>
  <c r="BB59" i="8" s="1"/>
  <c r="BB67" i="8" s="1"/>
  <c r="BC11" i="8"/>
  <c r="BC26" i="8" s="1"/>
  <c r="BC37" i="8" s="1"/>
  <c r="BC41" i="8" s="1"/>
  <c r="BC43" i="8" s="1"/>
  <c r="BC47" i="8" s="1"/>
  <c r="BC55" i="8" s="1"/>
  <c r="BC59" i="8" s="1"/>
  <c r="BC67" i="8" s="1"/>
  <c r="BP1" i="6"/>
  <c r="BO40" i="6"/>
  <c r="BO38" i="6"/>
  <c r="BO27" i="6"/>
  <c r="BO39" i="6"/>
  <c r="BO30" i="6"/>
  <c r="BO35" i="6"/>
  <c r="BO13" i="6"/>
  <c r="BO34" i="6"/>
  <c r="BO18" i="6"/>
  <c r="BO33" i="6"/>
  <c r="BO31" i="6"/>
  <c r="BO32" i="6"/>
  <c r="BO28" i="6"/>
  <c r="BO26" i="6"/>
  <c r="BO8" i="6"/>
  <c r="BO29" i="6"/>
  <c r="BO6" i="6"/>
  <c r="BO11" i="6"/>
  <c r="BO9" i="6"/>
  <c r="BO19" i="6"/>
  <c r="BO37" i="6"/>
  <c r="BO16" i="6"/>
  <c r="BO7" i="6"/>
  <c r="BO12" i="6"/>
  <c r="BO25" i="6"/>
  <c r="BO10" i="6"/>
  <c r="BO20" i="6"/>
  <c r="BO15" i="6"/>
  <c r="BO14" i="6"/>
  <c r="BO17" i="6"/>
  <c r="BO36" i="6"/>
  <c r="BO5" i="6"/>
  <c r="BO2" i="6"/>
  <c r="BM21" i="8"/>
  <c r="BM20" i="8"/>
  <c r="BM22" i="8"/>
  <c r="BM23" i="8"/>
  <c r="AD51" i="8"/>
  <c r="AD55" i="8" s="1"/>
  <c r="AC6" i="7"/>
  <c r="AC9" i="7" s="1"/>
  <c r="AD4" i="7" s="1"/>
  <c r="BD10" i="8"/>
  <c r="BD8" i="8"/>
  <c r="BD7" i="8"/>
  <c r="BD9" i="8"/>
  <c r="CH3" i="2"/>
  <c r="CG5" i="2"/>
  <c r="BE6" i="8" s="1"/>
  <c r="BN41" i="6"/>
  <c r="CN1" i="2"/>
  <c r="CO2" i="2" s="1"/>
  <c r="CM4" i="2"/>
  <c r="BM45" i="6"/>
  <c r="BM49" i="6"/>
  <c r="BI45" i="8" s="1"/>
  <c r="BN21" i="6"/>
  <c r="BL38" i="8"/>
  <c r="AY67" i="8"/>
  <c r="BL2" i="7"/>
  <c r="BK5" i="7"/>
  <c r="BK8" i="7"/>
  <c r="BL52" i="8" s="1"/>
  <c r="BM16" i="8"/>
  <c r="BM18" i="8"/>
  <c r="BH14" i="8"/>
  <c r="BG24" i="8"/>
  <c r="BM17" i="8"/>
  <c r="BL65" i="8"/>
  <c r="BM64" i="8"/>
  <c r="BM65" i="8" s="1"/>
  <c r="BL39" i="8"/>
  <c r="BL40" i="8"/>
  <c r="BM50" i="8"/>
  <c r="BM53" i="8" s="1"/>
  <c r="BM30" i="8"/>
  <c r="BM33" i="8"/>
  <c r="BM35" i="8"/>
  <c r="BM31" i="8"/>
  <c r="BM36" i="8"/>
  <c r="BM32" i="8"/>
  <c r="BM34" i="8"/>
  <c r="BM29" i="8"/>
  <c r="BM2" i="8"/>
  <c r="BN15" i="8" s="1"/>
  <c r="BN1" i="8"/>
  <c r="BM12" i="7"/>
  <c r="BM18" i="7" s="1"/>
  <c r="BD11" i="8" l="1"/>
  <c r="BD26" i="8" s="1"/>
  <c r="BD37" i="8" s="1"/>
  <c r="BD41" i="8" s="1"/>
  <c r="BD43" i="8" s="1"/>
  <c r="BD47" i="8" s="1"/>
  <c r="BD55" i="8" s="1"/>
  <c r="BD59" i="8" s="1"/>
  <c r="BD67" i="8" s="1"/>
  <c r="BN45" i="6"/>
  <c r="BN49" i="6" s="1"/>
  <c r="BJ45" i="8" s="1"/>
  <c r="BN18" i="8"/>
  <c r="AD7" i="7"/>
  <c r="AD5" i="7"/>
  <c r="AD59" i="8"/>
  <c r="BN23" i="8"/>
  <c r="BO41" i="6"/>
  <c r="BN17" i="8"/>
  <c r="BM2" i="7"/>
  <c r="BL5" i="7"/>
  <c r="BL8" i="7"/>
  <c r="BM52" i="8" s="1"/>
  <c r="BM38" i="8"/>
  <c r="BI14" i="8"/>
  <c r="BH24" i="8"/>
  <c r="CO1" i="2"/>
  <c r="CN4" i="2"/>
  <c r="BN22" i="8"/>
  <c r="BQ1" i="6"/>
  <c r="BP37" i="6"/>
  <c r="BP32" i="6"/>
  <c r="BP29" i="6"/>
  <c r="BP36" i="6"/>
  <c r="BP28" i="6"/>
  <c r="BP25" i="6"/>
  <c r="BP12" i="6"/>
  <c r="BP7" i="6"/>
  <c r="BP11" i="6"/>
  <c r="BP17" i="6"/>
  <c r="BP5" i="6"/>
  <c r="BP30" i="6"/>
  <c r="BP27" i="6"/>
  <c r="BP8" i="6"/>
  <c r="BP33" i="6"/>
  <c r="BP31" i="6"/>
  <c r="BP34" i="6"/>
  <c r="BP26" i="6"/>
  <c r="BP15" i="6"/>
  <c r="BP38" i="6"/>
  <c r="BP9" i="6"/>
  <c r="BP13" i="6"/>
  <c r="BP19" i="6"/>
  <c r="BP6" i="6"/>
  <c r="BP39" i="6"/>
  <c r="BP18" i="6"/>
  <c r="BP10" i="6"/>
  <c r="BP20" i="6"/>
  <c r="BP16" i="6"/>
  <c r="BP40" i="6"/>
  <c r="BP35" i="6"/>
  <c r="BP14" i="6"/>
  <c r="BP2" i="6"/>
  <c r="CI3" i="2"/>
  <c r="CH5" i="2"/>
  <c r="BF6" i="8" s="1"/>
  <c r="BO21" i="6"/>
  <c r="BN20" i="8"/>
  <c r="BN16" i="8"/>
  <c r="BE8" i="8"/>
  <c r="BE9" i="8"/>
  <c r="BE10" i="8"/>
  <c r="BE7" i="8"/>
  <c r="BN21" i="8"/>
  <c r="BN19" i="8"/>
  <c r="BO19" i="8" s="1"/>
  <c r="BN64" i="8"/>
  <c r="BN50" i="8"/>
  <c r="BN53" i="8" s="1"/>
  <c r="BN31" i="8"/>
  <c r="BN32" i="8"/>
  <c r="BN30" i="8"/>
  <c r="BN33" i="8"/>
  <c r="BN35" i="8"/>
  <c r="BN29" i="8"/>
  <c r="BN36" i="8"/>
  <c r="BN34" i="8"/>
  <c r="BM39" i="8"/>
  <c r="BM40" i="8"/>
  <c r="BO1" i="8"/>
  <c r="BN2" i="8"/>
  <c r="BN12" i="7"/>
  <c r="BN18" i="7" s="1"/>
  <c r="BE11" i="8" l="1"/>
  <c r="BE26" i="8" s="1"/>
  <c r="BO45" i="6"/>
  <c r="BO49" i="6" s="1"/>
  <c r="BK45" i="8" s="1"/>
  <c r="BO21" i="8"/>
  <c r="BO22" i="8"/>
  <c r="CJ3" i="2"/>
  <c r="CI5" i="2"/>
  <c r="BG6" i="8" s="1"/>
  <c r="CP1" i="2"/>
  <c r="CO4" i="2"/>
  <c r="AE51" i="8"/>
  <c r="AD6" i="7"/>
  <c r="AD9" i="7" s="1"/>
  <c r="AE4" i="7" s="1"/>
  <c r="BP41" i="6"/>
  <c r="BO18" i="8"/>
  <c r="BN38" i="8"/>
  <c r="BO16" i="8"/>
  <c r="BP19" i="8"/>
  <c r="BR1" i="6"/>
  <c r="BQ39" i="6"/>
  <c r="BQ6" i="6"/>
  <c r="BQ7" i="6"/>
  <c r="BQ8" i="6"/>
  <c r="BQ9" i="6"/>
  <c r="BQ10" i="6"/>
  <c r="BQ11" i="6"/>
  <c r="BQ12" i="6"/>
  <c r="BQ13" i="6"/>
  <c r="BQ14" i="6"/>
  <c r="BQ15" i="6"/>
  <c r="BQ35" i="6"/>
  <c r="BQ30" i="6"/>
  <c r="BQ16" i="6"/>
  <c r="BQ19" i="6"/>
  <c r="BQ20" i="6"/>
  <c r="BQ31" i="6"/>
  <c r="BQ28" i="6"/>
  <c r="BQ34" i="6"/>
  <c r="BQ27" i="6"/>
  <c r="BQ17" i="6"/>
  <c r="BQ29" i="6"/>
  <c r="BQ40" i="6"/>
  <c r="BQ37" i="6"/>
  <c r="BQ26" i="6"/>
  <c r="BQ25" i="6"/>
  <c r="BQ38" i="6"/>
  <c r="BQ18" i="6"/>
  <c r="BQ33" i="6"/>
  <c r="BQ5" i="6"/>
  <c r="BQ36" i="6"/>
  <c r="BQ32" i="6"/>
  <c r="BQ2" i="6"/>
  <c r="BF9" i="8"/>
  <c r="BF10" i="8"/>
  <c r="BF7" i="8"/>
  <c r="BF8" i="8"/>
  <c r="BO23" i="8"/>
  <c r="BP23" i="8" s="1"/>
  <c r="BN2" i="7"/>
  <c r="BM5" i="7"/>
  <c r="BM8" i="7"/>
  <c r="BN52" i="8" s="1"/>
  <c r="BJ14" i="8"/>
  <c r="BI24" i="8"/>
  <c r="BO17" i="8"/>
  <c r="CP2" i="2"/>
  <c r="BP21" i="6"/>
  <c r="BE37" i="8"/>
  <c r="BE41" i="8" s="1"/>
  <c r="BE43" i="8" s="1"/>
  <c r="BE47" i="8" s="1"/>
  <c r="BE55" i="8" s="1"/>
  <c r="BE59" i="8" s="1"/>
  <c r="AD67" i="8"/>
  <c r="AD70" i="8"/>
  <c r="AE69" i="8" s="1"/>
  <c r="BO20" i="8"/>
  <c r="BP20" i="8" s="1"/>
  <c r="BO15" i="8"/>
  <c r="BP15" i="8" s="1"/>
  <c r="BN65" i="8"/>
  <c r="BO64" i="8"/>
  <c r="BO65" i="8" s="1"/>
  <c r="BN39" i="8"/>
  <c r="BN40" i="8"/>
  <c r="BO50" i="8"/>
  <c r="BO53" i="8" s="1"/>
  <c r="BO31" i="8"/>
  <c r="BO30" i="8"/>
  <c r="BO32" i="8"/>
  <c r="BO34" i="8"/>
  <c r="BO36" i="8"/>
  <c r="BO33" i="8"/>
  <c r="BO35" i="8"/>
  <c r="BO29" i="8"/>
  <c r="BP1" i="8"/>
  <c r="BO2" i="8"/>
  <c r="BO38" i="8" s="1"/>
  <c r="BO12" i="7"/>
  <c r="BO18" i="7" s="1"/>
  <c r="BF11" i="8" l="1"/>
  <c r="BF26" i="8" s="1"/>
  <c r="BF37" i="8" s="1"/>
  <c r="BF41" i="8" s="1"/>
  <c r="BF43" i="8" s="1"/>
  <c r="BF47" i="8" s="1"/>
  <c r="BF55" i="8" s="1"/>
  <c r="BF59" i="8" s="1"/>
  <c r="BF67" i="8" s="1"/>
  <c r="BO2" i="7"/>
  <c r="BN8" i="7"/>
  <c r="BO52" i="8" s="1"/>
  <c r="BN5" i="7"/>
  <c r="AE55" i="8"/>
  <c r="CQ1" i="2"/>
  <c r="CP4" i="2"/>
  <c r="BS1" i="6"/>
  <c r="BR38" i="6"/>
  <c r="BR36" i="6"/>
  <c r="BR28" i="6"/>
  <c r="BR11" i="6"/>
  <c r="BR15" i="6"/>
  <c r="BR35" i="6"/>
  <c r="BR27" i="6"/>
  <c r="BR7" i="6"/>
  <c r="BR12" i="6"/>
  <c r="BR18" i="6"/>
  <c r="BR34" i="6"/>
  <c r="BR14" i="6"/>
  <c r="BR37" i="6"/>
  <c r="BR10" i="6"/>
  <c r="BR29" i="6"/>
  <c r="BR40" i="6"/>
  <c r="BR8" i="6"/>
  <c r="BR30" i="6"/>
  <c r="BR31" i="6"/>
  <c r="BR9" i="6"/>
  <c r="BR19" i="6"/>
  <c r="BR13" i="6"/>
  <c r="BR39" i="6"/>
  <c r="BR16" i="6"/>
  <c r="BR25" i="6"/>
  <c r="BR6" i="6"/>
  <c r="BR26" i="6"/>
  <c r="BR20" i="6"/>
  <c r="BR17" i="6"/>
  <c r="BR5" i="6"/>
  <c r="BR33" i="6"/>
  <c r="BR32" i="6"/>
  <c r="BR2" i="6"/>
  <c r="CK3" i="2"/>
  <c r="CJ5" i="2"/>
  <c r="BH6" i="8" s="1"/>
  <c r="CQ2" i="2"/>
  <c r="CR2" i="2" s="1"/>
  <c r="BP22" i="8"/>
  <c r="BE67" i="8"/>
  <c r="BP17" i="8"/>
  <c r="BQ17" i="8" s="1"/>
  <c r="BP21" i="8"/>
  <c r="BP16" i="8"/>
  <c r="BK14" i="8"/>
  <c r="BJ24" i="8"/>
  <c r="AE7" i="7"/>
  <c r="AE5" i="7"/>
  <c r="BQ41" i="6"/>
  <c r="BP18" i="8"/>
  <c r="BQ18" i="8" s="1"/>
  <c r="BG7" i="8"/>
  <c r="BG9" i="8"/>
  <c r="BG10" i="8"/>
  <c r="BG8" i="8"/>
  <c r="BP45" i="6"/>
  <c r="BP49" i="6"/>
  <c r="BL45" i="8" s="1"/>
  <c r="BQ21" i="6"/>
  <c r="BP64" i="8"/>
  <c r="BP65" i="8" s="1"/>
  <c r="BP50" i="8"/>
  <c r="BP53" i="8" s="1"/>
  <c r="BP31" i="8"/>
  <c r="BP30" i="8"/>
  <c r="BP32" i="8"/>
  <c r="BP34" i="8"/>
  <c r="BP36" i="8"/>
  <c r="BP35" i="8"/>
  <c r="BP29" i="8"/>
  <c r="BP33" i="8"/>
  <c r="BO39" i="8"/>
  <c r="BO40" i="8"/>
  <c r="BQ1" i="8"/>
  <c r="BP2" i="8"/>
  <c r="BP12" i="7"/>
  <c r="BP18" i="7" s="1"/>
  <c r="BG11" i="8" l="1"/>
  <c r="BG26" i="8" s="1"/>
  <c r="BG37" i="8" s="1"/>
  <c r="BG41" i="8" s="1"/>
  <c r="BG43" i="8" s="1"/>
  <c r="BG47" i="8" s="1"/>
  <c r="BG55" i="8" s="1"/>
  <c r="BG59" i="8" s="1"/>
  <c r="BG67" i="8" s="1"/>
  <c r="BQ22" i="8"/>
  <c r="BQ15" i="8"/>
  <c r="BQ19" i="8"/>
  <c r="AF51" i="8"/>
  <c r="AF55" i="8" s="1"/>
  <c r="AF59" i="8" s="1"/>
  <c r="AF67" i="8" s="1"/>
  <c r="AE6" i="7"/>
  <c r="AE9" i="7" s="1"/>
  <c r="AF4" i="7" s="1"/>
  <c r="BT1" i="6"/>
  <c r="BS37" i="6"/>
  <c r="BS35" i="6"/>
  <c r="BS36" i="6"/>
  <c r="BS38" i="6"/>
  <c r="BS34" i="6"/>
  <c r="BS10" i="6"/>
  <c r="BS27" i="6"/>
  <c r="BS11" i="6"/>
  <c r="BS32" i="6"/>
  <c r="BS29" i="6"/>
  <c r="BS17" i="6"/>
  <c r="BS5" i="6"/>
  <c r="BS40" i="6"/>
  <c r="BS13" i="6"/>
  <c r="BS14" i="6"/>
  <c r="BS15" i="6"/>
  <c r="BS30" i="6"/>
  <c r="BS39" i="6"/>
  <c r="BS8" i="6"/>
  <c r="BS25" i="6"/>
  <c r="BS26" i="6"/>
  <c r="BS18" i="6"/>
  <c r="BS20" i="6"/>
  <c r="BS7" i="6"/>
  <c r="BS33" i="6"/>
  <c r="BS16" i="6"/>
  <c r="BS9" i="6"/>
  <c r="BS19" i="6"/>
  <c r="BS28" i="6"/>
  <c r="BS6" i="6"/>
  <c r="BS12" i="6"/>
  <c r="BS31" i="6"/>
  <c r="BS2" i="6"/>
  <c r="BH7" i="8"/>
  <c r="BH8" i="8"/>
  <c r="BH9" i="8"/>
  <c r="BH10" i="8"/>
  <c r="CL3" i="2"/>
  <c r="CK5" i="2"/>
  <c r="BI6" i="8" s="1"/>
  <c r="CR1" i="2"/>
  <c r="CQ4" i="2"/>
  <c r="BL14" i="8"/>
  <c r="BK24" i="8"/>
  <c r="AE59" i="8"/>
  <c r="BQ45" i="6"/>
  <c r="BQ49" i="6"/>
  <c r="BM45" i="8" s="1"/>
  <c r="BR41" i="6"/>
  <c r="BP38" i="8"/>
  <c r="BQ23" i="8"/>
  <c r="CS2" i="2"/>
  <c r="BQ16" i="8"/>
  <c r="BR21" i="6"/>
  <c r="BQ20" i="8"/>
  <c r="BQ21" i="8"/>
  <c r="BP2" i="7"/>
  <c r="BO8" i="7"/>
  <c r="BP52" i="8" s="1"/>
  <c r="BO5" i="7"/>
  <c r="BQ64" i="8"/>
  <c r="BQ65" i="8" s="1"/>
  <c r="BQ50" i="8"/>
  <c r="BQ53" i="8" s="1"/>
  <c r="BQ31" i="8"/>
  <c r="BQ32" i="8"/>
  <c r="BQ34" i="8"/>
  <c r="BQ36" i="8"/>
  <c r="BQ30" i="8"/>
  <c r="BQ35" i="8"/>
  <c r="BQ29" i="8"/>
  <c r="BQ33" i="8"/>
  <c r="BP40" i="8"/>
  <c r="BP39" i="8"/>
  <c r="BQ2" i="8"/>
  <c r="BQ38" i="8" s="1"/>
  <c r="BR1" i="8"/>
  <c r="BQ12" i="7"/>
  <c r="BQ18" i="7" s="1"/>
  <c r="BH11" i="8" l="1"/>
  <c r="BH26" i="8" s="1"/>
  <c r="BI7" i="8"/>
  <c r="BI8" i="8"/>
  <c r="BI9" i="8"/>
  <c r="BI10" i="8"/>
  <c r="CM3" i="2"/>
  <c r="CL5" i="2"/>
  <c r="BJ6" i="8" s="1"/>
  <c r="BH37" i="8"/>
  <c r="BH41" i="8" s="1"/>
  <c r="BH43" i="8"/>
  <c r="BU1" i="6"/>
  <c r="BT31" i="6"/>
  <c r="BT30" i="6"/>
  <c r="BT29" i="6"/>
  <c r="BT40" i="6"/>
  <c r="BT26" i="6"/>
  <c r="BT9" i="6"/>
  <c r="BT35" i="6"/>
  <c r="BT7" i="6"/>
  <c r="BT16" i="6"/>
  <c r="BT37" i="6"/>
  <c r="BT34" i="6"/>
  <c r="BT10" i="6"/>
  <c r="BT13" i="6"/>
  <c r="BT14" i="6"/>
  <c r="BT39" i="6"/>
  <c r="BT15" i="6"/>
  <c r="BT38" i="6"/>
  <c r="BT36" i="6"/>
  <c r="BT25" i="6"/>
  <c r="BT17" i="6"/>
  <c r="BT20" i="6"/>
  <c r="BT5" i="6"/>
  <c r="BT33" i="6"/>
  <c r="BT27" i="6"/>
  <c r="BT32" i="6"/>
  <c r="BT28" i="6"/>
  <c r="BT19" i="6"/>
  <c r="BT6" i="6"/>
  <c r="BT11" i="6"/>
  <c r="BT18" i="6"/>
  <c r="BT12" i="6"/>
  <c r="BT8" i="6"/>
  <c r="BT2" i="6"/>
  <c r="BR21" i="8"/>
  <c r="BS21" i="8" s="1"/>
  <c r="BR17" i="8"/>
  <c r="BS17" i="8" s="1"/>
  <c r="AF7" i="7"/>
  <c r="AF5" i="7"/>
  <c r="BR20" i="8"/>
  <c r="BR45" i="6"/>
  <c r="BR49" i="6" s="1"/>
  <c r="BN45" i="8" s="1"/>
  <c r="BR19" i="8"/>
  <c r="BS19" i="8" s="1"/>
  <c r="BR16" i="8"/>
  <c r="BS16" i="8" s="1"/>
  <c r="BS41" i="6"/>
  <c r="BR22" i="8"/>
  <c r="BS22" i="8" s="1"/>
  <c r="BR23" i="8"/>
  <c r="BS23" i="8" s="1"/>
  <c r="BQ2" i="7"/>
  <c r="BP8" i="7"/>
  <c r="BQ52" i="8" s="1"/>
  <c r="BP5" i="7"/>
  <c r="BS21" i="6"/>
  <c r="AE67" i="8"/>
  <c r="AE70" i="8"/>
  <c r="AF69" i="8" s="1"/>
  <c r="AF70" i="8" s="1"/>
  <c r="AG69" i="8" s="1"/>
  <c r="BR15" i="8"/>
  <c r="BS15" i="8" s="1"/>
  <c r="BM14" i="8"/>
  <c r="BL24" i="8"/>
  <c r="BR18" i="8"/>
  <c r="BS18" i="8" s="1"/>
  <c r="CS1" i="2"/>
  <c r="CR4" i="2"/>
  <c r="BR64" i="8"/>
  <c r="BR65" i="8" s="1"/>
  <c r="BR50" i="8"/>
  <c r="BR53" i="8" s="1"/>
  <c r="BR30" i="8"/>
  <c r="BR32" i="8"/>
  <c r="BR34" i="8"/>
  <c r="BR36" i="8"/>
  <c r="BR31" i="8"/>
  <c r="BR35" i="8"/>
  <c r="BR29" i="8"/>
  <c r="BR33" i="8"/>
  <c r="BQ40" i="8"/>
  <c r="BQ39" i="8"/>
  <c r="BR2" i="8"/>
  <c r="BR38" i="8" s="1"/>
  <c r="BS1" i="8"/>
  <c r="BR12" i="7"/>
  <c r="BR18" i="7" s="1"/>
  <c r="BI11" i="8" l="1"/>
  <c r="BI26" i="8" s="1"/>
  <c r="BI37" i="8" s="1"/>
  <c r="BI41" i="8" s="1"/>
  <c r="BI43" i="8" s="1"/>
  <c r="BI47" i="8" s="1"/>
  <c r="BI55" i="8" s="1"/>
  <c r="BI59" i="8" s="1"/>
  <c r="BI67" i="8" s="1"/>
  <c r="CT1" i="2"/>
  <c r="CS4" i="2"/>
  <c r="BJ7" i="8"/>
  <c r="BJ9" i="8"/>
  <c r="BJ10" i="8"/>
  <c r="BJ8" i="8"/>
  <c r="BH47" i="8"/>
  <c r="BT21" i="6"/>
  <c r="CT2" i="2"/>
  <c r="CU2" i="2" s="1"/>
  <c r="BR2" i="7"/>
  <c r="BQ5" i="7"/>
  <c r="BQ8" i="7"/>
  <c r="BR52" i="8" s="1"/>
  <c r="CN3" i="2"/>
  <c r="CM5" i="2"/>
  <c r="BK6" i="8" s="1"/>
  <c r="BS45" i="6"/>
  <c r="BS49" i="6" s="1"/>
  <c r="BO45" i="8" s="1"/>
  <c r="BS20" i="8"/>
  <c r="BV1" i="6"/>
  <c r="BU36" i="6"/>
  <c r="BU34" i="6"/>
  <c r="BU28" i="6"/>
  <c r="BU26" i="6"/>
  <c r="BU38" i="6"/>
  <c r="BU8" i="6"/>
  <c r="BU6" i="6"/>
  <c r="BU10" i="6"/>
  <c r="BU14" i="6"/>
  <c r="BU32" i="6"/>
  <c r="BU40" i="6"/>
  <c r="BU25" i="6"/>
  <c r="BU11" i="6"/>
  <c r="BU15" i="6"/>
  <c r="BU37" i="6"/>
  <c r="BU35" i="6"/>
  <c r="BU30" i="6"/>
  <c r="BU29" i="6"/>
  <c r="BU39" i="6"/>
  <c r="BU13" i="6"/>
  <c r="BU33" i="6"/>
  <c r="BU12" i="6"/>
  <c r="BU5" i="6"/>
  <c r="BU18" i="6"/>
  <c r="BU7" i="6"/>
  <c r="BU9" i="6"/>
  <c r="BU19" i="6"/>
  <c r="BU27" i="6"/>
  <c r="BU31" i="6"/>
  <c r="BU16" i="6"/>
  <c r="BU17" i="6"/>
  <c r="BU20" i="6"/>
  <c r="BU2" i="6"/>
  <c r="BT41" i="6"/>
  <c r="BN14" i="8"/>
  <c r="BM24" i="8"/>
  <c r="AG51" i="8"/>
  <c r="AF6" i="7"/>
  <c r="AF9" i="7" s="1"/>
  <c r="AG4" i="7" s="1"/>
  <c r="BS64" i="8"/>
  <c r="BS65" i="8" s="1"/>
  <c r="BS50" i="8"/>
  <c r="BS53" i="8" s="1"/>
  <c r="BS30" i="8"/>
  <c r="BS32" i="8"/>
  <c r="BS31" i="8"/>
  <c r="BS33" i="8"/>
  <c r="BS35" i="8"/>
  <c r="BS34" i="8"/>
  <c r="BS36" i="8"/>
  <c r="BS29" i="8"/>
  <c r="BR39" i="8"/>
  <c r="BR40" i="8"/>
  <c r="BS2" i="8"/>
  <c r="BS38" i="8" s="1"/>
  <c r="BT1" i="8"/>
  <c r="BT21" i="8" s="1"/>
  <c r="BS12" i="7"/>
  <c r="BS18" i="7" s="1"/>
  <c r="BJ11" i="8" l="1"/>
  <c r="BJ26" i="8" s="1"/>
  <c r="BJ37" i="8" s="1"/>
  <c r="BJ41" i="8" s="1"/>
  <c r="BJ43" i="8" s="1"/>
  <c r="BJ47" i="8" s="1"/>
  <c r="BH55" i="8"/>
  <c r="BK8" i="8"/>
  <c r="BK7" i="8"/>
  <c r="BK9" i="8"/>
  <c r="BK10" i="8"/>
  <c r="AG55" i="8"/>
  <c r="BT15" i="8"/>
  <c r="BU15" i="8" s="1"/>
  <c r="BJ55" i="8"/>
  <c r="BJ59" i="8" s="1"/>
  <c r="BJ67" i="8" s="1"/>
  <c r="BU41" i="6"/>
  <c r="BW1" i="6"/>
  <c r="BV33" i="6"/>
  <c r="BV40" i="6"/>
  <c r="BV34" i="6"/>
  <c r="BV7" i="6"/>
  <c r="BV32" i="6"/>
  <c r="BV10" i="6"/>
  <c r="BV29" i="6"/>
  <c r="BV6" i="6"/>
  <c r="BV39" i="6"/>
  <c r="BV31" i="6"/>
  <c r="BV35" i="6"/>
  <c r="BV30" i="6"/>
  <c r="BV16" i="6"/>
  <c r="BV38" i="6"/>
  <c r="BV37" i="6"/>
  <c r="BV36" i="6"/>
  <c r="BV25" i="6"/>
  <c r="BV14" i="6"/>
  <c r="BV13" i="6"/>
  <c r="BV15" i="6"/>
  <c r="BV19" i="6"/>
  <c r="BV8" i="6"/>
  <c r="BV17" i="6"/>
  <c r="BV28" i="6"/>
  <c r="BV27" i="6"/>
  <c r="BV12" i="6"/>
  <c r="BV5" i="6"/>
  <c r="BV11" i="6"/>
  <c r="BV26" i="6"/>
  <c r="BV9" i="6"/>
  <c r="BV18" i="6"/>
  <c r="BV20" i="6"/>
  <c r="BV2" i="6"/>
  <c r="BS2" i="7"/>
  <c r="BR8" i="7"/>
  <c r="BS52" i="8" s="1"/>
  <c r="BR5" i="7"/>
  <c r="BT18" i="8"/>
  <c r="BU21" i="6"/>
  <c r="BT20" i="8"/>
  <c r="BU20" i="8" s="1"/>
  <c r="BT16" i="8"/>
  <c r="BU16" i="8" s="1"/>
  <c r="AG7" i="7"/>
  <c r="AG5" i="7"/>
  <c r="BT22" i="8"/>
  <c r="BU22" i="8" s="1"/>
  <c r="BO14" i="8"/>
  <c r="BN24" i="8"/>
  <c r="BT23" i="8"/>
  <c r="BT19" i="8"/>
  <c r="CO3" i="2"/>
  <c r="CN5" i="2"/>
  <c r="BL6" i="8" s="1"/>
  <c r="BT45" i="6"/>
  <c r="BT49" i="6" s="1"/>
  <c r="BP45" i="8" s="1"/>
  <c r="CU1" i="2"/>
  <c r="CT4" i="2"/>
  <c r="BT17" i="8"/>
  <c r="BU17" i="8" s="1"/>
  <c r="BT64" i="8"/>
  <c r="BT65" i="8" s="1"/>
  <c r="BT50" i="8"/>
  <c r="BT53" i="8" s="1"/>
  <c r="BT30" i="8"/>
  <c r="BT32" i="8"/>
  <c r="BT31" i="8"/>
  <c r="BT33" i="8"/>
  <c r="BT35" i="8"/>
  <c r="BT34" i="8"/>
  <c r="BT36" i="8"/>
  <c r="BT29" i="8"/>
  <c r="BS40" i="8"/>
  <c r="BS39" i="8"/>
  <c r="BU1" i="8"/>
  <c r="BT2" i="8"/>
  <c r="BT38" i="8" s="1"/>
  <c r="BT12" i="7"/>
  <c r="BT18" i="7" s="1"/>
  <c r="BK11" i="8" l="1"/>
  <c r="BK26" i="8" s="1"/>
  <c r="CV1" i="2"/>
  <c r="CU4" i="2"/>
  <c r="BK37" i="8"/>
  <c r="BK41" i="8" s="1"/>
  <c r="BK43" i="8" s="1"/>
  <c r="BL8" i="8"/>
  <c r="BL10" i="8"/>
  <c r="BL7" i="8"/>
  <c r="BL9" i="8"/>
  <c r="BU18" i="8"/>
  <c r="BX1" i="6"/>
  <c r="BW40" i="6"/>
  <c r="BW32" i="6"/>
  <c r="BW6" i="6"/>
  <c r="BW29" i="6"/>
  <c r="BW25" i="6"/>
  <c r="BW38" i="6"/>
  <c r="BW37" i="6"/>
  <c r="BW33" i="6"/>
  <c r="BW26" i="6"/>
  <c r="BW35" i="6"/>
  <c r="BW30" i="6"/>
  <c r="BW8" i="6"/>
  <c r="BW9" i="6"/>
  <c r="BW15" i="6"/>
  <c r="BW39" i="6"/>
  <c r="BW34" i="6"/>
  <c r="BW7" i="6"/>
  <c r="BW36" i="6"/>
  <c r="BW16" i="6"/>
  <c r="BW10" i="6"/>
  <c r="BW14" i="6"/>
  <c r="BW19" i="6"/>
  <c r="BW28" i="6"/>
  <c r="BW17" i="6"/>
  <c r="BW12" i="6"/>
  <c r="BW5" i="6"/>
  <c r="BW31" i="6"/>
  <c r="BW13" i="6"/>
  <c r="BW27" i="6"/>
  <c r="BW11" i="6"/>
  <c r="BW18" i="6"/>
  <c r="BW20" i="6"/>
  <c r="BW2" i="6"/>
  <c r="CV2" i="2"/>
  <c r="CW2" i="2" s="1"/>
  <c r="AH51" i="8"/>
  <c r="AG6" i="7"/>
  <c r="AG9" i="7" s="1"/>
  <c r="AH4" i="7" s="1"/>
  <c r="BU23" i="8"/>
  <c r="BT2" i="7"/>
  <c r="BS8" i="7"/>
  <c r="BT52" i="8" s="1"/>
  <c r="BS5" i="7"/>
  <c r="BU45" i="6"/>
  <c r="BU49" i="6" s="1"/>
  <c r="BQ45" i="8" s="1"/>
  <c r="BH59" i="8"/>
  <c r="BV41" i="6"/>
  <c r="AG59" i="8"/>
  <c r="BV21" i="6"/>
  <c r="CP3" i="2"/>
  <c r="CO5" i="2"/>
  <c r="BM6" i="8" s="1"/>
  <c r="BU19" i="8"/>
  <c r="BP14" i="8"/>
  <c r="BO24" i="8"/>
  <c r="BU21" i="8"/>
  <c r="BV21" i="8" s="1"/>
  <c r="BU64" i="8"/>
  <c r="BU65" i="8" s="1"/>
  <c r="BU50" i="8"/>
  <c r="BU53" i="8" s="1"/>
  <c r="BU30" i="8"/>
  <c r="BU33" i="8"/>
  <c r="BU35" i="8"/>
  <c r="BU32" i="8"/>
  <c r="BU34" i="8"/>
  <c r="BU31" i="8"/>
  <c r="BU36" i="8"/>
  <c r="BU29" i="8"/>
  <c r="BT39" i="8"/>
  <c r="BT40" i="8"/>
  <c r="BV1" i="8"/>
  <c r="BV20" i="8" s="1"/>
  <c r="BU2" i="8"/>
  <c r="BV22" i="8" s="1"/>
  <c r="BU12" i="7"/>
  <c r="BU18" i="7" s="1"/>
  <c r="BL11" i="8" l="1"/>
  <c r="BL26" i="8" s="1"/>
  <c r="BL37" i="8"/>
  <c r="BL41" i="8" s="1"/>
  <c r="BL43" i="8"/>
  <c r="BL47" i="8" s="1"/>
  <c r="BK47" i="8"/>
  <c r="CX2" i="2"/>
  <c r="BQ14" i="8"/>
  <c r="BP24" i="8"/>
  <c r="BV19" i="8"/>
  <c r="BW19" i="8" s="1"/>
  <c r="BM8" i="8"/>
  <c r="BM9" i="8"/>
  <c r="BM7" i="8"/>
  <c r="BM10" i="8"/>
  <c r="BV15" i="8"/>
  <c r="CQ3" i="2"/>
  <c r="CP5" i="2"/>
  <c r="BN6" i="8" s="1"/>
  <c r="BV45" i="6"/>
  <c r="BV49" i="6" s="1"/>
  <c r="BR45" i="8" s="1"/>
  <c r="BW41" i="6"/>
  <c r="BU2" i="7"/>
  <c r="BT8" i="7"/>
  <c r="BU52" i="8" s="1"/>
  <c r="BT5" i="7"/>
  <c r="AG70" i="8"/>
  <c r="AH69" i="8" s="1"/>
  <c r="AG67" i="8"/>
  <c r="BV23" i="8"/>
  <c r="BU38" i="8"/>
  <c r="BV18" i="8"/>
  <c r="BW18" i="8" s="1"/>
  <c r="BV16" i="8"/>
  <c r="BW16" i="8" s="1"/>
  <c r="BW21" i="6"/>
  <c r="BV17" i="8"/>
  <c r="BW17" i="8" s="1"/>
  <c r="AH7" i="7"/>
  <c r="AH5" i="7"/>
  <c r="BH67" i="8"/>
  <c r="AH55" i="8"/>
  <c r="BY1" i="6"/>
  <c r="BX39" i="6"/>
  <c r="BX38" i="6"/>
  <c r="BX37" i="6"/>
  <c r="BX33" i="6"/>
  <c r="BX25" i="6"/>
  <c r="BX41" i="6" s="1"/>
  <c r="BX9" i="6"/>
  <c r="BX13" i="6"/>
  <c r="BX31" i="6"/>
  <c r="BX10" i="6"/>
  <c r="BX14" i="6"/>
  <c r="BX27" i="6"/>
  <c r="BX6" i="6"/>
  <c r="BX7" i="6"/>
  <c r="BX40" i="6"/>
  <c r="BX36" i="6"/>
  <c r="BX12" i="6"/>
  <c r="BX30" i="6"/>
  <c r="BX16" i="6"/>
  <c r="BX28" i="6"/>
  <c r="BX20" i="6"/>
  <c r="BX32" i="6"/>
  <c r="BX8" i="6"/>
  <c r="BX17" i="6"/>
  <c r="BX35" i="6"/>
  <c r="BX5" i="6"/>
  <c r="BX29" i="6"/>
  <c r="BX26" i="6"/>
  <c r="BX15" i="6"/>
  <c r="BX19" i="6"/>
  <c r="BX34" i="6"/>
  <c r="BX11" i="6"/>
  <c r="BX18" i="6"/>
  <c r="BX2" i="6"/>
  <c r="CW1" i="2"/>
  <c r="CV4" i="2"/>
  <c r="BV64" i="8"/>
  <c r="BV65" i="8" s="1"/>
  <c r="BU39" i="8"/>
  <c r="BU40" i="8"/>
  <c r="BV50" i="8"/>
  <c r="BV53" i="8" s="1"/>
  <c r="BV31" i="8"/>
  <c r="BV33" i="8"/>
  <c r="BV35" i="8"/>
  <c r="BV30" i="8"/>
  <c r="BV32" i="8"/>
  <c r="BV29" i="8"/>
  <c r="BV34" i="8"/>
  <c r="BV36" i="8"/>
  <c r="BW1" i="8"/>
  <c r="BV2" i="8"/>
  <c r="BV12" i="7"/>
  <c r="BV18" i="7" s="1"/>
  <c r="BM11" i="8" l="1"/>
  <c r="BM26" i="8" s="1"/>
  <c r="BM37" i="8" s="1"/>
  <c r="BM41" i="8" s="1"/>
  <c r="BM43" i="8" s="1"/>
  <c r="BM47" i="8" s="1"/>
  <c r="BX21" i="6"/>
  <c r="BR14" i="8"/>
  <c r="BQ24" i="8"/>
  <c r="BV38" i="8"/>
  <c r="BW38" i="8"/>
  <c r="BN10" i="8"/>
  <c r="BN7" i="8"/>
  <c r="BN9" i="8"/>
  <c r="BN8" i="8"/>
  <c r="CX1" i="2"/>
  <c r="CW4" i="2"/>
  <c r="CR3" i="2"/>
  <c r="CQ5" i="2"/>
  <c r="BO6" i="8" s="1"/>
  <c r="BW22" i="8"/>
  <c r="BW21" i="8"/>
  <c r="BX21" i="8" s="1"/>
  <c r="BW15" i="8"/>
  <c r="BX15" i="8" s="1"/>
  <c r="BV2" i="7"/>
  <c r="BU8" i="7"/>
  <c r="BV52" i="8" s="1"/>
  <c r="BU5" i="7"/>
  <c r="BW23" i="8"/>
  <c r="BK55" i="8"/>
  <c r="BW45" i="6"/>
  <c r="BW49" i="6"/>
  <c r="BS45" i="8" s="1"/>
  <c r="BX17" i="8"/>
  <c r="BX16" i="8"/>
  <c r="BZ1" i="6"/>
  <c r="BY36" i="6"/>
  <c r="BY35" i="6"/>
  <c r="BY40" i="6"/>
  <c r="BY37" i="6"/>
  <c r="BY31" i="6"/>
  <c r="BY27" i="6"/>
  <c r="BY9" i="6"/>
  <c r="BY39" i="6"/>
  <c r="BY26" i="6"/>
  <c r="BY13" i="6"/>
  <c r="BY6" i="6"/>
  <c r="BY30" i="6"/>
  <c r="BY38" i="6"/>
  <c r="BY25" i="6"/>
  <c r="BY7" i="6"/>
  <c r="BY12" i="6"/>
  <c r="BY33" i="6"/>
  <c r="BY10" i="6"/>
  <c r="BY16" i="6"/>
  <c r="BY18" i="6"/>
  <c r="BY8" i="6"/>
  <c r="BY20" i="6"/>
  <c r="BY15" i="6"/>
  <c r="BY19" i="6"/>
  <c r="BY34" i="6"/>
  <c r="BY29" i="6"/>
  <c r="BY17" i="6"/>
  <c r="BY5" i="6"/>
  <c r="BY32" i="6"/>
  <c r="BY14" i="6"/>
  <c r="BY11" i="6"/>
  <c r="BY28" i="6"/>
  <c r="BY2" i="6"/>
  <c r="AH59" i="8"/>
  <c r="AH67" i="8" s="1"/>
  <c r="BW20" i="8"/>
  <c r="AH6" i="7"/>
  <c r="AH9" i="7" s="1"/>
  <c r="AI4" i="7" s="1"/>
  <c r="AI51" i="8"/>
  <c r="AI55" i="8" s="1"/>
  <c r="AI59" i="8" s="1"/>
  <c r="AI67" i="8" s="1"/>
  <c r="BW64" i="8"/>
  <c r="BW65" i="8" s="1"/>
  <c r="BV40" i="8"/>
  <c r="BV39" i="8"/>
  <c r="BW50" i="8"/>
  <c r="BW53" i="8" s="1"/>
  <c r="BW31" i="8"/>
  <c r="BW30" i="8"/>
  <c r="BW32" i="8"/>
  <c r="BW34" i="8"/>
  <c r="BW36" i="8"/>
  <c r="BW33" i="8"/>
  <c r="BW35" i="8"/>
  <c r="BW29" i="8"/>
  <c r="BX1" i="8"/>
  <c r="BX19" i="8" s="1"/>
  <c r="BW2" i="8"/>
  <c r="BW12" i="7"/>
  <c r="BW18" i="7" s="1"/>
  <c r="BN11" i="8" l="1"/>
  <c r="BN26" i="8" s="1"/>
  <c r="BN37" i="8" s="1"/>
  <c r="BN41" i="8" s="1"/>
  <c r="BN43" i="8" s="1"/>
  <c r="BN47" i="8" s="1"/>
  <c r="BW2" i="7"/>
  <c r="BV8" i="7"/>
  <c r="BW52" i="8" s="1"/>
  <c r="BV5" i="7"/>
  <c r="BO7" i="8"/>
  <c r="BO9" i="8"/>
  <c r="BO10" i="8"/>
  <c r="BO8" i="8"/>
  <c r="BS14" i="8"/>
  <c r="BR24" i="8"/>
  <c r="BY21" i="6"/>
  <c r="CS3" i="2"/>
  <c r="CR5" i="2"/>
  <c r="BP6" i="8" s="1"/>
  <c r="BX45" i="6"/>
  <c r="BX49" i="6"/>
  <c r="BT45" i="8" s="1"/>
  <c r="AH70" i="8"/>
  <c r="AI69" i="8" s="1"/>
  <c r="AI70" i="8" s="1"/>
  <c r="AJ69" i="8" s="1"/>
  <c r="BK59" i="8"/>
  <c r="BY15" i="8"/>
  <c r="BY41" i="6"/>
  <c r="CY1" i="2"/>
  <c r="CX4" i="2"/>
  <c r="BY17" i="8"/>
  <c r="BX22" i="8"/>
  <c r="BY22" i="8" s="1"/>
  <c r="BX23" i="8"/>
  <c r="BY23" i="8" s="1"/>
  <c r="AI7" i="7"/>
  <c r="AI5" i="7"/>
  <c r="CY2" i="2"/>
  <c r="CZ2" i="2" s="1"/>
  <c r="BY16" i="8"/>
  <c r="BX20" i="8"/>
  <c r="CA1" i="6"/>
  <c r="BZ34" i="6"/>
  <c r="BZ33" i="6"/>
  <c r="BZ32" i="6"/>
  <c r="BZ25" i="6"/>
  <c r="BZ30" i="6"/>
  <c r="BZ15" i="6"/>
  <c r="BZ16" i="6"/>
  <c r="BZ17" i="6"/>
  <c r="BZ18" i="6"/>
  <c r="BZ39" i="6"/>
  <c r="BZ31" i="6"/>
  <c r="BZ26" i="6"/>
  <c r="BZ19" i="6"/>
  <c r="BZ20" i="6"/>
  <c r="BZ40" i="6"/>
  <c r="BZ38" i="6"/>
  <c r="BZ36" i="6"/>
  <c r="BZ28" i="6"/>
  <c r="BZ10" i="6"/>
  <c r="BZ11" i="6"/>
  <c r="BZ12" i="6"/>
  <c r="BZ37" i="6"/>
  <c r="BZ7" i="6"/>
  <c r="BZ14" i="6"/>
  <c r="BZ29" i="6"/>
  <c r="BZ6" i="6"/>
  <c r="BZ35" i="6"/>
  <c r="BZ8" i="6"/>
  <c r="BZ27" i="6"/>
  <c r="BZ13" i="6"/>
  <c r="BZ5" i="6"/>
  <c r="BZ9" i="6"/>
  <c r="BZ2" i="6"/>
  <c r="BX18" i="8"/>
  <c r="BX64" i="8"/>
  <c r="BW39" i="8"/>
  <c r="BW40" i="8"/>
  <c r="BX50" i="8"/>
  <c r="BX53" i="8" s="1"/>
  <c r="BX31" i="8"/>
  <c r="BX30" i="8"/>
  <c r="BX32" i="8"/>
  <c r="BX34" i="8"/>
  <c r="BX36" i="8"/>
  <c r="BX29" i="8"/>
  <c r="BX35" i="8"/>
  <c r="BX33" i="8"/>
  <c r="BY1" i="8"/>
  <c r="BX2" i="8"/>
  <c r="BX38" i="8" s="1"/>
  <c r="BX12" i="7"/>
  <c r="BX18" i="7" s="1"/>
  <c r="BO11" i="8" l="1"/>
  <c r="BO26" i="8" s="1"/>
  <c r="BO37" i="8" s="1"/>
  <c r="BO41" i="8" s="1"/>
  <c r="BO43" i="8" s="1"/>
  <c r="BO47" i="8" s="1"/>
  <c r="BZ41" i="6"/>
  <c r="BP9" i="8"/>
  <c r="BP8" i="8"/>
  <c r="BP10" i="8"/>
  <c r="BP7" i="8"/>
  <c r="BX2" i="7"/>
  <c r="BW5" i="7"/>
  <c r="BW8" i="7"/>
  <c r="BX52" i="8" s="1"/>
  <c r="CT3" i="2"/>
  <c r="CS5" i="2"/>
  <c r="BQ6" i="8" s="1"/>
  <c r="BY45" i="6"/>
  <c r="BY49" i="6"/>
  <c r="BU45" i="8" s="1"/>
  <c r="DA2" i="2"/>
  <c r="BZ21" i="6"/>
  <c r="AI6" i="7"/>
  <c r="AI9" i="7" s="1"/>
  <c r="AJ4" i="7" s="1"/>
  <c r="AJ51" i="8"/>
  <c r="AJ55" i="8" s="1"/>
  <c r="AJ59" i="8" s="1"/>
  <c r="AJ67" i="8" s="1"/>
  <c r="CB1" i="6"/>
  <c r="CA39" i="6"/>
  <c r="CA27" i="6"/>
  <c r="CA37" i="6"/>
  <c r="CA33" i="6"/>
  <c r="CA31" i="6"/>
  <c r="CA29" i="6"/>
  <c r="CA14" i="6"/>
  <c r="CA40" i="6"/>
  <c r="CA38" i="6"/>
  <c r="CA8" i="6"/>
  <c r="CA12" i="6"/>
  <c r="CA9" i="6"/>
  <c r="CA13" i="6"/>
  <c r="CA36" i="6"/>
  <c r="CA25" i="6"/>
  <c r="CA7" i="6"/>
  <c r="CA30" i="6"/>
  <c r="CA11" i="6"/>
  <c r="CA32" i="6"/>
  <c r="CA34" i="6"/>
  <c r="CA15" i="6"/>
  <c r="CA18" i="6"/>
  <c r="CA20" i="6"/>
  <c r="CA26" i="6"/>
  <c r="CA17" i="6"/>
  <c r="CA5" i="6"/>
  <c r="CA35" i="6"/>
  <c r="CA6" i="6"/>
  <c r="CA10" i="6"/>
  <c r="CA19" i="6"/>
  <c r="CA16" i="6"/>
  <c r="CA28" i="6"/>
  <c r="CA2" i="6"/>
  <c r="BY20" i="8"/>
  <c r="BT14" i="8"/>
  <c r="BS24" i="8"/>
  <c r="CZ1" i="2"/>
  <c r="CY4" i="2"/>
  <c r="BY18" i="8"/>
  <c r="BY21" i="8"/>
  <c r="BY19" i="8"/>
  <c r="BX65" i="8"/>
  <c r="BY64" i="8"/>
  <c r="BY65" i="8" s="1"/>
  <c r="BX40" i="8"/>
  <c r="BX39" i="8"/>
  <c r="BY50" i="8"/>
  <c r="BY53" i="8" s="1"/>
  <c r="BY31" i="8"/>
  <c r="BY34" i="8"/>
  <c r="BY36" i="8"/>
  <c r="BY33" i="8"/>
  <c r="BY29" i="8"/>
  <c r="BY30" i="8"/>
  <c r="BY35" i="8"/>
  <c r="BY32" i="8"/>
  <c r="BY2" i="8"/>
  <c r="BZ1" i="8"/>
  <c r="BZ15" i="8" s="1"/>
  <c r="BY12" i="7"/>
  <c r="BY18" i="7" s="1"/>
  <c r="BK14" i="7"/>
  <c r="BP11" i="8" l="1"/>
  <c r="BP26" i="8" s="1"/>
  <c r="BP37" i="8" s="1"/>
  <c r="BP41" i="8" s="1"/>
  <c r="BP43" i="8" s="1"/>
  <c r="BP47" i="8" s="1"/>
  <c r="BZ20" i="8"/>
  <c r="AJ7" i="7"/>
  <c r="AJ5" i="7"/>
  <c r="BZ21" i="8"/>
  <c r="CA21" i="8" s="1"/>
  <c r="DA1" i="2"/>
  <c r="DB2" i="2" s="1"/>
  <c r="CZ4" i="2"/>
  <c r="BZ23" i="8"/>
  <c r="CA23" i="8" s="1"/>
  <c r="CA41" i="6"/>
  <c r="BQ9" i="8"/>
  <c r="BQ10" i="8"/>
  <c r="BQ8" i="8"/>
  <c r="BQ7" i="8"/>
  <c r="BU14" i="8"/>
  <c r="BT24" i="8"/>
  <c r="BZ19" i="8"/>
  <c r="CA19" i="8" s="1"/>
  <c r="BZ45" i="6"/>
  <c r="BZ49" i="6"/>
  <c r="BV45" i="8" s="1"/>
  <c r="BZ16" i="8"/>
  <c r="BZ22" i="8"/>
  <c r="AJ70" i="8"/>
  <c r="AK69" i="8" s="1"/>
  <c r="CA21" i="6"/>
  <c r="CU3" i="2"/>
  <c r="CT5" i="2"/>
  <c r="BR6" i="8" s="1"/>
  <c r="CC1" i="6"/>
  <c r="CB40" i="6"/>
  <c r="CB38" i="6"/>
  <c r="CB30" i="6"/>
  <c r="CB27" i="6"/>
  <c r="CB39" i="6"/>
  <c r="CB32" i="6"/>
  <c r="CB13" i="6"/>
  <c r="CB18" i="6"/>
  <c r="CB5" i="6"/>
  <c r="CB12" i="6"/>
  <c r="CB37" i="6"/>
  <c r="CB36" i="6"/>
  <c r="CB33" i="6"/>
  <c r="CB28" i="6"/>
  <c r="CB8" i="6"/>
  <c r="CB34" i="6"/>
  <c r="CB29" i="6"/>
  <c r="CB9" i="6"/>
  <c r="CB35" i="6"/>
  <c r="CB31" i="6"/>
  <c r="CB16" i="6"/>
  <c r="CB26" i="6"/>
  <c r="CB25" i="6"/>
  <c r="CB11" i="6"/>
  <c r="CB14" i="6"/>
  <c r="CB6" i="6"/>
  <c r="CB10" i="6"/>
  <c r="CB20" i="6"/>
  <c r="CB17" i="6"/>
  <c r="CB15" i="6"/>
  <c r="CB7" i="6"/>
  <c r="CB19" i="6"/>
  <c r="CB2" i="6"/>
  <c r="BY2" i="7"/>
  <c r="BX5" i="7"/>
  <c r="BX8" i="7"/>
  <c r="BY52" i="8" s="1"/>
  <c r="BZ18" i="8"/>
  <c r="CA18" i="8" s="1"/>
  <c r="BY38" i="8"/>
  <c r="BZ17" i="8"/>
  <c r="CA17" i="8" s="1"/>
  <c r="BZ38" i="8"/>
  <c r="BZ64" i="8"/>
  <c r="BY40" i="8"/>
  <c r="BY39" i="8"/>
  <c r="BZ50" i="8"/>
  <c r="BZ53" i="8" s="1"/>
  <c r="BZ30" i="8"/>
  <c r="BZ34" i="8"/>
  <c r="BZ36" i="8"/>
  <c r="BZ32" i="8"/>
  <c r="BZ33" i="8"/>
  <c r="BZ31" i="8"/>
  <c r="BZ29" i="8"/>
  <c r="BZ35" i="8"/>
  <c r="BZ2" i="8"/>
  <c r="CA1" i="8"/>
  <c r="BK17" i="7"/>
  <c r="BK15" i="7"/>
  <c r="BL51" i="8" s="1"/>
  <c r="BL55" i="8" s="1"/>
  <c r="BL59" i="8" s="1"/>
  <c r="BL67" i="8" s="1"/>
  <c r="BZ12" i="7"/>
  <c r="BZ18" i="7" s="1"/>
  <c r="BQ11" i="8" l="1"/>
  <c r="BQ26" i="8" s="1"/>
  <c r="BQ37" i="8"/>
  <c r="BQ41" i="8" s="1"/>
  <c r="BQ43" i="8"/>
  <c r="BQ47" i="8" s="1"/>
  <c r="CB17" i="8"/>
  <c r="BZ2" i="7"/>
  <c r="BY5" i="7"/>
  <c r="BY8" i="7"/>
  <c r="BZ52" i="8" s="1"/>
  <c r="CV3" i="2"/>
  <c r="CU5" i="2"/>
  <c r="BS6" i="8" s="1"/>
  <c r="AJ6" i="7"/>
  <c r="AJ9" i="7" s="1"/>
  <c r="AK4" i="7" s="1"/>
  <c r="AK51" i="8"/>
  <c r="CA45" i="6"/>
  <c r="CA49" i="6" s="1"/>
  <c r="BW45" i="8" s="1"/>
  <c r="CB18" i="8"/>
  <c r="CD1" i="6"/>
  <c r="CC37" i="6"/>
  <c r="CC6" i="6"/>
  <c r="CC7" i="6"/>
  <c r="CC8" i="6"/>
  <c r="CC9" i="6"/>
  <c r="CC10" i="6"/>
  <c r="CC11" i="6"/>
  <c r="CC12" i="6"/>
  <c r="CC13" i="6"/>
  <c r="CC14" i="6"/>
  <c r="CC29" i="6"/>
  <c r="CC35" i="6"/>
  <c r="CC28" i="6"/>
  <c r="CC25" i="6"/>
  <c r="CC36" i="6"/>
  <c r="CC33" i="6"/>
  <c r="CC17" i="6"/>
  <c r="CC30" i="6"/>
  <c r="CC19" i="6"/>
  <c r="CC20" i="6"/>
  <c r="CC40" i="6"/>
  <c r="CC38" i="6"/>
  <c r="CC31" i="6"/>
  <c r="CC18" i="6"/>
  <c r="CC39" i="6"/>
  <c r="CC26" i="6"/>
  <c r="CC16" i="6"/>
  <c r="CC5" i="6"/>
  <c r="CC27" i="6"/>
  <c r="CC32" i="6"/>
  <c r="CC34" i="6"/>
  <c r="CC15" i="6"/>
  <c r="CC2" i="6"/>
  <c r="CB41" i="6"/>
  <c r="BV14" i="8"/>
  <c r="BU24" i="8"/>
  <c r="CA20" i="8"/>
  <c r="CB20" i="8" s="1"/>
  <c r="CB23" i="8"/>
  <c r="CB19" i="8"/>
  <c r="CB21" i="8"/>
  <c r="CB21" i="6"/>
  <c r="CA38" i="8"/>
  <c r="CA22" i="8"/>
  <c r="CB22" i="8" s="1"/>
  <c r="DB1" i="2"/>
  <c r="DA4" i="2"/>
  <c r="BR9" i="8"/>
  <c r="BR10" i="8"/>
  <c r="BR7" i="8"/>
  <c r="BR8" i="8"/>
  <c r="CA16" i="8"/>
  <c r="CB16" i="8" s="1"/>
  <c r="CA15" i="8"/>
  <c r="CB15" i="8" s="1"/>
  <c r="BZ65" i="8"/>
  <c r="CA64" i="8"/>
  <c r="CA65" i="8" s="1"/>
  <c r="CA50" i="8"/>
  <c r="CA53" i="8" s="1"/>
  <c r="CA30" i="8"/>
  <c r="CA32" i="8"/>
  <c r="CA31" i="8"/>
  <c r="CA33" i="8"/>
  <c r="CA35" i="8"/>
  <c r="CA34" i="8"/>
  <c r="CA36" i="8"/>
  <c r="CA29" i="8"/>
  <c r="BZ40" i="8"/>
  <c r="BZ39" i="8"/>
  <c r="CA2" i="8"/>
  <c r="CB1" i="8"/>
  <c r="BK16" i="7"/>
  <c r="CA12" i="7"/>
  <c r="CA18" i="7" s="1"/>
  <c r="BR11" i="8" l="1"/>
  <c r="BR26" i="8" s="1"/>
  <c r="BR37" i="8" s="1"/>
  <c r="BR41" i="8" s="1"/>
  <c r="BR43" i="8" s="1"/>
  <c r="BR47" i="8" s="1"/>
  <c r="CC21" i="6"/>
  <c r="CW3" i="2"/>
  <c r="CV5" i="2"/>
  <c r="BT6" i="8" s="1"/>
  <c r="CC41" i="6"/>
  <c r="BW14" i="8"/>
  <c r="BV24" i="8"/>
  <c r="CB38" i="8"/>
  <c r="DC1" i="2"/>
  <c r="DB4" i="2"/>
  <c r="DC2" i="2"/>
  <c r="DD2" i="2" s="1"/>
  <c r="CA2" i="7"/>
  <c r="BZ5" i="7"/>
  <c r="BZ8" i="7"/>
  <c r="CA52" i="8" s="1"/>
  <c r="AK55" i="8"/>
  <c r="AK59" i="8" s="1"/>
  <c r="AK70" i="8" s="1"/>
  <c r="AL69" i="8" s="1"/>
  <c r="AK7" i="7"/>
  <c r="AK5" i="7"/>
  <c r="BS9" i="8"/>
  <c r="BS7" i="8"/>
  <c r="BS10" i="8"/>
  <c r="BS8" i="8"/>
  <c r="CE1" i="6"/>
  <c r="CD39" i="6"/>
  <c r="CD32" i="6"/>
  <c r="CD12" i="6"/>
  <c r="CD37" i="6"/>
  <c r="CD28" i="6"/>
  <c r="CD16" i="6"/>
  <c r="CD34" i="6"/>
  <c r="CD29" i="6"/>
  <c r="CD36" i="6"/>
  <c r="CD40" i="6"/>
  <c r="CD33" i="6"/>
  <c r="CD31" i="6"/>
  <c r="CD9" i="6"/>
  <c r="CD35" i="6"/>
  <c r="CD26" i="6"/>
  <c r="CD25" i="6"/>
  <c r="CD15" i="6"/>
  <c r="CD14" i="6"/>
  <c r="CD17" i="6"/>
  <c r="CD5" i="6"/>
  <c r="CD27" i="6"/>
  <c r="CD11" i="6"/>
  <c r="CD18" i="6"/>
  <c r="CD10" i="6"/>
  <c r="CD38" i="6"/>
  <c r="CD8" i="6"/>
  <c r="CD20" i="6"/>
  <c r="CD13" i="6"/>
  <c r="CD6" i="6"/>
  <c r="CD30" i="6"/>
  <c r="CD19" i="6"/>
  <c r="CD7" i="6"/>
  <c r="CD2" i="6"/>
  <c r="CB45" i="6"/>
  <c r="CB49" i="6" s="1"/>
  <c r="BX45" i="8" s="1"/>
  <c r="CB64" i="8"/>
  <c r="CA40" i="8"/>
  <c r="CA39" i="8"/>
  <c r="CB50" i="8"/>
  <c r="CB53" i="8" s="1"/>
  <c r="CB30" i="8"/>
  <c r="CB32" i="8"/>
  <c r="CB31" i="8"/>
  <c r="CB33" i="8"/>
  <c r="CB35" i="8"/>
  <c r="CB34" i="8"/>
  <c r="CB29" i="8"/>
  <c r="CB36" i="8"/>
  <c r="CC1" i="8"/>
  <c r="CC15" i="8" s="1"/>
  <c r="CB2" i="8"/>
  <c r="BK19" i="7"/>
  <c r="BL14" i="7" s="1"/>
  <c r="BL15" i="7" s="1"/>
  <c r="BM51" i="8" s="1"/>
  <c r="CB12" i="7"/>
  <c r="CB18" i="7" s="1"/>
  <c r="BS11" i="8" l="1"/>
  <c r="BS26" i="8" s="1"/>
  <c r="BS37" i="8" s="1"/>
  <c r="BS41" i="8" s="1"/>
  <c r="BS43" i="8" s="1"/>
  <c r="BS47" i="8" s="1"/>
  <c r="BM55" i="8"/>
  <c r="BM59" i="8" s="1"/>
  <c r="BM67" i="8" s="1"/>
  <c r="CC17" i="8"/>
  <c r="CD17" i="8" s="1"/>
  <c r="CC18" i="8"/>
  <c r="CD18" i="8" s="1"/>
  <c r="CD21" i="6"/>
  <c r="CB2" i="7"/>
  <c r="CA5" i="7"/>
  <c r="CA8" i="7"/>
  <c r="CB52" i="8" s="1"/>
  <c r="CD41" i="6"/>
  <c r="AL51" i="8"/>
  <c r="AK6" i="7"/>
  <c r="AK9" i="7" s="1"/>
  <c r="AL4" i="7" s="1"/>
  <c r="CC19" i="8"/>
  <c r="CC23" i="8"/>
  <c r="CC16" i="8"/>
  <c r="BT9" i="8"/>
  <c r="BT7" i="8"/>
  <c r="BT10" i="8"/>
  <c r="BT8" i="8"/>
  <c r="CX3" i="2"/>
  <c r="CW5" i="2"/>
  <c r="BU6" i="8" s="1"/>
  <c r="AK67" i="8"/>
  <c r="CC45" i="6"/>
  <c r="CC49" i="6"/>
  <c r="BY45" i="8" s="1"/>
  <c r="CC38" i="8"/>
  <c r="CC20" i="8"/>
  <c r="CD20" i="8" s="1"/>
  <c r="BX14" i="8"/>
  <c r="BW24" i="8"/>
  <c r="CF1" i="6"/>
  <c r="CE38" i="6"/>
  <c r="CE36" i="6"/>
  <c r="CE39" i="6"/>
  <c r="CE35" i="6"/>
  <c r="CE28" i="6"/>
  <c r="CE11" i="6"/>
  <c r="CE34" i="6"/>
  <c r="CE7" i="6"/>
  <c r="CE15" i="6"/>
  <c r="CE30" i="6"/>
  <c r="CE27" i="6"/>
  <c r="CE8" i="6"/>
  <c r="CE18" i="6"/>
  <c r="CE5" i="6"/>
  <c r="CE26" i="6"/>
  <c r="CE25" i="6"/>
  <c r="CE13" i="6"/>
  <c r="CE32" i="6"/>
  <c r="CE40" i="6"/>
  <c r="CE37" i="6"/>
  <c r="CE33" i="6"/>
  <c r="CE31" i="6"/>
  <c r="CE6" i="6"/>
  <c r="CE9" i="6"/>
  <c r="CE12" i="6"/>
  <c r="CE19" i="6"/>
  <c r="CE29" i="6"/>
  <c r="CE16" i="6"/>
  <c r="CE14" i="6"/>
  <c r="CE20" i="6"/>
  <c r="CE17" i="6"/>
  <c r="CE10" i="6"/>
  <c r="CE2" i="6"/>
  <c r="CC22" i="8"/>
  <c r="CD22" i="8" s="1"/>
  <c r="DD1" i="2"/>
  <c r="DC4" i="2"/>
  <c r="CC21" i="8"/>
  <c r="CB65" i="8"/>
  <c r="CC64" i="8"/>
  <c r="CC65" i="8" s="1"/>
  <c r="CB39" i="8"/>
  <c r="CB40" i="8"/>
  <c r="CC50" i="8"/>
  <c r="CC53" i="8" s="1"/>
  <c r="CC30" i="8"/>
  <c r="CC31" i="8"/>
  <c r="CC33" i="8"/>
  <c r="CC35" i="8"/>
  <c r="CC36" i="8"/>
  <c r="CC32" i="8"/>
  <c r="CC34" i="8"/>
  <c r="CC29" i="8"/>
  <c r="CD1" i="8"/>
  <c r="CD15" i="8" s="1"/>
  <c r="CC2" i="8"/>
  <c r="BL17" i="7"/>
  <c r="BL16" i="7" s="1"/>
  <c r="CC12" i="7"/>
  <c r="CC18" i="7" s="1"/>
  <c r="BT11" i="8" l="1"/>
  <c r="BT26" i="8" s="1"/>
  <c r="CY3" i="2"/>
  <c r="CX5" i="2"/>
  <c r="BV6" i="8" s="1"/>
  <c r="BY14" i="8"/>
  <c r="BX24" i="8"/>
  <c r="CC2" i="7"/>
  <c r="CB8" i="7"/>
  <c r="CC52" i="8" s="1"/>
  <c r="CB5" i="7"/>
  <c r="CD45" i="6"/>
  <c r="CD49" i="6" s="1"/>
  <c r="BZ45" i="8" s="1"/>
  <c r="BT37" i="8"/>
  <c r="BT41" i="8" s="1"/>
  <c r="CD16" i="8"/>
  <c r="AL7" i="7"/>
  <c r="AL5" i="7"/>
  <c r="DE1" i="2"/>
  <c r="DD4" i="2"/>
  <c r="DE2" i="2"/>
  <c r="DF2" i="2" s="1"/>
  <c r="AL55" i="8"/>
  <c r="AL59" i="8" s="1"/>
  <c r="AL70" i="8" s="1"/>
  <c r="AM69" i="8" s="1"/>
  <c r="CD23" i="8"/>
  <c r="CE23" i="8" s="1"/>
  <c r="CG1" i="6"/>
  <c r="CF37" i="6"/>
  <c r="CF35" i="6"/>
  <c r="CF31" i="6"/>
  <c r="CF30" i="6"/>
  <c r="CF29" i="6"/>
  <c r="CF36" i="6"/>
  <c r="CF10" i="6"/>
  <c r="CF11" i="6"/>
  <c r="CF7" i="6"/>
  <c r="CF12" i="6"/>
  <c r="CF17" i="6"/>
  <c r="CF32" i="6"/>
  <c r="CF39" i="6"/>
  <c r="CF6" i="6"/>
  <c r="CF26" i="6"/>
  <c r="CF9" i="6"/>
  <c r="CF34" i="6"/>
  <c r="CF20" i="6"/>
  <c r="CF27" i="6"/>
  <c r="CF15" i="6"/>
  <c r="CF19" i="6"/>
  <c r="CF28" i="6"/>
  <c r="CF38" i="6"/>
  <c r="CF16" i="6"/>
  <c r="CF18" i="6"/>
  <c r="CF14" i="6"/>
  <c r="CF8" i="6"/>
  <c r="CF13" i="6"/>
  <c r="CF33" i="6"/>
  <c r="CF40" i="6"/>
  <c r="CF25" i="6"/>
  <c r="CF5" i="6"/>
  <c r="CF2" i="6"/>
  <c r="CE41" i="6"/>
  <c r="CE21" i="6"/>
  <c r="CD21" i="8"/>
  <c r="BU9" i="8"/>
  <c r="BU10" i="8"/>
  <c r="BU7" i="8"/>
  <c r="BU8" i="8"/>
  <c r="CD19" i="8"/>
  <c r="CD64" i="8"/>
  <c r="CD50" i="8"/>
  <c r="CD53" i="8" s="1"/>
  <c r="CD31" i="8"/>
  <c r="CD32" i="8"/>
  <c r="CD33" i="8"/>
  <c r="CD35" i="8"/>
  <c r="CD29" i="8"/>
  <c r="CD36" i="8"/>
  <c r="CD30" i="8"/>
  <c r="CD34" i="8"/>
  <c r="CC39" i="8"/>
  <c r="CC40" i="8"/>
  <c r="CE1" i="8"/>
  <c r="CD2" i="8"/>
  <c r="CD38" i="8" s="1"/>
  <c r="BM14" i="7"/>
  <c r="BM17" i="7" s="1"/>
  <c r="BL19" i="7"/>
  <c r="CD12" i="7"/>
  <c r="CD18" i="7" s="1"/>
  <c r="BU11" i="8" l="1"/>
  <c r="BU26" i="8" s="1"/>
  <c r="BU37" i="8" s="1"/>
  <c r="BU41" i="8" s="1"/>
  <c r="BU43" i="8" s="1"/>
  <c r="BU47" i="8" s="1"/>
  <c r="AL67" i="8"/>
  <c r="CE22" i="8"/>
  <c r="DF1" i="2"/>
  <c r="DE4" i="2"/>
  <c r="AM51" i="8"/>
  <c r="AL6" i="7"/>
  <c r="AL9" i="7" s="1"/>
  <c r="AM4" i="7" s="1"/>
  <c r="AM7" i="7" s="1"/>
  <c r="AM6" i="7" s="1"/>
  <c r="AM9" i="7" s="1"/>
  <c r="AN4" i="7" s="1"/>
  <c r="AN7" i="7" s="1"/>
  <c r="AN6" i="7" s="1"/>
  <c r="AN9" i="7" s="1"/>
  <c r="AO4" i="7" s="1"/>
  <c r="AO7" i="7" s="1"/>
  <c r="AO6" i="7" s="1"/>
  <c r="AO9" i="7" s="1"/>
  <c r="AP4" i="7" s="1"/>
  <c r="AP7" i="7" s="1"/>
  <c r="AP6" i="7" s="1"/>
  <c r="AP9" i="7" s="1"/>
  <c r="AQ4" i="7" s="1"/>
  <c r="AQ7" i="7" s="1"/>
  <c r="AQ6" i="7" s="1"/>
  <c r="AQ9" i="7" s="1"/>
  <c r="AR4" i="7" s="1"/>
  <c r="AR7" i="7" s="1"/>
  <c r="AR6" i="7" s="1"/>
  <c r="AR9" i="7" s="1"/>
  <c r="AS4" i="7" s="1"/>
  <c r="AS7" i="7" s="1"/>
  <c r="AS6" i="7" s="1"/>
  <c r="AS9" i="7" s="1"/>
  <c r="AT4" i="7" s="1"/>
  <c r="AT7" i="7" s="1"/>
  <c r="AT6" i="7" s="1"/>
  <c r="AT9" i="7" s="1"/>
  <c r="AU4" i="7" s="1"/>
  <c r="AU7" i="7" s="1"/>
  <c r="AU6" i="7" s="1"/>
  <c r="AU9" i="7" s="1"/>
  <c r="AV4" i="7" s="1"/>
  <c r="AV7" i="7" s="1"/>
  <c r="AV6" i="7" s="1"/>
  <c r="AV9" i="7" s="1"/>
  <c r="AW4" i="7" s="1"/>
  <c r="AW7" i="7" s="1"/>
  <c r="AW6" i="7" s="1"/>
  <c r="AW9" i="7" s="1"/>
  <c r="AX4" i="7" s="1"/>
  <c r="AX7" i="7" s="1"/>
  <c r="AX6" i="7" s="1"/>
  <c r="AX9" i="7" s="1"/>
  <c r="AY4" i="7" s="1"/>
  <c r="AY7" i="7" s="1"/>
  <c r="AY6" i="7" s="1"/>
  <c r="AY9" i="7" s="1"/>
  <c r="AZ4" i="7" s="1"/>
  <c r="AZ7" i="7" s="1"/>
  <c r="AZ6" i="7" s="1"/>
  <c r="AZ9" i="7" s="1"/>
  <c r="BA4" i="7" s="1"/>
  <c r="BA7" i="7" s="1"/>
  <c r="BA6" i="7" s="1"/>
  <c r="BA9" i="7" s="1"/>
  <c r="BB4" i="7" s="1"/>
  <c r="BB7" i="7" s="1"/>
  <c r="BB6" i="7" s="1"/>
  <c r="BB9" i="7" s="1"/>
  <c r="BC4" i="7" s="1"/>
  <c r="BC7" i="7" s="1"/>
  <c r="BC6" i="7" s="1"/>
  <c r="BC9" i="7" s="1"/>
  <c r="BD4" i="7" s="1"/>
  <c r="BD7" i="7" s="1"/>
  <c r="BD6" i="7" s="1"/>
  <c r="BD9" i="7" s="1"/>
  <c r="BE4" i="7" s="1"/>
  <c r="BE7" i="7" s="1"/>
  <c r="BE6" i="7" s="1"/>
  <c r="BE9" i="7" s="1"/>
  <c r="BF4" i="7" s="1"/>
  <c r="BF7" i="7" s="1"/>
  <c r="BF6" i="7" s="1"/>
  <c r="BF9" i="7" s="1"/>
  <c r="BG4" i="7" s="1"/>
  <c r="BG7" i="7" s="1"/>
  <c r="BG6" i="7" s="1"/>
  <c r="BG9" i="7" s="1"/>
  <c r="BH4" i="7" s="1"/>
  <c r="BH7" i="7" s="1"/>
  <c r="BH6" i="7" s="1"/>
  <c r="BH9" i="7" s="1"/>
  <c r="BI4" i="7" s="1"/>
  <c r="CD2" i="7"/>
  <c r="CC5" i="7"/>
  <c r="CC8" i="7"/>
  <c r="CD52" i="8" s="1"/>
  <c r="CE21" i="8"/>
  <c r="BZ14" i="8"/>
  <c r="BY24" i="8"/>
  <c r="CE19" i="8"/>
  <c r="CE45" i="6"/>
  <c r="CE49" i="6" s="1"/>
  <c r="CA45" i="8" s="1"/>
  <c r="CE16" i="8"/>
  <c r="BV9" i="8"/>
  <c r="BV8" i="8"/>
  <c r="BV7" i="8"/>
  <c r="BV10" i="8"/>
  <c r="CF21" i="6"/>
  <c r="CE20" i="8"/>
  <c r="BM15" i="7"/>
  <c r="CE18" i="8"/>
  <c r="CZ3" i="2"/>
  <c r="CY5" i="2"/>
  <c r="BW6" i="8" s="1"/>
  <c r="CF41" i="6"/>
  <c r="CE17" i="8"/>
  <c r="CH1" i="6"/>
  <c r="CG28" i="6"/>
  <c r="CG26" i="6"/>
  <c r="CG34" i="6"/>
  <c r="CG9" i="6"/>
  <c r="CG30" i="6"/>
  <c r="CG27" i="6"/>
  <c r="CG11" i="6"/>
  <c r="CG35" i="6"/>
  <c r="CG16" i="6"/>
  <c r="CG36" i="6"/>
  <c r="CG32" i="6"/>
  <c r="CG39" i="6"/>
  <c r="CG33" i="6"/>
  <c r="CG6" i="6"/>
  <c r="CG12" i="6"/>
  <c r="CG29" i="6"/>
  <c r="CG7" i="6"/>
  <c r="CG8" i="6"/>
  <c r="CG31" i="6"/>
  <c r="CG17" i="6"/>
  <c r="CG37" i="6"/>
  <c r="CG38" i="6"/>
  <c r="CG15" i="6"/>
  <c r="CG19" i="6"/>
  <c r="CG40" i="6"/>
  <c r="CG18" i="6"/>
  <c r="CG14" i="6"/>
  <c r="CG13" i="6"/>
  <c r="CG20" i="6"/>
  <c r="CG10" i="6"/>
  <c r="CG25" i="6"/>
  <c r="CG5" i="6"/>
  <c r="CG2" i="6"/>
  <c r="BT43" i="8"/>
  <c r="CE15" i="8"/>
  <c r="CD65" i="8"/>
  <c r="CE64" i="8"/>
  <c r="CE65" i="8" s="1"/>
  <c r="CD39" i="8"/>
  <c r="CD40" i="8"/>
  <c r="CE50" i="8"/>
  <c r="CE53" i="8" s="1"/>
  <c r="CE31" i="8"/>
  <c r="CE30" i="8"/>
  <c r="CE32" i="8"/>
  <c r="CE34" i="8"/>
  <c r="CE36" i="8"/>
  <c r="CE33" i="8"/>
  <c r="CE35" i="8"/>
  <c r="CE29" i="8"/>
  <c r="CE2" i="8"/>
  <c r="CE38" i="8" s="1"/>
  <c r="CF1" i="8"/>
  <c r="CE12" i="7"/>
  <c r="CE18" i="7" s="1"/>
  <c r="BV11" i="8" l="1"/>
  <c r="BV26" i="8" s="1"/>
  <c r="BV37" i="8" s="1"/>
  <c r="BV41" i="8" s="1"/>
  <c r="BV43" i="8" s="1"/>
  <c r="BV47" i="8" s="1"/>
  <c r="CI1" i="6"/>
  <c r="CH36" i="6"/>
  <c r="CH34" i="6"/>
  <c r="CH38" i="6"/>
  <c r="CH26" i="6"/>
  <c r="CH8" i="6"/>
  <c r="CH27" i="6"/>
  <c r="CH7" i="6"/>
  <c r="CH15" i="6"/>
  <c r="CH39" i="6"/>
  <c r="CH14" i="6"/>
  <c r="CH33" i="6"/>
  <c r="CH31" i="6"/>
  <c r="CH11" i="6"/>
  <c r="CH35" i="6"/>
  <c r="CH28" i="6"/>
  <c r="CH6" i="6"/>
  <c r="CH20" i="6"/>
  <c r="CH5" i="6"/>
  <c r="CH37" i="6"/>
  <c r="CH10" i="6"/>
  <c r="CH40" i="6"/>
  <c r="CH13" i="6"/>
  <c r="CH17" i="6"/>
  <c r="CH12" i="6"/>
  <c r="CH19" i="6"/>
  <c r="CH32" i="6"/>
  <c r="CH16" i="6"/>
  <c r="CH18" i="6"/>
  <c r="CH9" i="6"/>
  <c r="CH25" i="6"/>
  <c r="CH29" i="6"/>
  <c r="CH30" i="6"/>
  <c r="CH2" i="6"/>
  <c r="CF15" i="8"/>
  <c r="CG15" i="8" s="1"/>
  <c r="CF17" i="8"/>
  <c r="BI7" i="7"/>
  <c r="BI6" i="7" s="1"/>
  <c r="BI9" i="7" s="1"/>
  <c r="BJ4" i="7" s="1"/>
  <c r="CF18" i="8"/>
  <c r="CG18" i="8" s="1"/>
  <c r="AM55" i="8"/>
  <c r="AM59" i="8" s="1"/>
  <c r="AM70" i="8" s="1"/>
  <c r="AN69" i="8" s="1"/>
  <c r="AN70" i="8" s="1"/>
  <c r="AO69" i="8" s="1"/>
  <c r="AO70" i="8" s="1"/>
  <c r="AP69" i="8" s="1"/>
  <c r="AP70" i="8" s="1"/>
  <c r="AQ69" i="8" s="1"/>
  <c r="AQ70" i="8" s="1"/>
  <c r="AR69" i="8" s="1"/>
  <c r="AR70" i="8" s="1"/>
  <c r="AS69" i="8" s="1"/>
  <c r="AS70" i="8" s="1"/>
  <c r="AT69" i="8" s="1"/>
  <c r="AT70" i="8" s="1"/>
  <c r="AU69" i="8" s="1"/>
  <c r="AU70" i="8" s="1"/>
  <c r="AV69" i="8" s="1"/>
  <c r="AV70" i="8" s="1"/>
  <c r="AW69" i="8" s="1"/>
  <c r="AW70" i="8" s="1"/>
  <c r="AX69" i="8" s="1"/>
  <c r="AX70" i="8" s="1"/>
  <c r="AY69" i="8" s="1"/>
  <c r="AY70" i="8" s="1"/>
  <c r="AZ69" i="8" s="1"/>
  <c r="AZ70" i="8" s="1"/>
  <c r="BA69" i="8" s="1"/>
  <c r="BA70" i="8" s="1"/>
  <c r="BB69" i="8" s="1"/>
  <c r="BB70" i="8" s="1"/>
  <c r="BC69" i="8" s="1"/>
  <c r="BC70" i="8" s="1"/>
  <c r="BD69" i="8" s="1"/>
  <c r="BD70" i="8" s="1"/>
  <c r="BE69" i="8" s="1"/>
  <c r="BE70" i="8" s="1"/>
  <c r="BF69" i="8" s="1"/>
  <c r="BF70" i="8" s="1"/>
  <c r="BG69" i="8" s="1"/>
  <c r="BG70" i="8" s="1"/>
  <c r="BH69" i="8" s="1"/>
  <c r="BH70" i="8" s="1"/>
  <c r="BI69" i="8" s="1"/>
  <c r="BI70" i="8" s="1"/>
  <c r="BJ69" i="8" s="1"/>
  <c r="BJ70" i="8" s="1"/>
  <c r="BK69" i="8" s="1"/>
  <c r="BK70" i="8" s="1"/>
  <c r="BL69" i="8" s="1"/>
  <c r="BL70" i="8" s="1"/>
  <c r="BM69" i="8" s="1"/>
  <c r="BM70" i="8" s="1"/>
  <c r="BN69" i="8" s="1"/>
  <c r="CF16" i="8"/>
  <c r="CG16" i="8" s="1"/>
  <c r="CF19" i="8"/>
  <c r="CG19" i="8" s="1"/>
  <c r="BT47" i="8"/>
  <c r="CG21" i="6"/>
  <c r="CF23" i="8"/>
  <c r="CG23" i="8" s="1"/>
  <c r="BW9" i="8"/>
  <c r="BW10" i="8"/>
  <c r="BW7" i="8"/>
  <c r="BW8" i="8"/>
  <c r="CF20" i="8"/>
  <c r="CG20" i="8" s="1"/>
  <c r="DG1" i="2"/>
  <c r="DF4" i="2"/>
  <c r="CG41" i="6"/>
  <c r="BM16" i="7"/>
  <c r="BM19" i="7" s="1"/>
  <c r="BN14" i="7" s="1"/>
  <c r="BN51" i="8"/>
  <c r="BN55" i="8" s="1"/>
  <c r="CA14" i="8"/>
  <c r="BZ24" i="8"/>
  <c r="DG2" i="2"/>
  <c r="CE2" i="7"/>
  <c r="CD8" i="7"/>
  <c r="CE52" i="8" s="1"/>
  <c r="CD5" i="7"/>
  <c r="DA3" i="2"/>
  <c r="CZ5" i="2"/>
  <c r="BX6" i="8" s="1"/>
  <c r="CF45" i="6"/>
  <c r="CF49" i="6" s="1"/>
  <c r="CB45" i="8" s="1"/>
  <c r="CF38" i="8"/>
  <c r="CF21" i="8"/>
  <c r="CG21" i="8" s="1"/>
  <c r="CF22" i="8"/>
  <c r="CF64" i="8"/>
  <c r="CF50" i="8"/>
  <c r="CF53" i="8" s="1"/>
  <c r="CF31" i="8"/>
  <c r="CF30" i="8"/>
  <c r="CF32" i="8"/>
  <c r="CF34" i="8"/>
  <c r="CF33" i="8"/>
  <c r="CF36" i="8"/>
  <c r="CF29" i="8"/>
  <c r="CF35" i="8"/>
  <c r="CE39" i="8"/>
  <c r="CE40" i="8"/>
  <c r="CF2" i="8"/>
  <c r="CG1" i="8"/>
  <c r="CF12" i="7"/>
  <c r="CF18" i="7" s="1"/>
  <c r="BW11" i="8" l="1"/>
  <c r="BW26" i="8" s="1"/>
  <c r="BW37" i="8" s="1"/>
  <c r="BW41" i="8" s="1"/>
  <c r="BW43" i="8" s="1"/>
  <c r="AM67" i="8"/>
  <c r="BW47" i="8"/>
  <c r="CH41" i="6"/>
  <c r="CG45" i="6"/>
  <c r="CG49" i="6" s="1"/>
  <c r="CC45" i="8" s="1"/>
  <c r="CH21" i="6"/>
  <c r="DH1" i="2"/>
  <c r="DG4" i="2"/>
  <c r="BJ7" i="7"/>
  <c r="BJ6" i="7" s="1"/>
  <c r="BJ8" i="7" s="1"/>
  <c r="BN59" i="8"/>
  <c r="BN67" i="8" s="1"/>
  <c r="BN15" i="7"/>
  <c r="BN17" i="7"/>
  <c r="BX7" i="8"/>
  <c r="BX8" i="8"/>
  <c r="BX9" i="8"/>
  <c r="BX10" i="8"/>
  <c r="DB3" i="2"/>
  <c r="DA5" i="2"/>
  <c r="BY6" i="8" s="1"/>
  <c r="CF2" i="7"/>
  <c r="CE8" i="7"/>
  <c r="CF52" i="8" s="1"/>
  <c r="CE5" i="7"/>
  <c r="CG38" i="8"/>
  <c r="CJ1" i="6"/>
  <c r="CI40" i="6"/>
  <c r="CI33" i="6"/>
  <c r="CI36" i="6"/>
  <c r="CI7" i="6"/>
  <c r="CI6" i="6"/>
  <c r="CI10" i="6"/>
  <c r="CI14" i="6"/>
  <c r="CI35" i="6"/>
  <c r="CI32" i="6"/>
  <c r="CI29" i="6"/>
  <c r="CI25" i="6"/>
  <c r="CI11" i="6"/>
  <c r="CI31" i="6"/>
  <c r="CI38" i="6"/>
  <c r="CI8" i="6"/>
  <c r="CI15" i="6"/>
  <c r="CI26" i="6"/>
  <c r="CI28" i="6"/>
  <c r="CI27" i="6"/>
  <c r="CI17" i="6"/>
  <c r="CI39" i="6"/>
  <c r="CI9" i="6"/>
  <c r="CI13" i="6"/>
  <c r="CI30" i="6"/>
  <c r="CI20" i="6"/>
  <c r="CI12" i="6"/>
  <c r="CI19" i="6"/>
  <c r="CI34" i="6"/>
  <c r="CI16" i="6"/>
  <c r="CI18" i="6"/>
  <c r="CI37" i="6"/>
  <c r="CI5" i="6"/>
  <c r="CI2" i="6"/>
  <c r="CH15" i="8"/>
  <c r="CH19" i="8"/>
  <c r="CH20" i="8"/>
  <c r="DH2" i="2"/>
  <c r="DI2" i="2" s="1"/>
  <c r="CG22" i="8"/>
  <c r="CB14" i="8"/>
  <c r="CA24" i="8"/>
  <c r="CG17" i="8"/>
  <c r="CF65" i="8"/>
  <c r="CG64" i="8"/>
  <c r="CG65" i="8" s="1"/>
  <c r="CG50" i="8"/>
  <c r="CG53" i="8" s="1"/>
  <c r="CG31" i="8"/>
  <c r="CG32" i="8"/>
  <c r="CG34" i="8"/>
  <c r="CG36" i="8"/>
  <c r="CG33" i="8"/>
  <c r="CG29" i="8"/>
  <c r="CG30" i="8"/>
  <c r="CG35" i="8"/>
  <c r="CF40" i="8"/>
  <c r="CF39" i="8"/>
  <c r="CG2" i="8"/>
  <c r="CH1" i="8"/>
  <c r="CH16" i="8" s="1"/>
  <c r="CG12" i="7"/>
  <c r="CG18" i="7" s="1"/>
  <c r="BX11" i="8" l="1"/>
  <c r="BX26" i="8" s="1"/>
  <c r="BX37" i="8"/>
  <c r="BX41" i="8" s="1"/>
  <c r="BX43" i="8" s="1"/>
  <c r="BX47" i="8" s="1"/>
  <c r="CH45" i="6"/>
  <c r="CH49" i="6" s="1"/>
  <c r="CD45" i="8" s="1"/>
  <c r="CI19" i="8"/>
  <c r="CH21" i="8"/>
  <c r="CI21" i="8" s="1"/>
  <c r="CH17" i="8"/>
  <c r="CI17" i="8" s="1"/>
  <c r="DC3" i="2"/>
  <c r="DB5" i="2"/>
  <c r="BZ6" i="8" s="1"/>
  <c r="BN70" i="8"/>
  <c r="BO69" i="8" s="1"/>
  <c r="CK1" i="6"/>
  <c r="CJ39" i="6"/>
  <c r="CJ38" i="6"/>
  <c r="CJ37" i="6"/>
  <c r="CJ32" i="6"/>
  <c r="CJ34" i="6"/>
  <c r="CJ40" i="6"/>
  <c r="CJ6" i="6"/>
  <c r="CJ35" i="6"/>
  <c r="CJ10" i="6"/>
  <c r="CJ33" i="6"/>
  <c r="CJ31" i="6"/>
  <c r="CJ26" i="6"/>
  <c r="CJ28" i="6"/>
  <c r="CJ8" i="6"/>
  <c r="CJ11" i="6"/>
  <c r="CJ15" i="6"/>
  <c r="CJ27" i="6"/>
  <c r="CJ19" i="6"/>
  <c r="CJ5" i="6"/>
  <c r="CJ30" i="6"/>
  <c r="CJ9" i="6"/>
  <c r="CJ7" i="6"/>
  <c r="CJ12" i="6"/>
  <c r="CJ25" i="6"/>
  <c r="CJ36" i="6"/>
  <c r="CJ14" i="6"/>
  <c r="CJ16" i="6"/>
  <c r="CJ18" i="6"/>
  <c r="CJ29" i="6"/>
  <c r="CJ13" i="6"/>
  <c r="CJ17" i="6"/>
  <c r="CJ20" i="6"/>
  <c r="CJ2" i="6"/>
  <c r="CH23" i="8"/>
  <c r="CI23" i="8" s="1"/>
  <c r="CH18" i="8"/>
  <c r="BJ9" i="7"/>
  <c r="BK4" i="7" s="1"/>
  <c r="BK7" i="7" s="1"/>
  <c r="BK6" i="7" s="1"/>
  <c r="BK9" i="7" s="1"/>
  <c r="BL4" i="7" s="1"/>
  <c r="CG2" i="7"/>
  <c r="CF8" i="7"/>
  <c r="CG52" i="8" s="1"/>
  <c r="CF5" i="7"/>
  <c r="CC14" i="8"/>
  <c r="CB24" i="8"/>
  <c r="BK52" i="8"/>
  <c r="BK67" i="8" s="1"/>
  <c r="CI41" i="6"/>
  <c r="CH38" i="8"/>
  <c r="CI21" i="6"/>
  <c r="BN16" i="7"/>
  <c r="BN19" i="7" s="1"/>
  <c r="BO14" i="7" s="1"/>
  <c r="BO51" i="8"/>
  <c r="BO55" i="8" s="1"/>
  <c r="BY8" i="8"/>
  <c r="BY10" i="8"/>
  <c r="BY9" i="8"/>
  <c r="BY7" i="8"/>
  <c r="CH22" i="8"/>
  <c r="CI22" i="8" s="1"/>
  <c r="DI1" i="2"/>
  <c r="DJ2" i="2" s="1"/>
  <c r="DH4" i="2"/>
  <c r="CH64" i="8"/>
  <c r="CH65" i="8" s="1"/>
  <c r="CH50" i="8"/>
  <c r="CH53" i="8" s="1"/>
  <c r="CH30" i="8"/>
  <c r="CH31" i="8"/>
  <c r="CH32" i="8"/>
  <c r="CH34" i="8"/>
  <c r="CH35" i="8"/>
  <c r="CH36" i="8"/>
  <c r="CH33" i="8"/>
  <c r="CH29" i="8"/>
  <c r="CG40" i="8"/>
  <c r="CG39" i="8"/>
  <c r="CH2" i="8"/>
  <c r="CI1" i="8"/>
  <c r="CI16" i="8" s="1"/>
  <c r="CH12" i="7"/>
  <c r="CH18" i="7" s="1"/>
  <c r="BY11" i="8" l="1"/>
  <c r="BY26" i="8" s="1"/>
  <c r="BY37" i="8" s="1"/>
  <c r="BY41" i="8" s="1"/>
  <c r="BY43" i="8" s="1"/>
  <c r="BY47" i="8" s="1"/>
  <c r="CJ23" i="8"/>
  <c r="CJ21" i="8"/>
  <c r="DJ1" i="2"/>
  <c r="DI4" i="2"/>
  <c r="BO17" i="7"/>
  <c r="BO15" i="7"/>
  <c r="CI15" i="8"/>
  <c r="CJ15" i="8" s="1"/>
  <c r="BL7" i="7"/>
  <c r="BL6" i="7" s="1"/>
  <c r="BL9" i="7"/>
  <c r="BM4" i="7" s="1"/>
  <c r="CJ41" i="6"/>
  <c r="CL1" i="6"/>
  <c r="CK36" i="6"/>
  <c r="CK35" i="6"/>
  <c r="CK38" i="6"/>
  <c r="CK29" i="6"/>
  <c r="CK25" i="6"/>
  <c r="CK41" i="6" s="1"/>
  <c r="CK6" i="6"/>
  <c r="CK31" i="6"/>
  <c r="CK26" i="6"/>
  <c r="CK28" i="6"/>
  <c r="CK13" i="6"/>
  <c r="CK14" i="6"/>
  <c r="CK16" i="6"/>
  <c r="CK27" i="6"/>
  <c r="CK8" i="6"/>
  <c r="CK11" i="6"/>
  <c r="CK15" i="6"/>
  <c r="CK32" i="6"/>
  <c r="CK7" i="6"/>
  <c r="CK33" i="6"/>
  <c r="CK40" i="6"/>
  <c r="CK18" i="6"/>
  <c r="CK10" i="6"/>
  <c r="CK5" i="6"/>
  <c r="CK34" i="6"/>
  <c r="CK39" i="6"/>
  <c r="CK19" i="6"/>
  <c r="CK12" i="6"/>
  <c r="CK30" i="6"/>
  <c r="CK17" i="6"/>
  <c r="CK9" i="6"/>
  <c r="CK37" i="6"/>
  <c r="CK20" i="6"/>
  <c r="CK2" i="6"/>
  <c r="BZ8" i="8"/>
  <c r="BZ7" i="8"/>
  <c r="BZ10" i="8"/>
  <c r="BZ9" i="8"/>
  <c r="DD3" i="2"/>
  <c r="DC5" i="2"/>
  <c r="CA6" i="8" s="1"/>
  <c r="CJ21" i="6"/>
  <c r="CD14" i="8"/>
  <c r="CC24" i="8"/>
  <c r="BO59" i="8"/>
  <c r="BO67" i="8" s="1"/>
  <c r="CH2" i="7"/>
  <c r="CG8" i="7"/>
  <c r="CG5" i="7"/>
  <c r="CI45" i="6"/>
  <c r="CI49" i="6" s="1"/>
  <c r="CE45" i="8" s="1"/>
  <c r="CI20" i="8"/>
  <c r="CI18" i="8"/>
  <c r="CI64" i="8"/>
  <c r="CI65" i="8" s="1"/>
  <c r="CH39" i="8"/>
  <c r="CH40" i="8"/>
  <c r="CI50" i="8"/>
  <c r="CI53" i="8" s="1"/>
  <c r="CI30" i="8"/>
  <c r="CI32" i="8"/>
  <c r="CI31" i="8"/>
  <c r="CI33" i="8"/>
  <c r="CI35" i="8"/>
  <c r="CI34" i="8"/>
  <c r="CI36" i="8"/>
  <c r="CI29" i="8"/>
  <c r="CI2" i="8"/>
  <c r="CI38" i="8" s="1"/>
  <c r="CJ1" i="8"/>
  <c r="CJ17" i="8" s="1"/>
  <c r="CI12" i="7"/>
  <c r="CI18" i="7" s="1"/>
  <c r="BZ11" i="8" l="1"/>
  <c r="BZ26" i="8" s="1"/>
  <c r="BZ37" i="8" s="1"/>
  <c r="BZ41" i="8" s="1"/>
  <c r="BO70" i="8"/>
  <c r="BP69" i="8" s="1"/>
  <c r="DK1" i="2"/>
  <c r="DJ4" i="2"/>
  <c r="CI2" i="7"/>
  <c r="CH8" i="7"/>
  <c r="CI52" i="8" s="1"/>
  <c r="CH5" i="7"/>
  <c r="CK23" i="8"/>
  <c r="CK21" i="6"/>
  <c r="BM7" i="7"/>
  <c r="BM6" i="7" s="1"/>
  <c r="BM9" i="7" s="1"/>
  <c r="BN4" i="7" s="1"/>
  <c r="BN7" i="7" s="1"/>
  <c r="BN6" i="7" s="1"/>
  <c r="BN9" i="7" s="1"/>
  <c r="BO4" i="7" s="1"/>
  <c r="BO7" i="7" s="1"/>
  <c r="BO6" i="7" s="1"/>
  <c r="BO9" i="7" s="1"/>
  <c r="BP4" i="7" s="1"/>
  <c r="BP7" i="7" s="1"/>
  <c r="BP6" i="7" s="1"/>
  <c r="BP9" i="7" s="1"/>
  <c r="BQ4" i="7" s="1"/>
  <c r="BQ7" i="7" s="1"/>
  <c r="BQ6" i="7" s="1"/>
  <c r="BQ9" i="7" s="1"/>
  <c r="BR4" i="7" s="1"/>
  <c r="BR7" i="7" s="1"/>
  <c r="BR6" i="7" s="1"/>
  <c r="BR9" i="7" s="1"/>
  <c r="BS4" i="7" s="1"/>
  <c r="BS7" i="7" s="1"/>
  <c r="BS6" i="7" s="1"/>
  <c r="BS9" i="7" s="1"/>
  <c r="BT4" i="7" s="1"/>
  <c r="BT7" i="7" s="1"/>
  <c r="BT6" i="7" s="1"/>
  <c r="BT9" i="7" s="1"/>
  <c r="BU4" i="7" s="1"/>
  <c r="BU7" i="7" s="1"/>
  <c r="BU6" i="7" s="1"/>
  <c r="BU9" i="7" s="1"/>
  <c r="BV4" i="7" s="1"/>
  <c r="BV7" i="7" s="1"/>
  <c r="BV6" i="7" s="1"/>
  <c r="BV9" i="7" s="1"/>
  <c r="BW4" i="7" s="1"/>
  <c r="BW7" i="7" s="1"/>
  <c r="BW6" i="7" s="1"/>
  <c r="BW9" i="7" s="1"/>
  <c r="BX4" i="7" s="1"/>
  <c r="BX7" i="7" s="1"/>
  <c r="BX6" i="7" s="1"/>
  <c r="BX9" i="7" s="1"/>
  <c r="BY4" i="7" s="1"/>
  <c r="CJ19" i="8"/>
  <c r="CK19" i="8" s="1"/>
  <c r="BO16" i="7"/>
  <c r="BO19" i="7" s="1"/>
  <c r="BP14" i="7" s="1"/>
  <c r="BP51" i="8"/>
  <c r="BP55" i="8" s="1"/>
  <c r="CH52" i="8"/>
  <c r="CM1" i="6"/>
  <c r="CL34" i="6"/>
  <c r="CL33" i="6"/>
  <c r="CL32" i="6"/>
  <c r="CL40" i="6"/>
  <c r="CL25" i="6"/>
  <c r="CL31" i="6"/>
  <c r="CL27" i="6"/>
  <c r="CL15" i="6"/>
  <c r="CL16" i="6"/>
  <c r="CL17" i="6"/>
  <c r="CL18" i="6"/>
  <c r="CL29" i="6"/>
  <c r="CL9" i="6"/>
  <c r="CL13" i="6"/>
  <c r="CL19" i="6"/>
  <c r="CL20" i="6"/>
  <c r="CL10" i="6"/>
  <c r="CL14" i="6"/>
  <c r="CL38" i="6"/>
  <c r="CL35" i="6"/>
  <c r="CL28" i="6"/>
  <c r="CL8" i="6"/>
  <c r="CL11" i="6"/>
  <c r="CL26" i="6"/>
  <c r="CL5" i="6"/>
  <c r="CL30" i="6"/>
  <c r="CL37" i="6"/>
  <c r="CL36" i="6"/>
  <c r="CL7" i="6"/>
  <c r="CL39" i="6"/>
  <c r="CL12" i="6"/>
  <c r="CL6" i="6"/>
  <c r="CL2" i="6"/>
  <c r="CJ38" i="8"/>
  <c r="DK2" i="2"/>
  <c r="DL2" i="2" s="1"/>
  <c r="CA7" i="8"/>
  <c r="CA9" i="8"/>
  <c r="CA8" i="8"/>
  <c r="CA10" i="8"/>
  <c r="DE3" i="2"/>
  <c r="DD5" i="2"/>
  <c r="CB6" i="8" s="1"/>
  <c r="CK21" i="8"/>
  <c r="CE14" i="8"/>
  <c r="CD24" i="8"/>
  <c r="CJ18" i="8"/>
  <c r="CK18" i="8" s="1"/>
  <c r="CJ45" i="6"/>
  <c r="CJ49" i="6" s="1"/>
  <c r="CF45" i="8" s="1"/>
  <c r="CJ20" i="8"/>
  <c r="CK20" i="8" s="1"/>
  <c r="CJ22" i="8"/>
  <c r="CK22" i="8" s="1"/>
  <c r="CJ16" i="8"/>
  <c r="CK16" i="8" s="1"/>
  <c r="CJ64" i="8"/>
  <c r="CJ50" i="8"/>
  <c r="CJ53" i="8" s="1"/>
  <c r="CJ30" i="8"/>
  <c r="CJ32" i="8"/>
  <c r="CJ31" i="8"/>
  <c r="CJ33" i="8"/>
  <c r="CJ35" i="8"/>
  <c r="CJ36" i="8"/>
  <c r="CJ34" i="8"/>
  <c r="CJ29" i="8"/>
  <c r="CI40" i="8"/>
  <c r="CI39" i="8"/>
  <c r="CJ2" i="8"/>
  <c r="CK1" i="8"/>
  <c r="CJ12" i="7"/>
  <c r="CJ18" i="7" s="1"/>
  <c r="BZ43" i="8" l="1"/>
  <c r="BZ47" i="8" s="1"/>
  <c r="CA11" i="8"/>
  <c r="CA26" i="8" s="1"/>
  <c r="CA37" i="8" s="1"/>
  <c r="CA41" i="8" s="1"/>
  <c r="CA43" i="8" s="1"/>
  <c r="CA47" i="8" s="1"/>
  <c r="BY7" i="7"/>
  <c r="BY6" i="7" s="1"/>
  <c r="BY9" i="7" s="1"/>
  <c r="BZ4" i="7" s="1"/>
  <c r="BZ7" i="7" s="1"/>
  <c r="BZ6" i="7" s="1"/>
  <c r="BZ9" i="7" s="1"/>
  <c r="CA4" i="7" s="1"/>
  <c r="CA7" i="7" s="1"/>
  <c r="CA6" i="7" s="1"/>
  <c r="CA9" i="7" s="1"/>
  <c r="CB4" i="7" s="1"/>
  <c r="CB7" i="7" s="1"/>
  <c r="CB6" i="7" s="1"/>
  <c r="CB9" i="7" s="1"/>
  <c r="CC4" i="7" s="1"/>
  <c r="CC7" i="7" s="1"/>
  <c r="CC6" i="7" s="1"/>
  <c r="CC9" i="7" s="1"/>
  <c r="CD4" i="7" s="1"/>
  <c r="CF14" i="8"/>
  <c r="CE24" i="8"/>
  <c r="CJ2" i="7"/>
  <c r="CI5" i="7"/>
  <c r="CI8" i="7"/>
  <c r="CL21" i="6"/>
  <c r="DM2" i="2"/>
  <c r="CB9" i="8"/>
  <c r="CB7" i="8"/>
  <c r="CB8" i="8"/>
  <c r="CB10" i="8"/>
  <c r="DL1" i="2"/>
  <c r="DK4" i="2"/>
  <c r="BP59" i="8"/>
  <c r="CK15" i="8"/>
  <c r="CN1" i="6"/>
  <c r="CM27" i="6"/>
  <c r="CM40" i="6"/>
  <c r="CM33" i="6"/>
  <c r="CM30" i="6"/>
  <c r="CM25" i="6"/>
  <c r="CM32" i="6"/>
  <c r="CM26" i="6"/>
  <c r="CM9" i="6"/>
  <c r="CM6" i="6"/>
  <c r="CM38" i="6"/>
  <c r="CM15" i="6"/>
  <c r="CM34" i="6"/>
  <c r="CM13" i="6"/>
  <c r="CM14" i="6"/>
  <c r="CM16" i="6"/>
  <c r="CM17" i="6"/>
  <c r="CM35" i="6"/>
  <c r="CM37" i="6"/>
  <c r="CM28" i="6"/>
  <c r="CM12" i="6"/>
  <c r="CM10" i="6"/>
  <c r="CM29" i="6"/>
  <c r="CM39" i="6"/>
  <c r="CM11" i="6"/>
  <c r="CM5" i="6"/>
  <c r="CM7" i="6"/>
  <c r="CM19" i="6"/>
  <c r="CM36" i="6"/>
  <c r="CM31" i="6"/>
  <c r="CM8" i="6"/>
  <c r="CM18" i="6"/>
  <c r="CM20" i="6"/>
  <c r="CM2" i="6"/>
  <c r="CK45" i="6"/>
  <c r="CK49" i="6"/>
  <c r="CG45" i="8" s="1"/>
  <c r="DF3" i="2"/>
  <c r="DE5" i="2"/>
  <c r="CC6" i="8" s="1"/>
  <c r="CL41" i="6"/>
  <c r="BP17" i="7"/>
  <c r="BP15" i="7"/>
  <c r="CK17" i="8"/>
  <c r="CJ65" i="8"/>
  <c r="CK64" i="8"/>
  <c r="CK65" i="8" s="1"/>
  <c r="CJ39" i="8"/>
  <c r="CJ40" i="8"/>
  <c r="CK50" i="8"/>
  <c r="CK53" i="8" s="1"/>
  <c r="CK30" i="8"/>
  <c r="CK31" i="8"/>
  <c r="CK33" i="8"/>
  <c r="CK35" i="8"/>
  <c r="CK32" i="8"/>
  <c r="CK36" i="8"/>
  <c r="CK34" i="8"/>
  <c r="CK29" i="8"/>
  <c r="CL1" i="8"/>
  <c r="CL20" i="8" s="1"/>
  <c r="CK2" i="8"/>
  <c r="CK38" i="8" s="1"/>
  <c r="CK12" i="7"/>
  <c r="CK18" i="7" s="1"/>
  <c r="CB11" i="8" l="1"/>
  <c r="CB26" i="8" s="1"/>
  <c r="CB37" i="8" s="1"/>
  <c r="CB41" i="8" s="1"/>
  <c r="CB43" i="8" s="1"/>
  <c r="CB47" i="8" s="1"/>
  <c r="CL45" i="6"/>
  <c r="CL49" i="6"/>
  <c r="CH45" i="8" s="1"/>
  <c r="CK2" i="7"/>
  <c r="CJ8" i="7"/>
  <c r="CK52" i="8" s="1"/>
  <c r="CJ5" i="7"/>
  <c r="CO1" i="6"/>
  <c r="CN39" i="6"/>
  <c r="CN31" i="6"/>
  <c r="CN37" i="6"/>
  <c r="CN29" i="6"/>
  <c r="CN14" i="6"/>
  <c r="CN32" i="6"/>
  <c r="CN26" i="6"/>
  <c r="CN5" i="6"/>
  <c r="CN8" i="6"/>
  <c r="CN34" i="6"/>
  <c r="CN30" i="6"/>
  <c r="CN27" i="6"/>
  <c r="CN10" i="6"/>
  <c r="CN13" i="6"/>
  <c r="CN16" i="6"/>
  <c r="CN15" i="6"/>
  <c r="CN20" i="6"/>
  <c r="CN40" i="6"/>
  <c r="CN36" i="6"/>
  <c r="CN38" i="6"/>
  <c r="CN17" i="6"/>
  <c r="CN11" i="6"/>
  <c r="CN35" i="6"/>
  <c r="CN33" i="6"/>
  <c r="CN7" i="6"/>
  <c r="CN28" i="6"/>
  <c r="CN25" i="6"/>
  <c r="CN19" i="6"/>
  <c r="CN12" i="6"/>
  <c r="CN6" i="6"/>
  <c r="CN9" i="6"/>
  <c r="CN18" i="6"/>
  <c r="CN2" i="6"/>
  <c r="CL19" i="8"/>
  <c r="CG14" i="8"/>
  <c r="CF24" i="8"/>
  <c r="CL16" i="8"/>
  <c r="CL18" i="8"/>
  <c r="CJ52" i="8"/>
  <c r="CL15" i="8"/>
  <c r="CL23" i="8"/>
  <c r="CM41" i="6"/>
  <c r="DM1" i="2"/>
  <c r="DL4" i="2"/>
  <c r="DG3" i="2"/>
  <c r="DF5" i="2"/>
  <c r="CD6" i="8" s="1"/>
  <c r="CM21" i="6"/>
  <c r="DN2" i="2"/>
  <c r="CC9" i="8"/>
  <c r="CC8" i="8"/>
  <c r="CC10" i="8"/>
  <c r="CC7" i="8"/>
  <c r="CL38" i="8"/>
  <c r="CL17" i="8"/>
  <c r="BP67" i="8"/>
  <c r="BP70" i="8"/>
  <c r="BQ69" i="8" s="1"/>
  <c r="BP16" i="7"/>
  <c r="BP19" i="7" s="1"/>
  <c r="BQ14" i="7" s="1"/>
  <c r="BQ51" i="8"/>
  <c r="CL22" i="8"/>
  <c r="CL21" i="8"/>
  <c r="CM21" i="8" s="1"/>
  <c r="CL64" i="8"/>
  <c r="CK39" i="8"/>
  <c r="CK40" i="8"/>
  <c r="CL50" i="8"/>
  <c r="CL53" i="8" s="1"/>
  <c r="CL31" i="8"/>
  <c r="CL30" i="8"/>
  <c r="CL33" i="8"/>
  <c r="CL35" i="8"/>
  <c r="CL32" i="8"/>
  <c r="CL34" i="8"/>
  <c r="CL29" i="8"/>
  <c r="CL36" i="8"/>
  <c r="CM1" i="8"/>
  <c r="CL2" i="8"/>
  <c r="CL12" i="7"/>
  <c r="CL18" i="7" s="1"/>
  <c r="CD7" i="7"/>
  <c r="CD6" i="7" s="1"/>
  <c r="CD9" i="7" s="1"/>
  <c r="CE4" i="7" s="1"/>
  <c r="CC11" i="8" l="1"/>
  <c r="CC26" i="8" s="1"/>
  <c r="CC37" i="8" s="1"/>
  <c r="CC41" i="8" s="1"/>
  <c r="CM15" i="8"/>
  <c r="CM22" i="8"/>
  <c r="CN41" i="6"/>
  <c r="BQ17" i="7"/>
  <c r="BQ15" i="7"/>
  <c r="DO2" i="2"/>
  <c r="CM45" i="6"/>
  <c r="CM49" i="6" s="1"/>
  <c r="CI45" i="8" s="1"/>
  <c r="CD10" i="8"/>
  <c r="CD9" i="8"/>
  <c r="CD8" i="8"/>
  <c r="CD7" i="8"/>
  <c r="DH3" i="2"/>
  <c r="DG5" i="2"/>
  <c r="CE6" i="8" s="1"/>
  <c r="CM19" i="8"/>
  <c r="CN19" i="8" s="1"/>
  <c r="BQ55" i="8"/>
  <c r="CL2" i="7"/>
  <c r="CK5" i="7"/>
  <c r="CK8" i="7"/>
  <c r="CM17" i="8"/>
  <c r="DN1" i="2"/>
  <c r="DM4" i="2"/>
  <c r="CN21" i="6"/>
  <c r="CN21" i="8"/>
  <c r="CM18" i="8"/>
  <c r="CN18" i="8" s="1"/>
  <c r="CM16" i="8"/>
  <c r="CN16" i="8" s="1"/>
  <c r="CP1" i="6"/>
  <c r="CO40" i="6"/>
  <c r="CO38" i="6"/>
  <c r="CO6" i="6"/>
  <c r="CO7" i="6"/>
  <c r="CO8" i="6"/>
  <c r="CO9" i="6"/>
  <c r="CO10" i="6"/>
  <c r="CO11" i="6"/>
  <c r="CO12" i="6"/>
  <c r="CO13" i="6"/>
  <c r="CO14" i="6"/>
  <c r="CO33" i="6"/>
  <c r="CO30" i="6"/>
  <c r="CO27" i="6"/>
  <c r="CO18" i="6"/>
  <c r="CO31" i="6"/>
  <c r="CO39" i="6"/>
  <c r="CO28" i="6"/>
  <c r="CO19" i="6"/>
  <c r="CO20" i="6"/>
  <c r="CO34" i="6"/>
  <c r="CO37" i="6"/>
  <c r="CO35" i="6"/>
  <c r="CO32" i="6"/>
  <c r="CO29" i="6"/>
  <c r="CO16" i="6"/>
  <c r="CO17" i="6"/>
  <c r="CO25" i="6"/>
  <c r="CO15" i="6"/>
  <c r="CO5" i="6"/>
  <c r="CO36" i="6"/>
  <c r="CO26" i="6"/>
  <c r="CO2" i="6"/>
  <c r="CH14" i="8"/>
  <c r="CG24" i="8"/>
  <c r="CM23" i="8"/>
  <c r="CN23" i="8" s="1"/>
  <c r="CM20" i="8"/>
  <c r="CN20" i="8" s="1"/>
  <c r="CL65" i="8"/>
  <c r="CM64" i="8"/>
  <c r="CM65" i="8" s="1"/>
  <c r="CL40" i="8"/>
  <c r="CL39" i="8"/>
  <c r="CM50" i="8"/>
  <c r="CM53" i="8" s="1"/>
  <c r="CM31" i="8"/>
  <c r="CM30" i="8"/>
  <c r="CM32" i="8"/>
  <c r="CM34" i="8"/>
  <c r="CM36" i="8"/>
  <c r="CM33" i="8"/>
  <c r="CM35" i="8"/>
  <c r="CM29" i="8"/>
  <c r="CN1" i="8"/>
  <c r="CM2" i="8"/>
  <c r="CM38" i="8" s="1"/>
  <c r="CM12" i="7"/>
  <c r="CM18" i="7" s="1"/>
  <c r="CE7" i="7"/>
  <c r="CE6" i="7" s="1"/>
  <c r="CE9" i="7" s="1"/>
  <c r="CF4" i="7" s="1"/>
  <c r="CC43" i="8" l="1"/>
  <c r="CC47" i="8" s="1"/>
  <c r="CD11" i="8"/>
  <c r="CD26" i="8" s="1"/>
  <c r="CD37" i="8"/>
  <c r="CD41" i="8" s="1"/>
  <c r="CD43" i="8"/>
  <c r="CM2" i="7"/>
  <c r="CL8" i="7"/>
  <c r="CM52" i="8" s="1"/>
  <c r="CL5" i="7"/>
  <c r="BQ16" i="7"/>
  <c r="BQ19" i="7" s="1"/>
  <c r="BR14" i="7" s="1"/>
  <c r="BR51" i="8"/>
  <c r="CO21" i="8"/>
  <c r="CN45" i="6"/>
  <c r="CN49" i="6"/>
  <c r="CJ45" i="8" s="1"/>
  <c r="CN22" i="8"/>
  <c r="CO22" i="8" s="1"/>
  <c r="CO23" i="8"/>
  <c r="CQ1" i="6"/>
  <c r="CP37" i="6"/>
  <c r="CP29" i="6"/>
  <c r="CP32" i="6"/>
  <c r="CP28" i="6"/>
  <c r="CP25" i="6"/>
  <c r="CP13" i="6"/>
  <c r="CP31" i="6"/>
  <c r="CP8" i="6"/>
  <c r="CP12" i="6"/>
  <c r="CP17" i="6"/>
  <c r="CP40" i="6"/>
  <c r="CP38" i="6"/>
  <c r="CP33" i="6"/>
  <c r="CP9" i="6"/>
  <c r="CP7" i="6"/>
  <c r="CP35" i="6"/>
  <c r="CP30" i="6"/>
  <c r="CP10" i="6"/>
  <c r="CP14" i="6"/>
  <c r="CP27" i="6"/>
  <c r="CP6" i="6"/>
  <c r="CP39" i="6"/>
  <c r="CP19" i="6"/>
  <c r="CP20" i="6"/>
  <c r="CP34" i="6"/>
  <c r="CP36" i="6"/>
  <c r="CP15" i="6"/>
  <c r="CP11" i="6"/>
  <c r="CP5" i="6"/>
  <c r="CP16" i="6"/>
  <c r="CP18" i="6"/>
  <c r="CP26" i="6"/>
  <c r="CP2" i="6"/>
  <c r="CO19" i="8"/>
  <c r="CE10" i="8"/>
  <c r="CE9" i="8"/>
  <c r="CE7" i="8"/>
  <c r="CE8" i="8"/>
  <c r="CN15" i="8"/>
  <c r="BQ59" i="8"/>
  <c r="CO18" i="8"/>
  <c r="CO20" i="8"/>
  <c r="CO16" i="8"/>
  <c r="DP2" i="2"/>
  <c r="CI14" i="8"/>
  <c r="CH24" i="8"/>
  <c r="DI3" i="2"/>
  <c r="DH5" i="2"/>
  <c r="CF6" i="8" s="1"/>
  <c r="CO21" i="6"/>
  <c r="CN38" i="8"/>
  <c r="DO1" i="2"/>
  <c r="DN4" i="2"/>
  <c r="CO41" i="6"/>
  <c r="CN17" i="8"/>
  <c r="CO17" i="8" s="1"/>
  <c r="CL52" i="8"/>
  <c r="CN64" i="8"/>
  <c r="CN50" i="8"/>
  <c r="CN53" i="8" s="1"/>
  <c r="CN31" i="8"/>
  <c r="CN30" i="8"/>
  <c r="CN34" i="8"/>
  <c r="CN35" i="8"/>
  <c r="CN32" i="8"/>
  <c r="CN29" i="8"/>
  <c r="CN33" i="8"/>
  <c r="CN36" i="8"/>
  <c r="CM39" i="8"/>
  <c r="CM40" i="8"/>
  <c r="CO1" i="8"/>
  <c r="CN2" i="8"/>
  <c r="CN12" i="7"/>
  <c r="CN18" i="7" s="1"/>
  <c r="CF7" i="7"/>
  <c r="CF6" i="7" s="1"/>
  <c r="CF9" i="7" s="1"/>
  <c r="CG4" i="7" s="1"/>
  <c r="CE11" i="8" l="1"/>
  <c r="CE26" i="8" s="1"/>
  <c r="CE37" i="8" s="1"/>
  <c r="CE41" i="8" s="1"/>
  <c r="CE43" i="8" s="1"/>
  <c r="CE47" i="8" s="1"/>
  <c r="BQ70" i="8"/>
  <c r="BR69" i="8" s="1"/>
  <c r="BQ67" i="8"/>
  <c r="CP41" i="6"/>
  <c r="CO45" i="6"/>
  <c r="CO49" i="6" s="1"/>
  <c r="CK45" i="8" s="1"/>
  <c r="CO15" i="8"/>
  <c r="CP15" i="8" s="1"/>
  <c r="CP19" i="8"/>
  <c r="CP21" i="6"/>
  <c r="CF7" i="8"/>
  <c r="CF10" i="8"/>
  <c r="CF8" i="8"/>
  <c r="CF9" i="8"/>
  <c r="CN2" i="7"/>
  <c r="CM8" i="7"/>
  <c r="CM5" i="7"/>
  <c r="BR55" i="8"/>
  <c r="CD47" i="8"/>
  <c r="CP22" i="8"/>
  <c r="CP16" i="8"/>
  <c r="DP1" i="2"/>
  <c r="DO4" i="2"/>
  <c r="BR15" i="7"/>
  <c r="BR17" i="7"/>
  <c r="DJ3" i="2"/>
  <c r="DI5" i="2"/>
  <c r="CG6" i="8" s="1"/>
  <c r="CJ14" i="8"/>
  <c r="CI24" i="8"/>
  <c r="CR1" i="6"/>
  <c r="CQ39" i="6"/>
  <c r="CQ37" i="6"/>
  <c r="CQ35" i="6"/>
  <c r="CQ12" i="6"/>
  <c r="CQ16" i="6"/>
  <c r="CQ8" i="6"/>
  <c r="CQ36" i="6"/>
  <c r="CQ13" i="6"/>
  <c r="CQ5" i="6"/>
  <c r="CQ30" i="6"/>
  <c r="CQ6" i="6"/>
  <c r="CQ7" i="6"/>
  <c r="CQ32" i="6"/>
  <c r="CQ29" i="6"/>
  <c r="CQ10" i="6"/>
  <c r="CQ34" i="6"/>
  <c r="CQ25" i="6"/>
  <c r="CQ14" i="6"/>
  <c r="CQ38" i="6"/>
  <c r="CQ9" i="6"/>
  <c r="CQ18" i="6"/>
  <c r="CQ20" i="6"/>
  <c r="CQ31" i="6"/>
  <c r="CQ28" i="6"/>
  <c r="CQ11" i="6"/>
  <c r="CQ26" i="6"/>
  <c r="CQ17" i="6"/>
  <c r="CQ33" i="6"/>
  <c r="CQ40" i="6"/>
  <c r="CQ15" i="6"/>
  <c r="CQ27" i="6"/>
  <c r="CQ19" i="6"/>
  <c r="CQ2" i="6"/>
  <c r="CN65" i="8"/>
  <c r="CO64" i="8"/>
  <c r="CO65" i="8" s="1"/>
  <c r="CO50" i="8"/>
  <c r="CO53" i="8" s="1"/>
  <c r="CO31" i="8"/>
  <c r="CO30" i="8"/>
  <c r="CO34" i="8"/>
  <c r="CO36" i="8"/>
  <c r="CO35" i="8"/>
  <c r="CO32" i="8"/>
  <c r="CO29" i="8"/>
  <c r="CO33" i="8"/>
  <c r="CN40" i="8"/>
  <c r="CN39" i="8"/>
  <c r="CO2" i="8"/>
  <c r="CO38" i="8" s="1"/>
  <c r="CP1" i="8"/>
  <c r="CO12" i="7"/>
  <c r="CO18" i="7" s="1"/>
  <c r="CG7" i="7"/>
  <c r="CG6" i="7" s="1"/>
  <c r="CG9" i="7" s="1"/>
  <c r="CH4" i="7" s="1"/>
  <c r="CF11" i="8" l="1"/>
  <c r="CF26" i="8" s="1"/>
  <c r="CF37" i="8" s="1"/>
  <c r="CF41" i="8" s="1"/>
  <c r="CF43" i="8" s="1"/>
  <c r="CN52" i="8"/>
  <c r="DQ1" i="2"/>
  <c r="DP4" i="2"/>
  <c r="CP38" i="8"/>
  <c r="CS1" i="6"/>
  <c r="CR38" i="6"/>
  <c r="CR36" i="6"/>
  <c r="CR31" i="6"/>
  <c r="CR30" i="6"/>
  <c r="CR29" i="6"/>
  <c r="CR32" i="6"/>
  <c r="CR28" i="6"/>
  <c r="CR39" i="6"/>
  <c r="CR11" i="6"/>
  <c r="CR15" i="6"/>
  <c r="CR40" i="6"/>
  <c r="CR33" i="6"/>
  <c r="CR12" i="6"/>
  <c r="CR37" i="6"/>
  <c r="CR34" i="6"/>
  <c r="CR18" i="6"/>
  <c r="CR35" i="6"/>
  <c r="CR9" i="6"/>
  <c r="CR10" i="6"/>
  <c r="CR7" i="6"/>
  <c r="CR25" i="6"/>
  <c r="CR13" i="6"/>
  <c r="CR5" i="6"/>
  <c r="CR26" i="6"/>
  <c r="CR8" i="6"/>
  <c r="CR16" i="6"/>
  <c r="CR6" i="6"/>
  <c r="CR20" i="6"/>
  <c r="CR17" i="6"/>
  <c r="CR14" i="6"/>
  <c r="CR19" i="6"/>
  <c r="CR27" i="6"/>
  <c r="CR2" i="6"/>
  <c r="CP45" i="6"/>
  <c r="CP49" i="6" s="1"/>
  <c r="CL45" i="8" s="1"/>
  <c r="CP21" i="8"/>
  <c r="CQ21" i="8" s="1"/>
  <c r="CK14" i="8"/>
  <c r="CJ24" i="8"/>
  <c r="CP20" i="8"/>
  <c r="CP18" i="8"/>
  <c r="BR16" i="7"/>
  <c r="BR19" i="7" s="1"/>
  <c r="BS14" i="7" s="1"/>
  <c r="BS51" i="8"/>
  <c r="BS55" i="8" s="1"/>
  <c r="BS59" i="8" s="1"/>
  <c r="BS67" i="8" s="1"/>
  <c r="CQ41" i="6"/>
  <c r="CO2" i="7"/>
  <c r="CN8" i="7"/>
  <c r="CO52" i="8" s="1"/>
  <c r="CN5" i="7"/>
  <c r="CQ22" i="8"/>
  <c r="CQ21" i="6"/>
  <c r="CG7" i="8"/>
  <c r="CG8" i="8"/>
  <c r="CG10" i="8"/>
  <c r="CG9" i="8"/>
  <c r="BR59" i="8"/>
  <c r="BR67" i="8" s="1"/>
  <c r="CP17" i="8"/>
  <c r="CQ17" i="8" s="1"/>
  <c r="DK3" i="2"/>
  <c r="DJ5" i="2"/>
  <c r="CH6" i="8" s="1"/>
  <c r="DQ2" i="2"/>
  <c r="DR2" i="2" s="1"/>
  <c r="CP23" i="8"/>
  <c r="CP64" i="8"/>
  <c r="CP50" i="8"/>
  <c r="CP53" i="8" s="1"/>
  <c r="CP30" i="8"/>
  <c r="CP31" i="8"/>
  <c r="CP34" i="8"/>
  <c r="CP36" i="8"/>
  <c r="CP35" i="8"/>
  <c r="CP32" i="8"/>
  <c r="CP29" i="8"/>
  <c r="CP33" i="8"/>
  <c r="CO40" i="8"/>
  <c r="CO39" i="8"/>
  <c r="CP2" i="8"/>
  <c r="CQ1" i="8"/>
  <c r="CP12" i="7"/>
  <c r="CP18" i="7" s="1"/>
  <c r="CH7" i="7"/>
  <c r="CH6" i="7" s="1"/>
  <c r="CH9" i="7" s="1"/>
  <c r="CI4" i="7" s="1"/>
  <c r="CG11" i="8" l="1"/>
  <c r="CG26" i="8" s="1"/>
  <c r="CG37" i="8" s="1"/>
  <c r="CG41" i="8" s="1"/>
  <c r="CG43" i="8" s="1"/>
  <c r="CG47" i="8" s="1"/>
  <c r="CQ45" i="6"/>
  <c r="CQ49" i="6" s="1"/>
  <c r="CM45" i="8" s="1"/>
  <c r="BR70" i="8"/>
  <c r="BS69" i="8" s="1"/>
  <c r="BS70" i="8" s="1"/>
  <c r="BT69" i="8" s="1"/>
  <c r="CT1" i="6"/>
  <c r="CS37" i="6"/>
  <c r="CS35" i="6"/>
  <c r="CS28" i="6"/>
  <c r="CS26" i="6"/>
  <c r="CS10" i="6"/>
  <c r="CS40" i="6"/>
  <c r="CS33" i="6"/>
  <c r="CS7" i="6"/>
  <c r="CS39" i="6"/>
  <c r="CS38" i="6"/>
  <c r="CS30" i="6"/>
  <c r="CS8" i="6"/>
  <c r="CS17" i="6"/>
  <c r="CS27" i="6"/>
  <c r="CS11" i="6"/>
  <c r="CS32" i="6"/>
  <c r="CS29" i="6"/>
  <c r="CS25" i="6"/>
  <c r="CS34" i="6"/>
  <c r="CS18" i="6"/>
  <c r="CS6" i="6"/>
  <c r="CS14" i="6"/>
  <c r="CS9" i="6"/>
  <c r="CS36" i="6"/>
  <c r="CS20" i="6"/>
  <c r="CS31" i="6"/>
  <c r="CS15" i="6"/>
  <c r="CS5" i="6"/>
  <c r="CS16" i="6"/>
  <c r="CS13" i="6"/>
  <c r="CS12" i="6"/>
  <c r="CS19" i="6"/>
  <c r="CS2" i="6"/>
  <c r="CR21" i="6"/>
  <c r="BS15" i="7"/>
  <c r="BS17" i="7"/>
  <c r="CR22" i="8"/>
  <c r="CQ38" i="8"/>
  <c r="CQ18" i="8"/>
  <c r="CR18" i="8" s="1"/>
  <c r="CR41" i="6"/>
  <c r="DR1" i="2"/>
  <c r="DQ4" i="2"/>
  <c r="CQ20" i="8"/>
  <c r="CR20" i="8" s="1"/>
  <c r="CQ15" i="8"/>
  <c r="CP2" i="7"/>
  <c r="CO5" i="7"/>
  <c r="CO8" i="7"/>
  <c r="CP52" i="8" s="1"/>
  <c r="CQ23" i="8"/>
  <c r="CR23" i="8" s="1"/>
  <c r="CQ16" i="8"/>
  <c r="CR16" i="8" s="1"/>
  <c r="CF47" i="8"/>
  <c r="CH8" i="8"/>
  <c r="CH9" i="8"/>
  <c r="CH10" i="8"/>
  <c r="CH7" i="8"/>
  <c r="DL3" i="2"/>
  <c r="DK5" i="2"/>
  <c r="CI6" i="8" s="1"/>
  <c r="CQ19" i="8"/>
  <c r="CR19" i="8" s="1"/>
  <c r="CL14" i="8"/>
  <c r="CK24" i="8"/>
  <c r="CP65" i="8"/>
  <c r="CQ64" i="8"/>
  <c r="CQ65" i="8" s="1"/>
  <c r="CQ50" i="8"/>
  <c r="CQ53" i="8" s="1"/>
  <c r="CQ30" i="8"/>
  <c r="CQ32" i="8"/>
  <c r="CQ31" i="8"/>
  <c r="CQ33" i="8"/>
  <c r="CQ35" i="8"/>
  <c r="CQ34" i="8"/>
  <c r="CQ36" i="8"/>
  <c r="CQ29" i="8"/>
  <c r="CP40" i="8"/>
  <c r="CP39" i="8"/>
  <c r="CQ2" i="8"/>
  <c r="CR1" i="8"/>
  <c r="CR21" i="8" s="1"/>
  <c r="CQ12" i="7"/>
  <c r="CQ18" i="7" s="1"/>
  <c r="CI7" i="7"/>
  <c r="CI6" i="7" s="1"/>
  <c r="CI9" i="7" s="1"/>
  <c r="CJ4" i="7" s="1"/>
  <c r="CH11" i="8" l="1"/>
  <c r="CH26" i="8" s="1"/>
  <c r="CH37" i="8" s="1"/>
  <c r="CH41" i="8" s="1"/>
  <c r="CH43" i="8" s="1"/>
  <c r="CH47" i="8" s="1"/>
  <c r="CI10" i="8"/>
  <c r="CI7" i="8"/>
  <c r="CI9" i="8"/>
  <c r="CI8" i="8"/>
  <c r="DS1" i="2"/>
  <c r="DR4" i="2"/>
  <c r="CS21" i="6"/>
  <c r="CU1" i="6"/>
  <c r="CT39" i="6"/>
  <c r="CT35" i="6"/>
  <c r="CT9" i="6"/>
  <c r="CT38" i="6"/>
  <c r="CT11" i="6"/>
  <c r="CT7" i="6"/>
  <c r="CT36" i="6"/>
  <c r="CT34" i="6"/>
  <c r="CT28" i="6"/>
  <c r="CT27" i="6"/>
  <c r="CT12" i="6"/>
  <c r="CT16" i="6"/>
  <c r="CT37" i="6"/>
  <c r="CT29" i="6"/>
  <c r="CT25" i="6"/>
  <c r="CT10" i="6"/>
  <c r="CT13" i="6"/>
  <c r="CT19" i="6"/>
  <c r="CT18" i="6"/>
  <c r="CT15" i="6"/>
  <c r="CT5" i="6"/>
  <c r="CT21" i="6" s="1"/>
  <c r="CT8" i="6"/>
  <c r="CT14" i="6"/>
  <c r="CT33" i="6"/>
  <c r="CT32" i="6"/>
  <c r="CT6" i="6"/>
  <c r="CT40" i="6"/>
  <c r="CT31" i="6"/>
  <c r="CT30" i="6"/>
  <c r="CT17" i="6"/>
  <c r="CT20" i="6"/>
  <c r="CT26" i="6"/>
  <c r="CT2" i="6"/>
  <c r="CM14" i="8"/>
  <c r="CL24" i="8"/>
  <c r="BS16" i="7"/>
  <c r="BS19" i="7" s="1"/>
  <c r="BT14" i="7" s="1"/>
  <c r="BT51" i="8"/>
  <c r="CS20" i="8"/>
  <c r="DM3" i="2"/>
  <c r="DL5" i="2"/>
  <c r="CJ6" i="8" s="1"/>
  <c r="CS18" i="8"/>
  <c r="CS23" i="8"/>
  <c r="CR38" i="8"/>
  <c r="CS41" i="6"/>
  <c r="CQ2" i="7"/>
  <c r="CP5" i="7"/>
  <c r="CP8" i="7"/>
  <c r="CQ52" i="8" s="1"/>
  <c r="CR45" i="6"/>
  <c r="CR49" i="6" s="1"/>
  <c r="CN45" i="8" s="1"/>
  <c r="DS2" i="2"/>
  <c r="DT2" i="2" s="1"/>
  <c r="CR15" i="8"/>
  <c r="CS15" i="8" s="1"/>
  <c r="CR17" i="8"/>
  <c r="CR64" i="8"/>
  <c r="CR50" i="8"/>
  <c r="CR53" i="8" s="1"/>
  <c r="CR30" i="8"/>
  <c r="CR32" i="8"/>
  <c r="CR31" i="8"/>
  <c r="CR33" i="8"/>
  <c r="CR35" i="8"/>
  <c r="CR34" i="8"/>
  <c r="CR36" i="8"/>
  <c r="CR29" i="8"/>
  <c r="CQ40" i="8"/>
  <c r="CQ39" i="8"/>
  <c r="CR2" i="8"/>
  <c r="CS1" i="8"/>
  <c r="CS16" i="8" s="1"/>
  <c r="CR12" i="7"/>
  <c r="CR18" i="7" s="1"/>
  <c r="CJ7" i="7"/>
  <c r="CJ6" i="7" s="1"/>
  <c r="CJ9" i="7" s="1"/>
  <c r="CK4" i="7" s="1"/>
  <c r="CI11" i="8" l="1"/>
  <c r="CI26" i="8" s="1"/>
  <c r="CI37" i="8" s="1"/>
  <c r="CI41" i="8" s="1"/>
  <c r="CI43" i="8" s="1"/>
  <c r="CI47" i="8" s="1"/>
  <c r="DT1" i="2"/>
  <c r="DS4" i="2"/>
  <c r="CT20" i="8"/>
  <c r="CT18" i="8"/>
  <c r="BT17" i="7"/>
  <c r="BT15" i="7"/>
  <c r="CV1" i="6"/>
  <c r="CU40" i="6"/>
  <c r="CU36" i="6"/>
  <c r="CU34" i="6"/>
  <c r="CU26" i="6"/>
  <c r="CU8" i="6"/>
  <c r="CU39" i="6"/>
  <c r="CU28" i="6"/>
  <c r="CU11" i="6"/>
  <c r="CU37" i="6"/>
  <c r="CU30" i="6"/>
  <c r="CU15" i="6"/>
  <c r="CU13" i="6"/>
  <c r="CU12" i="6"/>
  <c r="CU7" i="6"/>
  <c r="CU32" i="6"/>
  <c r="CU18" i="6"/>
  <c r="CU20" i="6"/>
  <c r="CU19" i="6"/>
  <c r="CU33" i="6"/>
  <c r="CU9" i="6"/>
  <c r="CU29" i="6"/>
  <c r="CU27" i="6"/>
  <c r="CU31" i="6"/>
  <c r="CU10" i="6"/>
  <c r="CU35" i="6"/>
  <c r="CU6" i="6"/>
  <c r="CU25" i="6"/>
  <c r="CU17" i="6"/>
  <c r="CU38" i="6"/>
  <c r="CU14" i="6"/>
  <c r="CU16" i="6"/>
  <c r="CU5" i="6"/>
  <c r="CU2" i="6"/>
  <c r="CS19" i="8"/>
  <c r="CT19" i="8" s="1"/>
  <c r="DN3" i="2"/>
  <c r="DM5" i="2"/>
  <c r="CK6" i="8" s="1"/>
  <c r="CT41" i="6"/>
  <c r="CT45" i="6" s="1"/>
  <c r="CS22" i="8"/>
  <c r="CT22" i="8" s="1"/>
  <c r="CS45" i="6"/>
  <c r="CS49" i="6"/>
  <c r="CO45" i="8" s="1"/>
  <c r="CJ10" i="8"/>
  <c r="CJ9" i="8"/>
  <c r="CJ7" i="8"/>
  <c r="CJ8" i="8"/>
  <c r="BT55" i="8"/>
  <c r="BT59" i="8" s="1"/>
  <c r="BT70" i="8" s="1"/>
  <c r="BU69" i="8" s="1"/>
  <c r="CR2" i="7"/>
  <c r="CQ5" i="7"/>
  <c r="CQ8" i="7"/>
  <c r="CR52" i="8" s="1"/>
  <c r="CS38" i="8"/>
  <c r="CS17" i="8"/>
  <c r="CT17" i="8" s="1"/>
  <c r="CN14" i="8"/>
  <c r="CM24" i="8"/>
  <c r="CS21" i="8"/>
  <c r="CT21" i="8" s="1"/>
  <c r="CR65" i="8"/>
  <c r="CS64" i="8"/>
  <c r="CS65" i="8" s="1"/>
  <c r="CS50" i="8"/>
  <c r="CS53" i="8" s="1"/>
  <c r="CS30" i="8"/>
  <c r="CS32" i="8"/>
  <c r="CS33" i="8"/>
  <c r="CS35" i="8"/>
  <c r="CS31" i="8"/>
  <c r="CS34" i="8"/>
  <c r="CS36" i="8"/>
  <c r="CS29" i="8"/>
  <c r="CR39" i="8"/>
  <c r="CR40" i="8"/>
  <c r="CT1" i="8"/>
  <c r="CT15" i="8" s="1"/>
  <c r="CS2" i="8"/>
  <c r="CS12" i="7"/>
  <c r="CS18" i="7" s="1"/>
  <c r="CK7" i="7"/>
  <c r="CK6" i="7" s="1"/>
  <c r="CK9" i="7" s="1"/>
  <c r="CL4" i="7" s="1"/>
  <c r="CJ11" i="8" l="1"/>
  <c r="CJ26" i="8" s="1"/>
  <c r="CJ37" i="8" s="1"/>
  <c r="CJ41" i="8" s="1"/>
  <c r="CJ43" i="8" s="1"/>
  <c r="CJ47" i="8" s="1"/>
  <c r="CO14" i="8"/>
  <c r="CN24" i="8"/>
  <c r="CU21" i="6"/>
  <c r="CS2" i="7"/>
  <c r="CR8" i="7"/>
  <c r="CS52" i="8" s="1"/>
  <c r="CR5" i="7"/>
  <c r="CU41" i="6"/>
  <c r="DU1" i="2"/>
  <c r="DT4" i="2"/>
  <c r="CK7" i="8"/>
  <c r="CK9" i="8"/>
  <c r="CK8" i="8"/>
  <c r="CK10" i="8"/>
  <c r="CT23" i="8"/>
  <c r="DO3" i="2"/>
  <c r="DN5" i="2"/>
  <c r="CL6" i="8" s="1"/>
  <c r="DU2" i="2"/>
  <c r="DV2" i="2" s="1"/>
  <c r="BT67" i="8"/>
  <c r="CW1" i="6"/>
  <c r="CV39" i="6"/>
  <c r="CV38" i="6"/>
  <c r="CV37" i="6"/>
  <c r="CV33" i="6"/>
  <c r="CV36" i="6"/>
  <c r="CV34" i="6"/>
  <c r="CV7" i="6"/>
  <c r="CV30" i="6"/>
  <c r="CV27" i="6"/>
  <c r="CV25" i="6"/>
  <c r="CV12" i="6"/>
  <c r="CV29" i="6"/>
  <c r="CV40" i="6"/>
  <c r="CV9" i="6"/>
  <c r="CV20" i="6"/>
  <c r="CV5" i="6"/>
  <c r="CV19" i="6"/>
  <c r="CV26" i="6"/>
  <c r="CV15" i="6"/>
  <c r="CV32" i="6"/>
  <c r="CV13" i="6"/>
  <c r="CV31" i="6"/>
  <c r="CV35" i="6"/>
  <c r="CV18" i="6"/>
  <c r="CV10" i="6"/>
  <c r="CV28" i="6"/>
  <c r="CV6" i="6"/>
  <c r="CV11" i="6"/>
  <c r="CV17" i="6"/>
  <c r="CV8" i="6"/>
  <c r="CV16" i="6"/>
  <c r="CV14" i="6"/>
  <c r="CV2" i="6"/>
  <c r="CT49" i="6"/>
  <c r="CP45" i="8" s="1"/>
  <c r="BT16" i="7"/>
  <c r="BT19" i="7" s="1"/>
  <c r="BU14" i="7" s="1"/>
  <c r="BU51" i="8"/>
  <c r="BU55" i="8" s="1"/>
  <c r="BU59" i="8" s="1"/>
  <c r="BU67" i="8" s="1"/>
  <c r="CT16" i="8"/>
  <c r="CU16" i="8" s="1"/>
  <c r="CT64" i="8"/>
  <c r="CT65" i="8" s="1"/>
  <c r="CS39" i="8"/>
  <c r="CS40" i="8"/>
  <c r="CT50" i="8"/>
  <c r="CT53" i="8" s="1"/>
  <c r="CT31" i="8"/>
  <c r="CT32" i="8"/>
  <c r="CT30" i="8"/>
  <c r="CT33" i="8"/>
  <c r="CT35" i="8"/>
  <c r="CT29" i="8"/>
  <c r="CT34" i="8"/>
  <c r="CT36" i="8"/>
  <c r="CU1" i="8"/>
  <c r="CT2" i="8"/>
  <c r="CT12" i="7"/>
  <c r="CT18" i="7" s="1"/>
  <c r="CL7" i="7"/>
  <c r="CL6" i="7" s="1"/>
  <c r="CL9" i="7" s="1"/>
  <c r="CM4" i="7" s="1"/>
  <c r="CK11" i="8" l="1"/>
  <c r="CK26" i="8" s="1"/>
  <c r="CK37" i="8" s="1"/>
  <c r="CK41" i="8" s="1"/>
  <c r="CK43" i="8" s="1"/>
  <c r="CK47" i="8" s="1"/>
  <c r="DP3" i="2"/>
  <c r="DO5" i="2"/>
  <c r="CM6" i="8" s="1"/>
  <c r="CT2" i="7"/>
  <c r="CS5" i="7"/>
  <c r="CS8" i="7"/>
  <c r="CT52" i="8" s="1"/>
  <c r="CT38" i="8"/>
  <c r="CP14" i="8"/>
  <c r="CO24" i="8"/>
  <c r="CU38" i="8"/>
  <c r="CU22" i="8"/>
  <c r="BU15" i="7"/>
  <c r="BU17" i="7"/>
  <c r="CU17" i="8"/>
  <c r="CV17" i="8" s="1"/>
  <c r="CV41" i="6"/>
  <c r="BU70" i="8"/>
  <c r="BV69" i="8" s="1"/>
  <c r="CU20" i="8"/>
  <c r="CV20" i="8" s="1"/>
  <c r="CU19" i="8"/>
  <c r="CV19" i="8" s="1"/>
  <c r="CX1" i="6"/>
  <c r="CW36" i="6"/>
  <c r="CW35" i="6"/>
  <c r="CW32" i="6"/>
  <c r="CW6" i="6"/>
  <c r="CW37" i="6"/>
  <c r="CW34" i="6"/>
  <c r="CW27" i="6"/>
  <c r="CW10" i="6"/>
  <c r="CW14" i="6"/>
  <c r="CW25" i="6"/>
  <c r="CW7" i="6"/>
  <c r="CW11" i="6"/>
  <c r="CW29" i="6"/>
  <c r="CW40" i="6"/>
  <c r="CW9" i="6"/>
  <c r="CW12" i="6"/>
  <c r="CW30" i="6"/>
  <c r="CW16" i="6"/>
  <c r="CW13" i="6"/>
  <c r="CW39" i="6"/>
  <c r="CW33" i="6"/>
  <c r="CW31" i="6"/>
  <c r="CW19" i="6"/>
  <c r="CW28" i="6"/>
  <c r="CW18" i="6"/>
  <c r="CW26" i="6"/>
  <c r="CW20" i="6"/>
  <c r="CW17" i="6"/>
  <c r="CW15" i="6"/>
  <c r="CW5" i="6"/>
  <c r="CW8" i="6"/>
  <c r="CW38" i="6"/>
  <c r="CW2" i="6"/>
  <c r="CU18" i="8"/>
  <c r="CV18" i="8" s="1"/>
  <c r="CU21" i="8"/>
  <c r="CV21" i="8" s="1"/>
  <c r="CV16" i="8"/>
  <c r="CU45" i="6"/>
  <c r="CU49" i="6" s="1"/>
  <c r="CQ45" i="8" s="1"/>
  <c r="CV21" i="6"/>
  <c r="CU23" i="8"/>
  <c r="CV23" i="8" s="1"/>
  <c r="CL9" i="8"/>
  <c r="CL8" i="8"/>
  <c r="CL10" i="8"/>
  <c r="CL7" i="8"/>
  <c r="DV1" i="2"/>
  <c r="DU4" i="2"/>
  <c r="CU15" i="8"/>
  <c r="CU64" i="8"/>
  <c r="CU65" i="8" s="1"/>
  <c r="CT39" i="8"/>
  <c r="CT40" i="8"/>
  <c r="CU50" i="8"/>
  <c r="CU53" i="8" s="1"/>
  <c r="CU31" i="8"/>
  <c r="CU30" i="8"/>
  <c r="CU32" i="8"/>
  <c r="CU34" i="8"/>
  <c r="CU33" i="8"/>
  <c r="CU35" i="8"/>
  <c r="CU29" i="8"/>
  <c r="CU36" i="8"/>
  <c r="CU2" i="8"/>
  <c r="CV1" i="8"/>
  <c r="CU12" i="7"/>
  <c r="CM7" i="7"/>
  <c r="CM6" i="7" s="1"/>
  <c r="CM9" i="7" s="1"/>
  <c r="CN4" i="7" s="1"/>
  <c r="CL11" i="8" l="1"/>
  <c r="CL26" i="8" s="1"/>
  <c r="CL37" i="8" s="1"/>
  <c r="CL41" i="8" s="1"/>
  <c r="DW1" i="2"/>
  <c r="DV4" i="2"/>
  <c r="CY1" i="6"/>
  <c r="CX34" i="6"/>
  <c r="CX33" i="6"/>
  <c r="CX32" i="6"/>
  <c r="CX25" i="6"/>
  <c r="CX38" i="6"/>
  <c r="CX15" i="6"/>
  <c r="CX16" i="6"/>
  <c r="CX17" i="6"/>
  <c r="CX18" i="6"/>
  <c r="CX36" i="6"/>
  <c r="CX6" i="6"/>
  <c r="CX19" i="6"/>
  <c r="CX20" i="6"/>
  <c r="CX10" i="6"/>
  <c r="CX35" i="6"/>
  <c r="CX29" i="6"/>
  <c r="CX40" i="6"/>
  <c r="CX37" i="6"/>
  <c r="CX26" i="6"/>
  <c r="CX30" i="6"/>
  <c r="CX9" i="6"/>
  <c r="CX12" i="6"/>
  <c r="CX31" i="6"/>
  <c r="CX7" i="6"/>
  <c r="CX39" i="6"/>
  <c r="CX8" i="6"/>
  <c r="CX14" i="6"/>
  <c r="CX27" i="6"/>
  <c r="CX11" i="6"/>
  <c r="CX28" i="6"/>
  <c r="CX13" i="6"/>
  <c r="CX5" i="6"/>
  <c r="CX21" i="6" s="1"/>
  <c r="CX2" i="6"/>
  <c r="CW41" i="6"/>
  <c r="CU2" i="7"/>
  <c r="CT8" i="7"/>
  <c r="CU52" i="8" s="1"/>
  <c r="CT5" i="7"/>
  <c r="CU15" i="7"/>
  <c r="CU18" i="7"/>
  <c r="DW2" i="2"/>
  <c r="DX2" i="2" s="1"/>
  <c r="CM10" i="8"/>
  <c r="CM9" i="8"/>
  <c r="CM7" i="8"/>
  <c r="CM8" i="8"/>
  <c r="DQ3" i="2"/>
  <c r="DP5" i="2"/>
  <c r="CN6" i="8" s="1"/>
  <c r="CQ14" i="8"/>
  <c r="CP24" i="8"/>
  <c r="CW21" i="6"/>
  <c r="BU16" i="7"/>
  <c r="BU19" i="7" s="1"/>
  <c r="BV14" i="7" s="1"/>
  <c r="BV51" i="8"/>
  <c r="BV55" i="8" s="1"/>
  <c r="BV59" i="8" s="1"/>
  <c r="BV67" i="8" s="1"/>
  <c r="CV15" i="8"/>
  <c r="CV45" i="6"/>
  <c r="CV49" i="6" s="1"/>
  <c r="CR45" i="8" s="1"/>
  <c r="CV22" i="8"/>
  <c r="CV64" i="8"/>
  <c r="CV50" i="8"/>
  <c r="CV53" i="8" s="1"/>
  <c r="CV31" i="8"/>
  <c r="CV30" i="8"/>
  <c r="CV34" i="8"/>
  <c r="CV32" i="8"/>
  <c r="CV33" i="8"/>
  <c r="CV29" i="8"/>
  <c r="CV35" i="8"/>
  <c r="CV36" i="8"/>
  <c r="CU39" i="8"/>
  <c r="CU40" i="8"/>
  <c r="CV2" i="8"/>
  <c r="CV38" i="8" s="1"/>
  <c r="CW1" i="8"/>
  <c r="CW21" i="8" s="1"/>
  <c r="CV12" i="7"/>
  <c r="CN7" i="7"/>
  <c r="CN6" i="7" s="1"/>
  <c r="CN9" i="7" s="1"/>
  <c r="CO4" i="7" s="1"/>
  <c r="CL43" i="8" l="1"/>
  <c r="CL47" i="8" s="1"/>
  <c r="CM11" i="8"/>
  <c r="CM26" i="8" s="1"/>
  <c r="CM37" i="8"/>
  <c r="CM41" i="8" s="1"/>
  <c r="CM43" i="8" s="1"/>
  <c r="CM47" i="8" s="1"/>
  <c r="CW22" i="8"/>
  <c r="CN7" i="8"/>
  <c r="CN9" i="8"/>
  <c r="CN10" i="8"/>
  <c r="CN8" i="8"/>
  <c r="DR3" i="2"/>
  <c r="DQ5" i="2"/>
  <c r="CO6" i="8" s="1"/>
  <c r="CV2" i="7"/>
  <c r="CU5" i="7"/>
  <c r="CV51" i="8" s="1"/>
  <c r="CU8" i="7"/>
  <c r="CV52" i="8" s="1"/>
  <c r="CW17" i="8"/>
  <c r="BV70" i="8"/>
  <c r="BW69" i="8" s="1"/>
  <c r="CZ1" i="6"/>
  <c r="CY40" i="6"/>
  <c r="CY27" i="6"/>
  <c r="CY36" i="6"/>
  <c r="CY34" i="6"/>
  <c r="CY31" i="6"/>
  <c r="CY6" i="6"/>
  <c r="CY26" i="6"/>
  <c r="CY14" i="6"/>
  <c r="CY30" i="6"/>
  <c r="CY39" i="6"/>
  <c r="CY9" i="6"/>
  <c r="CY12" i="6"/>
  <c r="CY17" i="6"/>
  <c r="CY19" i="6"/>
  <c r="CY33" i="6"/>
  <c r="CY32" i="6"/>
  <c r="CY5" i="6"/>
  <c r="CY21" i="6" s="1"/>
  <c r="CY7" i="6"/>
  <c r="CY20" i="6"/>
  <c r="CY11" i="6"/>
  <c r="CY8" i="6"/>
  <c r="CY16" i="6"/>
  <c r="CY35" i="6"/>
  <c r="CY28" i="6"/>
  <c r="CY18" i="6"/>
  <c r="CY38" i="6"/>
  <c r="CY25" i="6"/>
  <c r="CY13" i="6"/>
  <c r="CY10" i="6"/>
  <c r="CY37" i="6"/>
  <c r="CY29" i="6"/>
  <c r="CY15" i="6"/>
  <c r="CY2" i="6"/>
  <c r="CW45" i="6"/>
  <c r="CW49" i="6"/>
  <c r="CS45" i="8" s="1"/>
  <c r="DY2" i="2"/>
  <c r="CW16" i="8"/>
  <c r="CX16" i="8" s="1"/>
  <c r="CX41" i="6"/>
  <c r="CX45" i="6"/>
  <c r="CX49" i="6" s="1"/>
  <c r="CT45" i="8" s="1"/>
  <c r="CW19" i="8"/>
  <c r="CX19" i="8" s="1"/>
  <c r="CR14" i="8"/>
  <c r="CQ24" i="8"/>
  <c r="CW15" i="8"/>
  <c r="BV15" i="7"/>
  <c r="BW51" i="8" s="1"/>
  <c r="BW55" i="8" s="1"/>
  <c r="BW59" i="8" s="1"/>
  <c r="BW67" i="8" s="1"/>
  <c r="BV17" i="7"/>
  <c r="BV16" i="7" s="1"/>
  <c r="CV15" i="7"/>
  <c r="CV18" i="7"/>
  <c r="CW23" i="8"/>
  <c r="CX23" i="8" s="1"/>
  <c r="CW18" i="8"/>
  <c r="CX18" i="8" s="1"/>
  <c r="BV19" i="7"/>
  <c r="BW14" i="7" s="1"/>
  <c r="BW15" i="7" s="1"/>
  <c r="CW20" i="8"/>
  <c r="CX20" i="8" s="1"/>
  <c r="DX1" i="2"/>
  <c r="DW4" i="2"/>
  <c r="CV65" i="8"/>
  <c r="CW64" i="8"/>
  <c r="CW65" i="8" s="1"/>
  <c r="CV40" i="8"/>
  <c r="CV39" i="8"/>
  <c r="CW50" i="8"/>
  <c r="CW53" i="8" s="1"/>
  <c r="CW31" i="8"/>
  <c r="CW34" i="8"/>
  <c r="CW30" i="8"/>
  <c r="CW32" i="8"/>
  <c r="CW36" i="8"/>
  <c r="CW33" i="8"/>
  <c r="CW29" i="8"/>
  <c r="CW35" i="8"/>
  <c r="CW2" i="8"/>
  <c r="CW38" i="8" s="1"/>
  <c r="CX1" i="8"/>
  <c r="CW12" i="7"/>
  <c r="CO7" i="7"/>
  <c r="CO6" i="7" s="1"/>
  <c r="CO9" i="7" s="1"/>
  <c r="CP4" i="7" s="1"/>
  <c r="CN11" i="8" l="1"/>
  <c r="CN26" i="8" s="1"/>
  <c r="CN37" i="8" s="1"/>
  <c r="CN41" i="8" s="1"/>
  <c r="CN43" i="8" s="1"/>
  <c r="CN47" i="8" s="1"/>
  <c r="BW70" i="8"/>
  <c r="BX69" i="8" s="1"/>
  <c r="BX51" i="8"/>
  <c r="CY41" i="6"/>
  <c r="CW18" i="7"/>
  <c r="CW15" i="7"/>
  <c r="BW17" i="7"/>
  <c r="BW16" i="7" s="1"/>
  <c r="BW19" i="7" s="1"/>
  <c r="BX14" i="7" s="1"/>
  <c r="CX17" i="8"/>
  <c r="CO8" i="8"/>
  <c r="CO9" i="8"/>
  <c r="CO7" i="8"/>
  <c r="CO10" i="8"/>
  <c r="CX22" i="8"/>
  <c r="DZ2" i="2"/>
  <c r="CX21" i="8"/>
  <c r="CY45" i="6"/>
  <c r="CY49" i="6" s="1"/>
  <c r="CU45" i="8" s="1"/>
  <c r="DS3" i="2"/>
  <c r="DR5" i="2"/>
  <c r="CP6" i="8" s="1"/>
  <c r="DA1" i="6"/>
  <c r="CZ38" i="6"/>
  <c r="CZ40" i="6"/>
  <c r="CZ30" i="6"/>
  <c r="CZ27" i="6"/>
  <c r="CZ9" i="6"/>
  <c r="CZ13" i="6"/>
  <c r="CZ5" i="6"/>
  <c r="CZ29" i="6"/>
  <c r="CZ35" i="6"/>
  <c r="CZ25" i="6"/>
  <c r="CZ10" i="6"/>
  <c r="CZ14" i="6"/>
  <c r="CZ32" i="6"/>
  <c r="CZ6" i="6"/>
  <c r="CZ15" i="6"/>
  <c r="CZ34" i="6"/>
  <c r="CZ39" i="6"/>
  <c r="CZ31" i="6"/>
  <c r="CZ33" i="6"/>
  <c r="CZ26" i="6"/>
  <c r="CZ36" i="6"/>
  <c r="CZ16" i="6"/>
  <c r="CZ37" i="6"/>
  <c r="CZ28" i="6"/>
  <c r="CZ8" i="6"/>
  <c r="CZ19" i="6"/>
  <c r="CZ18" i="6"/>
  <c r="CZ7" i="6"/>
  <c r="CZ17" i="6"/>
  <c r="CZ11" i="6"/>
  <c r="CZ20" i="6"/>
  <c r="CZ12" i="6"/>
  <c r="CZ2" i="6"/>
  <c r="CX15" i="8"/>
  <c r="DY1" i="2"/>
  <c r="DX4" i="2"/>
  <c r="CS14" i="8"/>
  <c r="CR24" i="8"/>
  <c r="CW2" i="7"/>
  <c r="CV8" i="7"/>
  <c r="CW52" i="8" s="1"/>
  <c r="CV5" i="7"/>
  <c r="CW51" i="8" s="1"/>
  <c r="CX64" i="8"/>
  <c r="CX50" i="8"/>
  <c r="CX53" i="8" s="1"/>
  <c r="CX30" i="8"/>
  <c r="CX34" i="8"/>
  <c r="CX32" i="8"/>
  <c r="CX36" i="8"/>
  <c r="CX33" i="8"/>
  <c r="CX31" i="8"/>
  <c r="CX29" i="8"/>
  <c r="CX35" i="8"/>
  <c r="CW40" i="8"/>
  <c r="CW39" i="8"/>
  <c r="CX2" i="8"/>
  <c r="CX38" i="8" s="1"/>
  <c r="CY1" i="8"/>
  <c r="CY20" i="8" s="1"/>
  <c r="CX12" i="7"/>
  <c r="CP7" i="7"/>
  <c r="CP6" i="7" s="1"/>
  <c r="CP9" i="7" s="1"/>
  <c r="CQ4" i="7" s="1"/>
  <c r="CO11" i="8" l="1"/>
  <c r="CO26" i="8" s="1"/>
  <c r="CO37" i="8" s="1"/>
  <c r="CO41" i="8" s="1"/>
  <c r="CO43" i="8" s="1"/>
  <c r="CO47" i="8" s="1"/>
  <c r="CY21" i="8"/>
  <c r="DZ1" i="2"/>
  <c r="DY4" i="2"/>
  <c r="EA2" i="2"/>
  <c r="CY22" i="8"/>
  <c r="CZ21" i="6"/>
  <c r="CX2" i="7"/>
  <c r="CW5" i="7"/>
  <c r="CX51" i="8" s="1"/>
  <c r="CW8" i="7"/>
  <c r="CX52" i="8" s="1"/>
  <c r="DB1" i="6"/>
  <c r="DA39" i="6"/>
  <c r="DA6" i="6"/>
  <c r="DA7" i="6"/>
  <c r="DA8" i="6"/>
  <c r="DA9" i="6"/>
  <c r="DA10" i="6"/>
  <c r="DA11" i="6"/>
  <c r="DA12" i="6"/>
  <c r="DA13" i="6"/>
  <c r="DA14" i="6"/>
  <c r="DA31" i="6"/>
  <c r="DA33" i="6"/>
  <c r="DA29" i="6"/>
  <c r="DA35" i="6"/>
  <c r="DA25" i="6"/>
  <c r="DA26" i="6"/>
  <c r="DA32" i="6"/>
  <c r="DA19" i="6"/>
  <c r="DA20" i="6"/>
  <c r="DA34" i="6"/>
  <c r="DA30" i="6"/>
  <c r="DA16" i="6"/>
  <c r="DA15" i="6"/>
  <c r="DA38" i="6"/>
  <c r="DA37" i="6"/>
  <c r="DA36" i="6"/>
  <c r="DA28" i="6"/>
  <c r="DA5" i="6"/>
  <c r="DA40" i="6"/>
  <c r="DA27" i="6"/>
  <c r="DA18" i="6"/>
  <c r="DA17" i="6"/>
  <c r="DA2" i="6"/>
  <c r="CY38" i="8"/>
  <c r="CY16" i="8"/>
  <c r="CZ16" i="8" s="1"/>
  <c r="CY15" i="8"/>
  <c r="CZ15" i="8" s="1"/>
  <c r="BX55" i="8"/>
  <c r="CY19" i="8"/>
  <c r="CY17" i="8"/>
  <c r="CT14" i="8"/>
  <c r="CS24" i="8"/>
  <c r="CX15" i="7"/>
  <c r="CX18" i="7"/>
  <c r="CY23" i="8"/>
  <c r="CY18" i="8"/>
  <c r="CZ18" i="8" s="1"/>
  <c r="CP9" i="8"/>
  <c r="CP11" i="8" s="1"/>
  <c r="CP26" i="8" s="1"/>
  <c r="CP10" i="8"/>
  <c r="CP7" i="8"/>
  <c r="CP8" i="8"/>
  <c r="CZ41" i="6"/>
  <c r="DT3" i="2"/>
  <c r="DS5" i="2"/>
  <c r="CQ6" i="8" s="1"/>
  <c r="CX65" i="8"/>
  <c r="CY64" i="8"/>
  <c r="CY65" i="8" s="1"/>
  <c r="CX39" i="8"/>
  <c r="CX40" i="8"/>
  <c r="CY50" i="8"/>
  <c r="CY53" i="8" s="1"/>
  <c r="CY30" i="8"/>
  <c r="CY32" i="8"/>
  <c r="CY31" i="8"/>
  <c r="CY33" i="8"/>
  <c r="CY35" i="8"/>
  <c r="CY34" i="8"/>
  <c r="CY36" i="8"/>
  <c r="CY29" i="8"/>
  <c r="CY2" i="8"/>
  <c r="CZ1" i="8"/>
  <c r="BX17" i="7"/>
  <c r="BX15" i="7"/>
  <c r="CY12" i="7"/>
  <c r="CQ7" i="7"/>
  <c r="CQ6" i="7" s="1"/>
  <c r="CQ9" i="7" s="1"/>
  <c r="CR4" i="7" s="1"/>
  <c r="CP37" i="8" l="1"/>
  <c r="CP41" i="8" s="1"/>
  <c r="CP43" i="8" s="1"/>
  <c r="CP47" i="8" s="1"/>
  <c r="CY2" i="7"/>
  <c r="CX8" i="7"/>
  <c r="CY52" i="8" s="1"/>
  <c r="CX5" i="7"/>
  <c r="CY51" i="8" s="1"/>
  <c r="CZ22" i="8"/>
  <c r="CQ8" i="8"/>
  <c r="CQ10" i="8"/>
  <c r="CQ9" i="8"/>
  <c r="CQ7" i="8"/>
  <c r="DU3" i="2"/>
  <c r="DT5" i="2"/>
  <c r="CR6" i="8" s="1"/>
  <c r="CU14" i="8"/>
  <c r="CT24" i="8"/>
  <c r="CZ45" i="6"/>
  <c r="CZ49" i="6"/>
  <c r="CV45" i="8" s="1"/>
  <c r="CZ17" i="8"/>
  <c r="DA21" i="6"/>
  <c r="EA1" i="2"/>
  <c r="DZ4" i="2"/>
  <c r="BX16" i="7"/>
  <c r="BY51" i="8"/>
  <c r="BY55" i="8" s="1"/>
  <c r="BY59" i="8" s="1"/>
  <c r="BY67" i="8" s="1"/>
  <c r="CZ23" i="8"/>
  <c r="CZ21" i="8"/>
  <c r="DC1" i="6"/>
  <c r="DB40" i="6"/>
  <c r="DB38" i="6"/>
  <c r="DB30" i="6"/>
  <c r="DB27" i="6"/>
  <c r="DB14" i="6"/>
  <c r="DB29" i="6"/>
  <c r="DB26" i="6"/>
  <c r="DB18" i="6"/>
  <c r="DB9" i="6"/>
  <c r="DB31" i="6"/>
  <c r="DB6" i="6"/>
  <c r="DB15" i="6"/>
  <c r="DB32" i="6"/>
  <c r="DB39" i="6"/>
  <c r="DB36" i="6"/>
  <c r="DB8" i="6"/>
  <c r="DB11" i="6"/>
  <c r="DB16" i="6"/>
  <c r="DB37" i="6"/>
  <c r="DB33" i="6"/>
  <c r="DB28" i="6"/>
  <c r="DB12" i="6"/>
  <c r="DB34" i="6"/>
  <c r="DB35" i="6"/>
  <c r="DB5" i="6"/>
  <c r="DB7" i="6"/>
  <c r="DB25" i="6"/>
  <c r="DB13" i="6"/>
  <c r="DB19" i="6"/>
  <c r="DB10" i="6"/>
  <c r="DB20" i="6"/>
  <c r="DB17" i="6"/>
  <c r="DB2" i="6"/>
  <c r="CZ38" i="8"/>
  <c r="CZ19" i="8"/>
  <c r="DA41" i="6"/>
  <c r="CY15" i="7"/>
  <c r="CY18" i="7"/>
  <c r="BX59" i="8"/>
  <c r="CZ20" i="8"/>
  <c r="CZ64" i="8"/>
  <c r="CY40" i="8"/>
  <c r="CY39" i="8"/>
  <c r="CZ50" i="8"/>
  <c r="CZ53" i="8" s="1"/>
  <c r="CZ30" i="8"/>
  <c r="CZ32" i="8"/>
  <c r="CZ31" i="8"/>
  <c r="CZ33" i="8"/>
  <c r="CZ35" i="8"/>
  <c r="CZ36" i="8"/>
  <c r="CZ34" i="8"/>
  <c r="CZ29" i="8"/>
  <c r="DA1" i="8"/>
  <c r="CZ2" i="8"/>
  <c r="BX19" i="7"/>
  <c r="BY14" i="7" s="1"/>
  <c r="CZ12" i="7"/>
  <c r="CR7" i="7"/>
  <c r="CR6" i="7" s="1"/>
  <c r="CR9" i="7" s="1"/>
  <c r="CS4" i="7" s="1"/>
  <c r="CQ11" i="8" l="1"/>
  <c r="CQ26" i="8" s="1"/>
  <c r="CQ37" i="8" s="1"/>
  <c r="CQ41" i="8" s="1"/>
  <c r="CQ43" i="8" s="1"/>
  <c r="CQ47" i="8" s="1"/>
  <c r="DA20" i="8"/>
  <c r="EB1" i="2"/>
  <c r="EA4" i="2"/>
  <c r="DB21" i="6"/>
  <c r="DA16" i="8"/>
  <c r="DA19" i="8"/>
  <c r="DD1" i="6"/>
  <c r="DC37" i="6"/>
  <c r="DC40" i="6"/>
  <c r="DC33" i="6"/>
  <c r="DC29" i="6"/>
  <c r="DC28" i="6"/>
  <c r="DC25" i="6"/>
  <c r="DC13" i="6"/>
  <c r="DC17" i="6"/>
  <c r="DC32" i="6"/>
  <c r="DC5" i="6"/>
  <c r="DC39" i="6"/>
  <c r="DC36" i="6"/>
  <c r="DC31" i="6"/>
  <c r="DC6" i="6"/>
  <c r="DC8" i="6"/>
  <c r="DC11" i="6"/>
  <c r="DC38" i="6"/>
  <c r="DC26" i="6"/>
  <c r="DC15" i="6"/>
  <c r="DC16" i="6"/>
  <c r="DC35" i="6"/>
  <c r="DC27" i="6"/>
  <c r="DC19" i="6"/>
  <c r="DC7" i="6"/>
  <c r="DC34" i="6"/>
  <c r="DC12" i="6"/>
  <c r="DC14" i="6"/>
  <c r="DC18" i="6"/>
  <c r="DC9" i="6"/>
  <c r="DC30" i="6"/>
  <c r="DC10" i="6"/>
  <c r="DC20" i="6"/>
  <c r="DC2" i="6"/>
  <c r="DA45" i="6"/>
  <c r="DA49" i="6"/>
  <c r="CW45" i="8" s="1"/>
  <c r="BX70" i="8"/>
  <c r="BY69" i="8" s="1"/>
  <c r="BY70" i="8" s="1"/>
  <c r="BZ69" i="8" s="1"/>
  <c r="BX67" i="8"/>
  <c r="DA17" i="8"/>
  <c r="DA21" i="8"/>
  <c r="CV14" i="8"/>
  <c r="CU24" i="8"/>
  <c r="CZ2" i="7"/>
  <c r="CY5" i="7"/>
  <c r="CZ51" i="8" s="1"/>
  <c r="CY8" i="7"/>
  <c r="CZ52" i="8" s="1"/>
  <c r="DA18" i="8"/>
  <c r="DA23" i="8"/>
  <c r="CR10" i="8"/>
  <c r="CR7" i="8"/>
  <c r="CR9" i="8"/>
  <c r="CR8" i="8"/>
  <c r="DA15" i="8"/>
  <c r="DB41" i="6"/>
  <c r="DA22" i="8"/>
  <c r="CZ15" i="7"/>
  <c r="CZ18" i="7"/>
  <c r="DV3" i="2"/>
  <c r="DU5" i="2"/>
  <c r="CS6" i="8" s="1"/>
  <c r="EB2" i="2"/>
  <c r="EC2" i="2" s="1"/>
  <c r="CZ65" i="8"/>
  <c r="DA64" i="8"/>
  <c r="DA65" i="8" s="1"/>
  <c r="DA50" i="8"/>
  <c r="DA53" i="8" s="1"/>
  <c r="DA30" i="8"/>
  <c r="DA33" i="8"/>
  <c r="DA35" i="8"/>
  <c r="DA36" i="8"/>
  <c r="DA31" i="8"/>
  <c r="DA32" i="8"/>
  <c r="DA34" i="8"/>
  <c r="DA29" i="8"/>
  <c r="CZ39" i="8"/>
  <c r="CZ40" i="8"/>
  <c r="DB1" i="8"/>
  <c r="DA2" i="8"/>
  <c r="DA38" i="8" s="1"/>
  <c r="BY15" i="7"/>
  <c r="BZ51" i="8" s="1"/>
  <c r="BY17" i="7"/>
  <c r="BY16" i="7" s="1"/>
  <c r="DA12" i="7"/>
  <c r="CS7" i="7"/>
  <c r="CS6" i="7" s="1"/>
  <c r="CS9" i="7" s="1"/>
  <c r="CT4" i="7" s="1"/>
  <c r="CR11" i="8" l="1"/>
  <c r="CR26" i="8" s="1"/>
  <c r="CR37" i="8" s="1"/>
  <c r="CR41" i="8" s="1"/>
  <c r="CW14" i="8"/>
  <c r="CV24" i="8"/>
  <c r="DB49" i="6"/>
  <c r="CX45" i="8" s="1"/>
  <c r="DB45" i="6"/>
  <c r="DW3" i="2"/>
  <c r="DV5" i="2"/>
  <c r="CT6" i="8" s="1"/>
  <c r="DB18" i="8"/>
  <c r="ED2" i="2"/>
  <c r="DB22" i="8"/>
  <c r="DC21" i="6"/>
  <c r="DA15" i="7"/>
  <c r="DA18" i="7"/>
  <c r="EC1" i="2"/>
  <c r="EB4" i="2"/>
  <c r="DB21" i="8"/>
  <c r="DB20" i="8"/>
  <c r="CS9" i="8"/>
  <c r="CS10" i="8"/>
  <c r="CS7" i="8"/>
  <c r="CS8" i="8"/>
  <c r="DB17" i="8"/>
  <c r="DE1" i="6"/>
  <c r="DD39" i="6"/>
  <c r="DD31" i="6"/>
  <c r="DD30" i="6"/>
  <c r="DD29" i="6"/>
  <c r="DD37" i="6"/>
  <c r="DD32" i="6"/>
  <c r="DD12" i="6"/>
  <c r="DD8" i="6"/>
  <c r="DD16" i="6"/>
  <c r="DD9" i="6"/>
  <c r="DD36" i="6"/>
  <c r="DD28" i="6"/>
  <c r="DD33" i="6"/>
  <c r="DD38" i="6"/>
  <c r="DD26" i="6"/>
  <c r="DD6" i="6"/>
  <c r="DD11" i="6"/>
  <c r="DD40" i="6"/>
  <c r="DD15" i="6"/>
  <c r="DD34" i="6"/>
  <c r="DD17" i="6"/>
  <c r="DD20" i="6"/>
  <c r="DD25" i="6"/>
  <c r="DD14" i="6"/>
  <c r="DD19" i="6"/>
  <c r="DD10" i="6"/>
  <c r="DD5" i="6"/>
  <c r="DD27" i="6"/>
  <c r="DD13" i="6"/>
  <c r="DD18" i="6"/>
  <c r="DD35" i="6"/>
  <c r="DD7" i="6"/>
  <c r="DD2" i="6"/>
  <c r="DB23" i="8"/>
  <c r="DB19" i="8"/>
  <c r="DB16" i="8"/>
  <c r="BZ55" i="8"/>
  <c r="DA2" i="7"/>
  <c r="CZ8" i="7"/>
  <c r="DA52" i="8" s="1"/>
  <c r="CZ5" i="7"/>
  <c r="DA51" i="8" s="1"/>
  <c r="DC41" i="6"/>
  <c r="DB15" i="8"/>
  <c r="DB64" i="8"/>
  <c r="DB65" i="8" s="1"/>
  <c r="DA39" i="8"/>
  <c r="DA40" i="8"/>
  <c r="DB50" i="8"/>
  <c r="DB53" i="8" s="1"/>
  <c r="DB31" i="8"/>
  <c r="DB33" i="8"/>
  <c r="DB35" i="8"/>
  <c r="DB30" i="8"/>
  <c r="DB29" i="8"/>
  <c r="DB36" i="8"/>
  <c r="DB32" i="8"/>
  <c r="DB34" i="8"/>
  <c r="DC1" i="8"/>
  <c r="DB2" i="8"/>
  <c r="DB38" i="8" s="1"/>
  <c r="BY19" i="7"/>
  <c r="BZ14" i="7" s="1"/>
  <c r="DB12" i="7"/>
  <c r="CT7" i="7"/>
  <c r="CT6" i="7" s="1"/>
  <c r="CT9" i="7" s="1"/>
  <c r="CU4" i="7" s="1"/>
  <c r="CR43" i="8" l="1"/>
  <c r="CR47" i="8" s="1"/>
  <c r="CS11" i="8"/>
  <c r="CS26" i="8" s="1"/>
  <c r="CS37" i="8" s="1"/>
  <c r="CS41" i="8" s="1"/>
  <c r="CS43" i="8" s="1"/>
  <c r="CS47" i="8" s="1"/>
  <c r="DB15" i="7"/>
  <c r="DB18" i="7"/>
  <c r="DD21" i="6"/>
  <c r="DX3" i="2"/>
  <c r="DW5" i="2"/>
  <c r="CU6" i="8" s="1"/>
  <c r="BZ59" i="8"/>
  <c r="DC21" i="8"/>
  <c r="DC45" i="6"/>
  <c r="DC49" i="6" s="1"/>
  <c r="CY45" i="8" s="1"/>
  <c r="DB2" i="7"/>
  <c r="DA5" i="7"/>
  <c r="DB51" i="8" s="1"/>
  <c r="DA8" i="7"/>
  <c r="DB52" i="8" s="1"/>
  <c r="DC16" i="8"/>
  <c r="DF1" i="6"/>
  <c r="DE38" i="6"/>
  <c r="DE36" i="6"/>
  <c r="DE28" i="6"/>
  <c r="DE26" i="6"/>
  <c r="DE35" i="6"/>
  <c r="DE11" i="6"/>
  <c r="DE32" i="6"/>
  <c r="DE12" i="6"/>
  <c r="DE15" i="6"/>
  <c r="DE31" i="6"/>
  <c r="DE8" i="6"/>
  <c r="DE13" i="6"/>
  <c r="DE18" i="6"/>
  <c r="DE39" i="6"/>
  <c r="DE33" i="6"/>
  <c r="DE14" i="6"/>
  <c r="DE37" i="6"/>
  <c r="DE40" i="6"/>
  <c r="DE27" i="6"/>
  <c r="DE6" i="6"/>
  <c r="DE16" i="6"/>
  <c r="DE29" i="6"/>
  <c r="DE25" i="6"/>
  <c r="DE17" i="6"/>
  <c r="DE20" i="6"/>
  <c r="DE19" i="6"/>
  <c r="DE30" i="6"/>
  <c r="DE9" i="6"/>
  <c r="DE5" i="6"/>
  <c r="DE10" i="6"/>
  <c r="DE34" i="6"/>
  <c r="DE7" i="6"/>
  <c r="DE2" i="6"/>
  <c r="ED1" i="2"/>
  <c r="EE2" i="2" s="1"/>
  <c r="EC4" i="2"/>
  <c r="DC18" i="8"/>
  <c r="DD41" i="6"/>
  <c r="CX14" i="8"/>
  <c r="CW24" i="8"/>
  <c r="DC22" i="8"/>
  <c r="DC15" i="8"/>
  <c r="CT7" i="8"/>
  <c r="CT9" i="8"/>
  <c r="CT8" i="8"/>
  <c r="CT10" i="8"/>
  <c r="DC20" i="8"/>
  <c r="DC19" i="8"/>
  <c r="DC17" i="8"/>
  <c r="DC23" i="8"/>
  <c r="DC64" i="8"/>
  <c r="DB40" i="8"/>
  <c r="DB39" i="8"/>
  <c r="DC50" i="8"/>
  <c r="DC53" i="8" s="1"/>
  <c r="DC31" i="8"/>
  <c r="DC30" i="8"/>
  <c r="DC32" i="8"/>
  <c r="DC34" i="8"/>
  <c r="DC33" i="8"/>
  <c r="DC35" i="8"/>
  <c r="DC29" i="8"/>
  <c r="DC36" i="8"/>
  <c r="DD1" i="8"/>
  <c r="DC2" i="8"/>
  <c r="DC38" i="8" s="1"/>
  <c r="BZ15" i="7"/>
  <c r="BZ17" i="7"/>
  <c r="DC12" i="7"/>
  <c r="CU7" i="7"/>
  <c r="CU6" i="7" s="1"/>
  <c r="CU9" i="7" s="1"/>
  <c r="CV4" i="7" s="1"/>
  <c r="CT11" i="8" l="1"/>
  <c r="CT26" i="8" s="1"/>
  <c r="CT37" i="8" s="1"/>
  <c r="CT41" i="8" s="1"/>
  <c r="CT43" i="8" s="1"/>
  <c r="CT47" i="8" s="1"/>
  <c r="CY14" i="8"/>
  <c r="CX24" i="8"/>
  <c r="CU10" i="8"/>
  <c r="CU9" i="8"/>
  <c r="CU7" i="8"/>
  <c r="CU8" i="8"/>
  <c r="CU11" i="8" s="1"/>
  <c r="CU26" i="8" s="1"/>
  <c r="CU37" i="8" s="1"/>
  <c r="CU41" i="8" s="1"/>
  <c r="CU43" i="8" s="1"/>
  <c r="CU47" i="8" s="1"/>
  <c r="DD19" i="8"/>
  <c r="DD20" i="8"/>
  <c r="DG1" i="6"/>
  <c r="DF37" i="6"/>
  <c r="DF35" i="6"/>
  <c r="DF32" i="6"/>
  <c r="DF28" i="6"/>
  <c r="DF10" i="6"/>
  <c r="DF31" i="6"/>
  <c r="DF12" i="6"/>
  <c r="DF33" i="6"/>
  <c r="DF17" i="6"/>
  <c r="DF34" i="6"/>
  <c r="DF38" i="6"/>
  <c r="DF26" i="6"/>
  <c r="DF13" i="6"/>
  <c r="DF40" i="6"/>
  <c r="DF39" i="6"/>
  <c r="DF14" i="6"/>
  <c r="DF36" i="6"/>
  <c r="DF27" i="6"/>
  <c r="DF8" i="6"/>
  <c r="DF11" i="6"/>
  <c r="DF25" i="6"/>
  <c r="DF7" i="6"/>
  <c r="DF30" i="6"/>
  <c r="DF6" i="6"/>
  <c r="DF20" i="6"/>
  <c r="DF16" i="6"/>
  <c r="DF29" i="6"/>
  <c r="DF9" i="6"/>
  <c r="DF5" i="6"/>
  <c r="DF18" i="6"/>
  <c r="DF15" i="6"/>
  <c r="DF19" i="6"/>
  <c r="DF2" i="6"/>
  <c r="DD45" i="6"/>
  <c r="DD49" i="6" s="1"/>
  <c r="CZ45" i="8" s="1"/>
  <c r="BZ16" i="7"/>
  <c r="CA51" i="8"/>
  <c r="DD17" i="8"/>
  <c r="DE41" i="6"/>
  <c r="DC2" i="7"/>
  <c r="DB8" i="7"/>
  <c r="DC52" i="8" s="1"/>
  <c r="DB5" i="7"/>
  <c r="DC51" i="8" s="1"/>
  <c r="DD16" i="8"/>
  <c r="DY3" i="2"/>
  <c r="DX5" i="2"/>
  <c r="CV6" i="8" s="1"/>
  <c r="DD23" i="8"/>
  <c r="BZ70" i="8"/>
  <c r="CA69" i="8" s="1"/>
  <c r="BZ67" i="8"/>
  <c r="DD18" i="8"/>
  <c r="EE1" i="2"/>
  <c r="ED4" i="2"/>
  <c r="DC15" i="7"/>
  <c r="DC18" i="7"/>
  <c r="DD15" i="8"/>
  <c r="DD22" i="8"/>
  <c r="DE21" i="6"/>
  <c r="DD21" i="8"/>
  <c r="DC65" i="8"/>
  <c r="DD64" i="8"/>
  <c r="DD65" i="8" s="1"/>
  <c r="DC39" i="8"/>
  <c r="DC40" i="8"/>
  <c r="DD50" i="8"/>
  <c r="DD53" i="8" s="1"/>
  <c r="DD31" i="8"/>
  <c r="DD30" i="8"/>
  <c r="DD34" i="8"/>
  <c r="DD29" i="8"/>
  <c r="DD33" i="8"/>
  <c r="DD32" i="8"/>
  <c r="DD35" i="8"/>
  <c r="DD36" i="8"/>
  <c r="DE1" i="8"/>
  <c r="DD2" i="8"/>
  <c r="DD38" i="8" s="1"/>
  <c r="BZ19" i="7"/>
  <c r="CA14" i="7" s="1"/>
  <c r="DD12" i="7"/>
  <c r="CV7" i="7"/>
  <c r="CV6" i="7" s="1"/>
  <c r="CV9" i="7" s="1"/>
  <c r="CW4" i="7" s="1"/>
  <c r="DE19" i="8" l="1"/>
  <c r="DF41" i="6"/>
  <c r="DZ3" i="2"/>
  <c r="DY5" i="2"/>
  <c r="CW6" i="8" s="1"/>
  <c r="DF21" i="6"/>
  <c r="DH1" i="6"/>
  <c r="DG40" i="6"/>
  <c r="DG37" i="6"/>
  <c r="DG39" i="6"/>
  <c r="DG9" i="6"/>
  <c r="DG7" i="6"/>
  <c r="DG28" i="6"/>
  <c r="DG8" i="6"/>
  <c r="DG16" i="6"/>
  <c r="DG33" i="6"/>
  <c r="DG32" i="6"/>
  <c r="DG34" i="6"/>
  <c r="DG31" i="6"/>
  <c r="DG38" i="6"/>
  <c r="DG36" i="6"/>
  <c r="DG27" i="6"/>
  <c r="DG13" i="6"/>
  <c r="DG14" i="6"/>
  <c r="DG35" i="6"/>
  <c r="DG15" i="6"/>
  <c r="DG12" i="6"/>
  <c r="DG5" i="6"/>
  <c r="DG30" i="6"/>
  <c r="DG17" i="6"/>
  <c r="DG20" i="6"/>
  <c r="DG29" i="6"/>
  <c r="DG26" i="6"/>
  <c r="DG6" i="6"/>
  <c r="DG25" i="6"/>
  <c r="DG10" i="6"/>
  <c r="DG19" i="6"/>
  <c r="DG18" i="6"/>
  <c r="DG11" i="6"/>
  <c r="DG2" i="6"/>
  <c r="DE21" i="8"/>
  <c r="DE15" i="8"/>
  <c r="DE45" i="6"/>
  <c r="DE49" i="6" s="1"/>
  <c r="DA45" i="8" s="1"/>
  <c r="DE22" i="8"/>
  <c r="CZ14" i="8"/>
  <c r="CY24" i="8"/>
  <c r="DE23" i="8"/>
  <c r="DE20" i="8"/>
  <c r="CV7" i="8"/>
  <c r="CV9" i="8"/>
  <c r="CV10" i="8"/>
  <c r="CV8" i="8"/>
  <c r="DE16" i="8"/>
  <c r="DD2" i="7"/>
  <c r="DC5" i="7"/>
  <c r="DD51" i="8" s="1"/>
  <c r="DC8" i="7"/>
  <c r="DD52" i="8" s="1"/>
  <c r="EF1" i="2"/>
  <c r="EE4" i="2"/>
  <c r="DE18" i="8"/>
  <c r="DE17" i="8"/>
  <c r="DD18" i="7"/>
  <c r="DD15" i="7"/>
  <c r="CA55" i="8"/>
  <c r="EF2" i="2"/>
  <c r="EG2" i="2" s="1"/>
  <c r="DE64" i="8"/>
  <c r="DE65" i="8" s="1"/>
  <c r="DD40" i="8"/>
  <c r="DD39" i="8"/>
  <c r="DE50" i="8"/>
  <c r="DE53" i="8" s="1"/>
  <c r="DE31" i="8"/>
  <c r="DE32" i="8"/>
  <c r="DE34" i="8"/>
  <c r="DE35" i="8"/>
  <c r="DE36" i="8"/>
  <c r="DE29" i="8"/>
  <c r="DE33" i="8"/>
  <c r="DE30" i="8"/>
  <c r="DE2" i="8"/>
  <c r="DF1" i="8"/>
  <c r="CA15" i="7"/>
  <c r="CA17" i="7"/>
  <c r="DE12" i="7"/>
  <c r="CW7" i="7"/>
  <c r="CW6" i="7" s="1"/>
  <c r="CW9" i="7" s="1"/>
  <c r="CX4" i="7" s="1"/>
  <c r="CV11" i="8" l="1"/>
  <c r="CV26" i="8" s="1"/>
  <c r="CV37" i="8" s="1"/>
  <c r="CV41" i="8" s="1"/>
  <c r="CV43" i="8" s="1"/>
  <c r="CV47" i="8" s="1"/>
  <c r="CV55" i="8" s="1"/>
  <c r="CV59" i="8" s="1"/>
  <c r="DF16" i="8"/>
  <c r="DE38" i="8"/>
  <c r="DF15" i="8"/>
  <c r="DF17" i="8"/>
  <c r="DI1" i="6"/>
  <c r="DH39" i="6"/>
  <c r="DH38" i="6"/>
  <c r="DH37" i="6"/>
  <c r="DH36" i="6"/>
  <c r="DH34" i="6"/>
  <c r="DH35" i="6"/>
  <c r="DH26" i="6"/>
  <c r="DH8" i="6"/>
  <c r="DH11" i="6"/>
  <c r="DH33" i="6"/>
  <c r="DH7" i="6"/>
  <c r="DH40" i="6"/>
  <c r="DH30" i="6"/>
  <c r="DH12" i="6"/>
  <c r="DH15" i="6"/>
  <c r="DH31" i="6"/>
  <c r="DH6" i="6"/>
  <c r="DH27" i="6"/>
  <c r="DH10" i="6"/>
  <c r="DH28" i="6"/>
  <c r="DH13" i="6"/>
  <c r="DH14" i="6"/>
  <c r="DH18" i="6"/>
  <c r="DH29" i="6"/>
  <c r="DH17" i="6"/>
  <c r="DH16" i="6"/>
  <c r="DH20" i="6"/>
  <c r="DH9" i="6"/>
  <c r="DH5" i="6"/>
  <c r="DH19" i="6"/>
  <c r="DH25" i="6"/>
  <c r="DH32" i="6"/>
  <c r="DH2" i="6"/>
  <c r="DF18" i="8"/>
  <c r="DF20" i="8"/>
  <c r="DF45" i="6"/>
  <c r="DF49" i="6" s="1"/>
  <c r="DB45" i="8" s="1"/>
  <c r="DF21" i="8"/>
  <c r="DG21" i="8" s="1"/>
  <c r="CW10" i="8"/>
  <c r="CW7" i="8"/>
  <c r="CW8" i="8"/>
  <c r="CW9" i="8"/>
  <c r="EG1" i="2"/>
  <c r="EF4" i="2"/>
  <c r="DG21" i="6"/>
  <c r="EA3" i="2"/>
  <c r="DZ5" i="2"/>
  <c r="CX6" i="8" s="1"/>
  <c r="DF23" i="8"/>
  <c r="DG23" i="8" s="1"/>
  <c r="DE2" i="7"/>
  <c r="DD8" i="7"/>
  <c r="DE52" i="8" s="1"/>
  <c r="DD5" i="7"/>
  <c r="DE51" i="8" s="1"/>
  <c r="DG41" i="6"/>
  <c r="CA59" i="8"/>
  <c r="DE18" i="7"/>
  <c r="DE15" i="7"/>
  <c r="CA16" i="7"/>
  <c r="CA19" i="7" s="1"/>
  <c r="CB14" i="7" s="1"/>
  <c r="CB51" i="8"/>
  <c r="DA14" i="8"/>
  <c r="CZ24" i="8"/>
  <c r="DF38" i="8"/>
  <c r="DF22" i="8"/>
  <c r="DF19" i="8"/>
  <c r="DF64" i="8"/>
  <c r="DF65" i="8" s="1"/>
  <c r="DF30" i="8"/>
  <c r="DF50" i="8"/>
  <c r="DF53" i="8" s="1"/>
  <c r="DF32" i="8"/>
  <c r="DF34" i="8"/>
  <c r="DF35" i="8"/>
  <c r="DF36" i="8"/>
  <c r="DF29" i="8"/>
  <c r="DF33" i="8"/>
  <c r="DF31" i="8"/>
  <c r="DE40" i="8"/>
  <c r="DE39" i="8"/>
  <c r="DF2" i="8"/>
  <c r="DG1" i="8"/>
  <c r="DF12" i="7"/>
  <c r="CX7" i="7"/>
  <c r="CX6" i="7" s="1"/>
  <c r="CX9" i="7" s="1"/>
  <c r="CY4" i="7" s="1"/>
  <c r="CW11" i="8" l="1"/>
  <c r="CW26" i="8" s="1"/>
  <c r="CW37" i="8" s="1"/>
  <c r="CW41" i="8" s="1"/>
  <c r="CW43" i="8" s="1"/>
  <c r="CW47" i="8" s="1"/>
  <c r="CW55" i="8" s="1"/>
  <c r="CW59" i="8" s="1"/>
  <c r="CW67" i="8" s="1"/>
  <c r="DF18" i="7"/>
  <c r="DF15" i="7"/>
  <c r="CV67" i="8"/>
  <c r="DG49" i="6"/>
  <c r="DC45" i="8" s="1"/>
  <c r="DG45" i="6"/>
  <c r="DJ1" i="6"/>
  <c r="DI36" i="6"/>
  <c r="DI35" i="6"/>
  <c r="DI33" i="6"/>
  <c r="DI7" i="6"/>
  <c r="DI28" i="6"/>
  <c r="DI11" i="6"/>
  <c r="DI39" i="6"/>
  <c r="DI38" i="6"/>
  <c r="DI34" i="6"/>
  <c r="DI27" i="6"/>
  <c r="DI30" i="6"/>
  <c r="DI40" i="6"/>
  <c r="DI37" i="6"/>
  <c r="DI31" i="6"/>
  <c r="DI10" i="6"/>
  <c r="DI25" i="6"/>
  <c r="DI8" i="6"/>
  <c r="DI13" i="6"/>
  <c r="DI18" i="6"/>
  <c r="DI19" i="6"/>
  <c r="DI15" i="6"/>
  <c r="DI29" i="6"/>
  <c r="DI6" i="6"/>
  <c r="DI5" i="6"/>
  <c r="DI26" i="6"/>
  <c r="DI12" i="6"/>
  <c r="DI14" i="6"/>
  <c r="DI17" i="6"/>
  <c r="DI16" i="6"/>
  <c r="DI20" i="6"/>
  <c r="DI9" i="6"/>
  <c r="DI32" i="6"/>
  <c r="DI2" i="6"/>
  <c r="DG20" i="8"/>
  <c r="DG17" i="8"/>
  <c r="DH21" i="6"/>
  <c r="DG18" i="8"/>
  <c r="DG15" i="8"/>
  <c r="DB14" i="8"/>
  <c r="DA24" i="8"/>
  <c r="DF2" i="7"/>
  <c r="DE5" i="7"/>
  <c r="DF51" i="8" s="1"/>
  <c r="DE8" i="7"/>
  <c r="DF52" i="8" s="1"/>
  <c r="CB55" i="8"/>
  <c r="CX10" i="8"/>
  <c r="CX9" i="8"/>
  <c r="CX7" i="8"/>
  <c r="CX8" i="8"/>
  <c r="DG16" i="8"/>
  <c r="DH21" i="8"/>
  <c r="EB3" i="2"/>
  <c r="EA5" i="2"/>
  <c r="CY6" i="8" s="1"/>
  <c r="EH1" i="2"/>
  <c r="EG4" i="2"/>
  <c r="CA67" i="8"/>
  <c r="CA70" i="8"/>
  <c r="CB69" i="8" s="1"/>
  <c r="DG19" i="8"/>
  <c r="DG22" i="8"/>
  <c r="EH2" i="2"/>
  <c r="EI2" i="2" s="1"/>
  <c r="DH41" i="6"/>
  <c r="DG64" i="8"/>
  <c r="DG65" i="8" s="1"/>
  <c r="DG50" i="8"/>
  <c r="DG53" i="8" s="1"/>
  <c r="DG30" i="8"/>
  <c r="DG32" i="8"/>
  <c r="DG31" i="8"/>
  <c r="DG33" i="8"/>
  <c r="DG35" i="8"/>
  <c r="DG34" i="8"/>
  <c r="DG36" i="8"/>
  <c r="DG29" i="8"/>
  <c r="DF40" i="8"/>
  <c r="DF39" i="8"/>
  <c r="DG2" i="8"/>
  <c r="DG38" i="8" s="1"/>
  <c r="DH1" i="8"/>
  <c r="DH23" i="8" s="1"/>
  <c r="CB15" i="7"/>
  <c r="CB17" i="7"/>
  <c r="DG12" i="7"/>
  <c r="CY7" i="7"/>
  <c r="CY6" i="7" s="1"/>
  <c r="CY9" i="7" s="1"/>
  <c r="CZ4" i="7" s="1"/>
  <c r="CX11" i="8" l="1"/>
  <c r="CX26" i="8" s="1"/>
  <c r="CX37" i="8" s="1"/>
  <c r="CX41" i="8" s="1"/>
  <c r="CX43" i="8" s="1"/>
  <c r="CX47" i="8" s="1"/>
  <c r="CX55" i="8" s="1"/>
  <c r="CX59" i="8" s="1"/>
  <c r="CX67" i="8" s="1"/>
  <c r="DH16" i="8"/>
  <c r="DH15" i="8"/>
  <c r="DI41" i="6"/>
  <c r="DH18" i="8"/>
  <c r="DH17" i="8"/>
  <c r="DI21" i="6"/>
  <c r="DK1" i="6"/>
  <c r="DJ34" i="6"/>
  <c r="DJ33" i="6"/>
  <c r="DJ32" i="6"/>
  <c r="DJ25" i="6"/>
  <c r="DJ39" i="6"/>
  <c r="DJ6" i="6"/>
  <c r="DJ15" i="6"/>
  <c r="DJ16" i="6"/>
  <c r="DJ17" i="6"/>
  <c r="DJ18" i="6"/>
  <c r="DJ28" i="6"/>
  <c r="DJ19" i="6"/>
  <c r="DJ20" i="6"/>
  <c r="DJ40" i="6"/>
  <c r="DJ30" i="6"/>
  <c r="DJ7" i="6"/>
  <c r="DJ8" i="6"/>
  <c r="DJ9" i="6"/>
  <c r="DJ10" i="6"/>
  <c r="DJ38" i="6"/>
  <c r="DJ36" i="6"/>
  <c r="DJ31" i="6"/>
  <c r="DJ35" i="6"/>
  <c r="DJ5" i="6"/>
  <c r="DJ11" i="6"/>
  <c r="DJ29" i="6"/>
  <c r="DJ26" i="6"/>
  <c r="DJ27" i="6"/>
  <c r="DJ12" i="6"/>
  <c r="DJ14" i="6"/>
  <c r="DJ37" i="6"/>
  <c r="DJ13" i="6"/>
  <c r="DJ2" i="6"/>
  <c r="DH20" i="8"/>
  <c r="CB16" i="7"/>
  <c r="CC51" i="8"/>
  <c r="DH45" i="6"/>
  <c r="DH49" i="6" s="1"/>
  <c r="DD45" i="8" s="1"/>
  <c r="DH38" i="8"/>
  <c r="DH19" i="8"/>
  <c r="EI1" i="2"/>
  <c r="EH4" i="2"/>
  <c r="CB59" i="8"/>
  <c r="CB67" i="8" s="1"/>
  <c r="DC14" i="8"/>
  <c r="DB24" i="8"/>
  <c r="DH22" i="8"/>
  <c r="DI22" i="8" s="1"/>
  <c r="DG15" i="7"/>
  <c r="DG18" i="7"/>
  <c r="CY8" i="8"/>
  <c r="CY10" i="8"/>
  <c r="CY7" i="8"/>
  <c r="CY9" i="8"/>
  <c r="EC3" i="2"/>
  <c r="EB5" i="2"/>
  <c r="CZ6" i="8" s="1"/>
  <c r="DG2" i="7"/>
  <c r="DF5" i="7"/>
  <c r="DG51" i="8" s="1"/>
  <c r="DF8" i="7"/>
  <c r="DG52" i="8" s="1"/>
  <c r="DH64" i="8"/>
  <c r="DG40" i="8"/>
  <c r="DG39" i="8"/>
  <c r="DH50" i="8"/>
  <c r="DH53" i="8" s="1"/>
  <c r="DH30" i="8"/>
  <c r="DH32" i="8"/>
  <c r="DH31" i="8"/>
  <c r="DH33" i="8"/>
  <c r="DH35" i="8"/>
  <c r="DH36" i="8"/>
  <c r="DH29" i="8"/>
  <c r="DH34" i="8"/>
  <c r="DI1" i="8"/>
  <c r="DH2" i="8"/>
  <c r="CB19" i="7"/>
  <c r="CC14" i="7" s="1"/>
  <c r="DH12" i="7"/>
  <c r="CZ7" i="7"/>
  <c r="CZ6" i="7" s="1"/>
  <c r="CZ9" i="7" s="1"/>
  <c r="DA4" i="7" s="1"/>
  <c r="CB70" i="8" l="1"/>
  <c r="CC69" i="8" s="1"/>
  <c r="CC55" i="8"/>
  <c r="DH2" i="7"/>
  <c r="DG5" i="7"/>
  <c r="DH51" i="8" s="1"/>
  <c r="DG8" i="7"/>
  <c r="DH52" i="8" s="1"/>
  <c r="DI21" i="8"/>
  <c r="ED3" i="2"/>
  <c r="EC5" i="2"/>
  <c r="DA6" i="8" s="1"/>
  <c r="DI18" i="8"/>
  <c r="CZ9" i="8"/>
  <c r="CZ7" i="8"/>
  <c r="CZ8" i="8"/>
  <c r="CZ10" i="8"/>
  <c r="DJ21" i="6"/>
  <c r="DD14" i="8"/>
  <c r="DC24" i="8"/>
  <c r="DI20" i="8"/>
  <c r="DI15" i="8"/>
  <c r="DH18" i="7"/>
  <c r="DH15" i="7"/>
  <c r="DI16" i="8"/>
  <c r="DL1" i="6"/>
  <c r="DK32" i="6"/>
  <c r="DK27" i="6"/>
  <c r="DK34" i="6"/>
  <c r="DK40" i="6"/>
  <c r="DK33" i="6"/>
  <c r="DK30" i="6"/>
  <c r="DK10" i="6"/>
  <c r="DK14" i="6"/>
  <c r="DK38" i="6"/>
  <c r="DK37" i="6"/>
  <c r="DK36" i="6"/>
  <c r="DK7" i="6"/>
  <c r="DK11" i="6"/>
  <c r="DK13" i="6"/>
  <c r="DK39" i="6"/>
  <c r="DK28" i="6"/>
  <c r="DK35" i="6"/>
  <c r="DK25" i="6"/>
  <c r="DK29" i="6"/>
  <c r="DK20" i="6"/>
  <c r="DK31" i="6"/>
  <c r="DK15" i="6"/>
  <c r="DK26" i="6"/>
  <c r="DK18" i="6"/>
  <c r="DK19" i="6"/>
  <c r="DK9" i="6"/>
  <c r="DK6" i="6"/>
  <c r="DK8" i="6"/>
  <c r="DK12" i="6"/>
  <c r="DK17" i="6"/>
  <c r="DK16" i="6"/>
  <c r="DK5" i="6"/>
  <c r="DK2" i="6"/>
  <c r="DI49" i="6"/>
  <c r="DE45" i="8" s="1"/>
  <c r="DI45" i="6"/>
  <c r="DI17" i="8"/>
  <c r="CY11" i="8"/>
  <c r="CY26" i="8" s="1"/>
  <c r="EJ1" i="2"/>
  <c r="EI4" i="2"/>
  <c r="DI19" i="8"/>
  <c r="EJ2" i="2"/>
  <c r="EK2" i="2" s="1"/>
  <c r="DJ41" i="6"/>
  <c r="DI23" i="8"/>
  <c r="DH65" i="8"/>
  <c r="DI64" i="8"/>
  <c r="DI65" i="8" s="1"/>
  <c r="DH39" i="8"/>
  <c r="DH40" i="8"/>
  <c r="DI50" i="8"/>
  <c r="DI53" i="8" s="1"/>
  <c r="DI30" i="8"/>
  <c r="DI31" i="8"/>
  <c r="DI32" i="8"/>
  <c r="DI33" i="8"/>
  <c r="DI35" i="8"/>
  <c r="DI34" i="8"/>
  <c r="DI36" i="8"/>
  <c r="DI29" i="8"/>
  <c r="DJ1" i="8"/>
  <c r="DI2" i="8"/>
  <c r="DI38" i="8" s="1"/>
  <c r="CC17" i="7"/>
  <c r="CC15" i="7"/>
  <c r="DI12" i="7"/>
  <c r="DA7" i="7"/>
  <c r="DA6" i="7" s="1"/>
  <c r="DA9" i="7" s="1"/>
  <c r="DB4" i="7" s="1"/>
  <c r="CZ11" i="8" l="1"/>
  <c r="CZ26" i="8" s="1"/>
  <c r="CZ37" i="8" s="1"/>
  <c r="CZ41" i="8" s="1"/>
  <c r="CZ43" i="8" s="1"/>
  <c r="CZ47" i="8" s="1"/>
  <c r="CZ55" i="8"/>
  <c r="CZ59" i="8" s="1"/>
  <c r="CZ67" i="8" s="1"/>
  <c r="DJ15" i="8"/>
  <c r="DE14" i="8"/>
  <c r="DD24" i="8"/>
  <c r="DJ19" i="8"/>
  <c r="DK19" i="8" s="1"/>
  <c r="DJ45" i="6"/>
  <c r="DJ49" i="6"/>
  <c r="DF45" i="8" s="1"/>
  <c r="DJ22" i="8"/>
  <c r="DK22" i="8" s="1"/>
  <c r="EK1" i="2"/>
  <c r="EL2" i="2" s="1"/>
  <c r="EJ4" i="2"/>
  <c r="DI2" i="7"/>
  <c r="DH5" i="7"/>
  <c r="DI51" i="8" s="1"/>
  <c r="DH8" i="7"/>
  <c r="DI52" i="8" s="1"/>
  <c r="DJ18" i="8"/>
  <c r="DJ20" i="8"/>
  <c r="DK20" i="8" s="1"/>
  <c r="DJ23" i="8"/>
  <c r="DK23" i="8" s="1"/>
  <c r="DK41" i="6"/>
  <c r="DM1" i="6"/>
  <c r="DL40" i="6"/>
  <c r="DL36" i="6"/>
  <c r="DL31" i="6"/>
  <c r="DL38" i="6"/>
  <c r="DL6" i="6"/>
  <c r="DL5" i="6"/>
  <c r="DL39" i="6"/>
  <c r="DL27" i="6"/>
  <c r="DL10" i="6"/>
  <c r="DL25" i="6"/>
  <c r="DL34" i="6"/>
  <c r="DL30" i="6"/>
  <c r="DL35" i="6"/>
  <c r="DL33" i="6"/>
  <c r="DL29" i="6"/>
  <c r="DL28" i="6"/>
  <c r="DL26" i="6"/>
  <c r="DL20" i="6"/>
  <c r="DL7" i="6"/>
  <c r="DL11" i="6"/>
  <c r="DL18" i="6"/>
  <c r="DL19" i="6"/>
  <c r="DL32" i="6"/>
  <c r="DL13" i="6"/>
  <c r="DL15" i="6"/>
  <c r="DL37" i="6"/>
  <c r="DL8" i="6"/>
  <c r="DL14" i="6"/>
  <c r="DL12" i="6"/>
  <c r="DL17" i="6"/>
  <c r="DL16" i="6"/>
  <c r="DL9" i="6"/>
  <c r="DL2" i="6"/>
  <c r="CC59" i="8"/>
  <c r="DK21" i="6"/>
  <c r="DA10" i="8"/>
  <c r="DA7" i="8"/>
  <c r="DA9" i="8"/>
  <c r="DA8" i="8"/>
  <c r="EE3" i="2"/>
  <c r="ED5" i="2"/>
  <c r="DB6" i="8" s="1"/>
  <c r="DJ21" i="8"/>
  <c r="DI18" i="7"/>
  <c r="DI15" i="7"/>
  <c r="CY37" i="8"/>
  <c r="CY41" i="8" s="1"/>
  <c r="CY43" i="8"/>
  <c r="CY47" i="8" s="1"/>
  <c r="CY55" i="8" s="1"/>
  <c r="CY59" i="8" s="1"/>
  <c r="CY67" i="8" s="1"/>
  <c r="CC16" i="7"/>
  <c r="CC19" i="7" s="1"/>
  <c r="CD14" i="7" s="1"/>
  <c r="CD51" i="8"/>
  <c r="DJ17" i="8"/>
  <c r="DK17" i="8" s="1"/>
  <c r="DJ16" i="8"/>
  <c r="DJ64" i="8"/>
  <c r="DI39" i="8"/>
  <c r="DI40" i="8"/>
  <c r="DJ50" i="8"/>
  <c r="DJ53" i="8" s="1"/>
  <c r="DJ31" i="8"/>
  <c r="DJ32" i="8"/>
  <c r="DJ33" i="8"/>
  <c r="DJ35" i="8"/>
  <c r="DJ30" i="8"/>
  <c r="DJ29" i="8"/>
  <c r="DJ34" i="8"/>
  <c r="DJ36" i="8"/>
  <c r="DK1" i="8"/>
  <c r="DJ2" i="8"/>
  <c r="DJ38" i="8" s="1"/>
  <c r="DJ12" i="7"/>
  <c r="DB7" i="7"/>
  <c r="DB6" i="7" s="1"/>
  <c r="DB9" i="7" s="1"/>
  <c r="DC4" i="7" s="1"/>
  <c r="DA11" i="8" l="1"/>
  <c r="DA26" i="8" s="1"/>
  <c r="DA37" i="8"/>
  <c r="DA41" i="8" s="1"/>
  <c r="DA43" i="8"/>
  <c r="DA47" i="8" s="1"/>
  <c r="DF14" i="8"/>
  <c r="DE24" i="8"/>
  <c r="DK21" i="8"/>
  <c r="DL21" i="8" s="1"/>
  <c r="DK18" i="8"/>
  <c r="DL18" i="8" s="1"/>
  <c r="DL23" i="8"/>
  <c r="DB7" i="8"/>
  <c r="DB8" i="8"/>
  <c r="DB10" i="8"/>
  <c r="DB9" i="8"/>
  <c r="DK15" i="8"/>
  <c r="DL15" i="8" s="1"/>
  <c r="EL1" i="2"/>
  <c r="EK4" i="2"/>
  <c r="DL41" i="6"/>
  <c r="DJ15" i="7"/>
  <c r="DJ18" i="7"/>
  <c r="DJ2" i="7"/>
  <c r="DI5" i="7"/>
  <c r="DJ51" i="8" s="1"/>
  <c r="DI8" i="7"/>
  <c r="DJ52" i="8" s="1"/>
  <c r="DL17" i="8"/>
  <c r="CD55" i="8"/>
  <c r="CD59" i="8" s="1"/>
  <c r="CD67" i="8" s="1"/>
  <c r="DL22" i="8"/>
  <c r="DK49" i="6"/>
  <c r="DG45" i="8" s="1"/>
  <c r="DK45" i="6"/>
  <c r="DN1" i="6"/>
  <c r="DM6" i="6"/>
  <c r="DM7" i="6"/>
  <c r="DM8" i="6"/>
  <c r="DM9" i="6"/>
  <c r="DM10" i="6"/>
  <c r="DM11" i="6"/>
  <c r="DM12" i="6"/>
  <c r="DM13" i="6"/>
  <c r="DM14" i="6"/>
  <c r="DM34" i="6"/>
  <c r="DM38" i="6"/>
  <c r="DM30" i="6"/>
  <c r="DM27" i="6"/>
  <c r="DM39" i="6"/>
  <c r="DM37" i="6"/>
  <c r="DM29" i="6"/>
  <c r="DM26" i="6"/>
  <c r="DM19" i="6"/>
  <c r="DM20" i="6"/>
  <c r="DM35" i="6"/>
  <c r="DM33" i="6"/>
  <c r="DM25" i="6"/>
  <c r="DM40" i="6"/>
  <c r="DM36" i="6"/>
  <c r="DM16" i="6"/>
  <c r="DM32" i="6"/>
  <c r="DM18" i="6"/>
  <c r="DM15" i="6"/>
  <c r="DM17" i="6"/>
  <c r="DM28" i="6"/>
  <c r="DM31" i="6"/>
  <c r="DM5" i="6"/>
  <c r="DM2" i="6"/>
  <c r="DL19" i="8"/>
  <c r="CC70" i="8"/>
  <c r="CD69" i="8" s="1"/>
  <c r="CC67" i="8"/>
  <c r="EF3" i="2"/>
  <c r="EE5" i="2"/>
  <c r="DC6" i="8" s="1"/>
  <c r="DL21" i="6"/>
  <c r="DK38" i="8"/>
  <c r="DK16" i="8"/>
  <c r="DL16" i="8" s="1"/>
  <c r="DJ65" i="8"/>
  <c r="DK64" i="8"/>
  <c r="DK65" i="8" s="1"/>
  <c r="DJ39" i="8"/>
  <c r="DJ40" i="8"/>
  <c r="DK50" i="8"/>
  <c r="DK53" i="8" s="1"/>
  <c r="DK31" i="8"/>
  <c r="DK30" i="8"/>
  <c r="DK32" i="8"/>
  <c r="DK34" i="8"/>
  <c r="DK33" i="8"/>
  <c r="DK35" i="8"/>
  <c r="DK29" i="8"/>
  <c r="DK36" i="8"/>
  <c r="DL1" i="8"/>
  <c r="DK2" i="8"/>
  <c r="DL20" i="8" s="1"/>
  <c r="CD17" i="7"/>
  <c r="CD15" i="7"/>
  <c r="DK12" i="7"/>
  <c r="DC7" i="7"/>
  <c r="DC6" i="7" s="1"/>
  <c r="DC9" i="7" s="1"/>
  <c r="DD4" i="7" s="1"/>
  <c r="DB11" i="8" l="1"/>
  <c r="DB26" i="8" s="1"/>
  <c r="DB37" i="8" s="1"/>
  <c r="DB41" i="8" s="1"/>
  <c r="DB43" i="8" s="1"/>
  <c r="DB47" i="8" s="1"/>
  <c r="CD70" i="8"/>
  <c r="CE69" i="8" s="1"/>
  <c r="DL45" i="6"/>
  <c r="DL49" i="6" s="1"/>
  <c r="DH45" i="8" s="1"/>
  <c r="DM18" i="8"/>
  <c r="DO1" i="6"/>
  <c r="DN39" i="6"/>
  <c r="DN36" i="6"/>
  <c r="DN31" i="6"/>
  <c r="DN29" i="6"/>
  <c r="DN37" i="6"/>
  <c r="DN27" i="6"/>
  <c r="DN34" i="6"/>
  <c r="DN25" i="6"/>
  <c r="DN6" i="6"/>
  <c r="DN35" i="6"/>
  <c r="DN38" i="6"/>
  <c r="DN30" i="6"/>
  <c r="DN11" i="6"/>
  <c r="DN12" i="6"/>
  <c r="DN7" i="6"/>
  <c r="DN10" i="6"/>
  <c r="DN32" i="6"/>
  <c r="DN17" i="6"/>
  <c r="DN19" i="6"/>
  <c r="DN40" i="6"/>
  <c r="DN20" i="6"/>
  <c r="DN18" i="6"/>
  <c r="DN8" i="6"/>
  <c r="DN15" i="6"/>
  <c r="DN14" i="6"/>
  <c r="DN13" i="6"/>
  <c r="DN16" i="6"/>
  <c r="DN5" i="6"/>
  <c r="DN21" i="6" s="1"/>
  <c r="DN33" i="6"/>
  <c r="DN26" i="6"/>
  <c r="DN9" i="6"/>
  <c r="DN28" i="6"/>
  <c r="DN2" i="6"/>
  <c r="DK18" i="7"/>
  <c r="DK15" i="7"/>
  <c r="DG14" i="8"/>
  <c r="DF24" i="8"/>
  <c r="DM23" i="8"/>
  <c r="DM19" i="8"/>
  <c r="EM1" i="2"/>
  <c r="EL4" i="2"/>
  <c r="CD16" i="7"/>
  <c r="CE51" i="8"/>
  <c r="EM2" i="2"/>
  <c r="DK2" i="7"/>
  <c r="DJ5" i="7"/>
  <c r="DK51" i="8" s="1"/>
  <c r="DJ8" i="7"/>
  <c r="DK52" i="8" s="1"/>
  <c r="DM41" i="6"/>
  <c r="DA55" i="8"/>
  <c r="DA59" i="8" s="1"/>
  <c r="DA67" i="8" s="1"/>
  <c r="DC9" i="8"/>
  <c r="DC8" i="8"/>
  <c r="DC10" i="8"/>
  <c r="DC7" i="8"/>
  <c r="EG3" i="2"/>
  <c r="EF5" i="2"/>
  <c r="DD6" i="8" s="1"/>
  <c r="DM21" i="8"/>
  <c r="DM22" i="8"/>
  <c r="DM21" i="6"/>
  <c r="DL38" i="8"/>
  <c r="DL64" i="8"/>
  <c r="DK39" i="8"/>
  <c r="DK40" i="8"/>
  <c r="DL50" i="8"/>
  <c r="DL53" i="8" s="1"/>
  <c r="DL31" i="8"/>
  <c r="DL30" i="8"/>
  <c r="DL34" i="8"/>
  <c r="DL32" i="8"/>
  <c r="DL35" i="8"/>
  <c r="DL29" i="8"/>
  <c r="DL33" i="8"/>
  <c r="DL36" i="8"/>
  <c r="DM1" i="8"/>
  <c r="DL2" i="8"/>
  <c r="DM15" i="8" s="1"/>
  <c r="CE14" i="7"/>
  <c r="CD19" i="7"/>
  <c r="DL12" i="7"/>
  <c r="DD7" i="7"/>
  <c r="DD6" i="7" s="1"/>
  <c r="DD9" i="7" s="1"/>
  <c r="DE4" i="7" s="1"/>
  <c r="DC11" i="8" l="1"/>
  <c r="DC26" i="8" s="1"/>
  <c r="DC37" i="8" s="1"/>
  <c r="DC41" i="8" s="1"/>
  <c r="EN1" i="2"/>
  <c r="EM4" i="2"/>
  <c r="DM49" i="6"/>
  <c r="DI45" i="8" s="1"/>
  <c r="DM45" i="6"/>
  <c r="EH3" i="2"/>
  <c r="EG5" i="2"/>
  <c r="DE6" i="8" s="1"/>
  <c r="DL18" i="7"/>
  <c r="DL15" i="7"/>
  <c r="DN18" i="8"/>
  <c r="CE55" i="8"/>
  <c r="CE59" i="8" s="1"/>
  <c r="CE70" i="8" s="1"/>
  <c r="CF69" i="8" s="1"/>
  <c r="DN19" i="8"/>
  <c r="DN23" i="8"/>
  <c r="DB55" i="8"/>
  <c r="DB59" i="8" s="1"/>
  <c r="DB67" i="8" s="1"/>
  <c r="DN21" i="8"/>
  <c r="DD9" i="8"/>
  <c r="DD10" i="8"/>
  <c r="DD7" i="8"/>
  <c r="DD8" i="8"/>
  <c r="DH14" i="8"/>
  <c r="DG24" i="8"/>
  <c r="DL2" i="7"/>
  <c r="DK8" i="7"/>
  <c r="DL52" i="8" s="1"/>
  <c r="DK5" i="7"/>
  <c r="DL51" i="8" s="1"/>
  <c r="DP1" i="6"/>
  <c r="DO40" i="6"/>
  <c r="DO38" i="6"/>
  <c r="DO30" i="6"/>
  <c r="DO27" i="6"/>
  <c r="DO33" i="6"/>
  <c r="DO14" i="6"/>
  <c r="DO34" i="6"/>
  <c r="DO25" i="6"/>
  <c r="DO9" i="6"/>
  <c r="DO13" i="6"/>
  <c r="DO18" i="6"/>
  <c r="DO36" i="6"/>
  <c r="DO26" i="6"/>
  <c r="DO10" i="6"/>
  <c r="DO5" i="6"/>
  <c r="DO21" i="6" s="1"/>
  <c r="DO35" i="6"/>
  <c r="DO29" i="6"/>
  <c r="DO12" i="6"/>
  <c r="DO7" i="6"/>
  <c r="DO32" i="6"/>
  <c r="DO11" i="6"/>
  <c r="DO17" i="6"/>
  <c r="DO20" i="6"/>
  <c r="DO37" i="6"/>
  <c r="DO19" i="6"/>
  <c r="DO8" i="6"/>
  <c r="DO15" i="6"/>
  <c r="DO28" i="6"/>
  <c r="DO31" i="6"/>
  <c r="DO6" i="6"/>
  <c r="DO16" i="6"/>
  <c r="DO39" i="6"/>
  <c r="DO2" i="6"/>
  <c r="EN2" i="2"/>
  <c r="EO2" i="2" s="1"/>
  <c r="DN41" i="6"/>
  <c r="DM38" i="8"/>
  <c r="DM17" i="8"/>
  <c r="DN17" i="8" s="1"/>
  <c r="DM16" i="8"/>
  <c r="DN16" i="8" s="1"/>
  <c r="DM20" i="8"/>
  <c r="DN20" i="8" s="1"/>
  <c r="DL65" i="8"/>
  <c r="DM64" i="8"/>
  <c r="DM65" i="8" s="1"/>
  <c r="DL40" i="8"/>
  <c r="DL39" i="8"/>
  <c r="DM50" i="8"/>
  <c r="DM53" i="8" s="1"/>
  <c r="DM31" i="8"/>
  <c r="DM34" i="8"/>
  <c r="DM32" i="8"/>
  <c r="DM36" i="8"/>
  <c r="DM30" i="8"/>
  <c r="DM35" i="8"/>
  <c r="DM29" i="8"/>
  <c r="DM33" i="8"/>
  <c r="DM2" i="8"/>
  <c r="DN1" i="8"/>
  <c r="CE17" i="7"/>
  <c r="CE15" i="7"/>
  <c r="DM12" i="7"/>
  <c r="DE7" i="7"/>
  <c r="DE6" i="7" s="1"/>
  <c r="DE9" i="7" s="1"/>
  <c r="DF4" i="7" s="1"/>
  <c r="DC43" i="8" l="1"/>
  <c r="DC47" i="8" s="1"/>
  <c r="DD11" i="8"/>
  <c r="DD26" i="8" s="1"/>
  <c r="DD37" i="8" s="1"/>
  <c r="DD41" i="8" s="1"/>
  <c r="DD43" i="8" s="1"/>
  <c r="DD47" i="8" s="1"/>
  <c r="CE67" i="8"/>
  <c r="DQ1" i="6"/>
  <c r="DP37" i="6"/>
  <c r="DP31" i="6"/>
  <c r="DP30" i="6"/>
  <c r="DP29" i="6"/>
  <c r="DP38" i="6"/>
  <c r="DP40" i="6"/>
  <c r="DP28" i="6"/>
  <c r="DP25" i="6"/>
  <c r="DP13" i="6"/>
  <c r="DP36" i="6"/>
  <c r="DP26" i="6"/>
  <c r="DP17" i="6"/>
  <c r="DP9" i="6"/>
  <c r="DP35" i="6"/>
  <c r="DP6" i="6"/>
  <c r="DP14" i="6"/>
  <c r="DP15" i="6"/>
  <c r="DP16" i="6"/>
  <c r="DP32" i="6"/>
  <c r="DP12" i="6"/>
  <c r="DP7" i="6"/>
  <c r="DP10" i="6"/>
  <c r="DP5" i="6"/>
  <c r="DP27" i="6"/>
  <c r="DP11" i="6"/>
  <c r="DP19" i="6"/>
  <c r="DP18" i="6"/>
  <c r="DP8" i="6"/>
  <c r="DP34" i="6"/>
  <c r="DP33" i="6"/>
  <c r="DP39" i="6"/>
  <c r="DP20" i="6"/>
  <c r="DP2" i="6"/>
  <c r="DE9" i="8"/>
  <c r="DE8" i="8"/>
  <c r="DE10" i="8"/>
  <c r="DE7" i="8"/>
  <c r="DE11" i="8" s="1"/>
  <c r="DE26" i="8" s="1"/>
  <c r="EI3" i="2"/>
  <c r="EH5" i="2"/>
  <c r="DF6" i="8" s="1"/>
  <c r="DO41" i="6"/>
  <c r="DN45" i="6"/>
  <c r="DN49" i="6" s="1"/>
  <c r="DJ45" i="8" s="1"/>
  <c r="DM18" i="7"/>
  <c r="DM15" i="7"/>
  <c r="CE16" i="7"/>
  <c r="CE19" i="7" s="1"/>
  <c r="CF14" i="7" s="1"/>
  <c r="CF51" i="8"/>
  <c r="CF55" i="8" s="1"/>
  <c r="CF59" i="8" s="1"/>
  <c r="CF67" i="8" s="1"/>
  <c r="DM2" i="7"/>
  <c r="DL8" i="7"/>
  <c r="DM52" i="8" s="1"/>
  <c r="DL5" i="7"/>
  <c r="DM51" i="8" s="1"/>
  <c r="DO19" i="8"/>
  <c r="EO1" i="2"/>
  <c r="EN4" i="2"/>
  <c r="DO21" i="8"/>
  <c r="EP2" i="2"/>
  <c r="DI14" i="8"/>
  <c r="DH24" i="8"/>
  <c r="DN22" i="8"/>
  <c r="DN15" i="8"/>
  <c r="DN64" i="8"/>
  <c r="DN50" i="8"/>
  <c r="DN53" i="8" s="1"/>
  <c r="DN30" i="8"/>
  <c r="DN31" i="8"/>
  <c r="DN34" i="8"/>
  <c r="DN33" i="8"/>
  <c r="DN32" i="8"/>
  <c r="DN36" i="8"/>
  <c r="DN35" i="8"/>
  <c r="DN29" i="8"/>
  <c r="DM40" i="8"/>
  <c r="DM39" i="8"/>
  <c r="DN2" i="8"/>
  <c r="DN38" i="8" s="1"/>
  <c r="DO1" i="8"/>
  <c r="DO23" i="8" s="1"/>
  <c r="DN12" i="7"/>
  <c r="DF7" i="7"/>
  <c r="DF6" i="7" s="1"/>
  <c r="DF9" i="7" s="1"/>
  <c r="DG4" i="7" s="1"/>
  <c r="DD55" i="8" l="1"/>
  <c r="DD59" i="8" s="1"/>
  <c r="DD67" i="8" s="1"/>
  <c r="CF70" i="8"/>
  <c r="CG69" i="8" s="1"/>
  <c r="DN2" i="7"/>
  <c r="DM5" i="7"/>
  <c r="DN51" i="8" s="1"/>
  <c r="DM8" i="7"/>
  <c r="DN52" i="8" s="1"/>
  <c r="DE37" i="8"/>
  <c r="DE41" i="8" s="1"/>
  <c r="DE43" i="8" s="1"/>
  <c r="DP21" i="6"/>
  <c r="DO17" i="8"/>
  <c r="DP17" i="8" s="1"/>
  <c r="DP21" i="8"/>
  <c r="DN15" i="7"/>
  <c r="DN18" i="7"/>
  <c r="DR1" i="6"/>
  <c r="DQ39" i="6"/>
  <c r="DQ28" i="6"/>
  <c r="DQ26" i="6"/>
  <c r="DQ33" i="6"/>
  <c r="DQ29" i="6"/>
  <c r="DQ12" i="6"/>
  <c r="DQ35" i="6"/>
  <c r="DQ16" i="6"/>
  <c r="DQ32" i="6"/>
  <c r="DQ27" i="6"/>
  <c r="DQ15" i="6"/>
  <c r="DQ37" i="6"/>
  <c r="DQ25" i="6"/>
  <c r="DQ9" i="6"/>
  <c r="DQ7" i="6"/>
  <c r="DQ40" i="6"/>
  <c r="DQ36" i="6"/>
  <c r="DQ30" i="6"/>
  <c r="DQ34" i="6"/>
  <c r="DQ31" i="6"/>
  <c r="DQ5" i="6"/>
  <c r="DQ8" i="6"/>
  <c r="DQ38" i="6"/>
  <c r="DQ17" i="6"/>
  <c r="DQ11" i="6"/>
  <c r="DQ19" i="6"/>
  <c r="DQ18" i="6"/>
  <c r="DQ14" i="6"/>
  <c r="DQ10" i="6"/>
  <c r="DQ6" i="6"/>
  <c r="DQ13" i="6"/>
  <c r="DQ20" i="6"/>
  <c r="DQ2" i="6"/>
  <c r="DO16" i="8"/>
  <c r="DP16" i="8" s="1"/>
  <c r="DJ14" i="8"/>
  <c r="DI24" i="8"/>
  <c r="EJ3" i="2"/>
  <c r="EI5" i="2"/>
  <c r="DG6" i="8" s="1"/>
  <c r="DP19" i="8"/>
  <c r="DO38" i="8"/>
  <c r="DO15" i="8"/>
  <c r="DP15" i="8" s="1"/>
  <c r="DF9" i="8"/>
  <c r="DF10" i="8"/>
  <c r="DF7" i="8"/>
  <c r="DF8" i="8"/>
  <c r="DF11" i="8" s="1"/>
  <c r="DF26" i="8" s="1"/>
  <c r="DF37" i="8" s="1"/>
  <c r="DF41" i="8" s="1"/>
  <c r="DF43" i="8" s="1"/>
  <c r="DF47" i="8" s="1"/>
  <c r="DF55" i="8" s="1"/>
  <c r="DF59" i="8" s="1"/>
  <c r="DF67" i="8" s="1"/>
  <c r="EP1" i="2"/>
  <c r="EO4" i="2"/>
  <c r="DC55" i="8"/>
  <c r="DO45" i="6"/>
  <c r="DO49" i="6" s="1"/>
  <c r="DK45" i="8" s="1"/>
  <c r="DO18" i="8"/>
  <c r="DP18" i="8" s="1"/>
  <c r="DP41" i="6"/>
  <c r="DO22" i="8"/>
  <c r="DP22" i="8" s="1"/>
  <c r="DO20" i="8"/>
  <c r="DP20" i="8" s="1"/>
  <c r="DN65" i="8"/>
  <c r="DO64" i="8"/>
  <c r="DO65" i="8" s="1"/>
  <c r="DN39" i="8"/>
  <c r="DN40" i="8"/>
  <c r="DO50" i="8"/>
  <c r="DO53" i="8" s="1"/>
  <c r="DO30" i="8"/>
  <c r="DO32" i="8"/>
  <c r="DO31" i="8"/>
  <c r="DO33" i="8"/>
  <c r="DO35" i="8"/>
  <c r="DO34" i="8"/>
  <c r="DO36" i="8"/>
  <c r="DO29" i="8"/>
  <c r="DO2" i="8"/>
  <c r="DP1" i="8"/>
  <c r="DP23" i="8" s="1"/>
  <c r="CF17" i="7"/>
  <c r="CF15" i="7"/>
  <c r="DO12" i="7"/>
  <c r="DG7" i="7"/>
  <c r="DG6" i="7" s="1"/>
  <c r="DG9" i="7" s="1"/>
  <c r="DH4" i="7" s="1"/>
  <c r="DQ17" i="8" l="1"/>
  <c r="DO15" i="7"/>
  <c r="DO18" i="7"/>
  <c r="DQ22" i="8"/>
  <c r="DO2" i="7"/>
  <c r="DN8" i="7"/>
  <c r="DO52" i="8" s="1"/>
  <c r="DN5" i="7"/>
  <c r="DO51" i="8" s="1"/>
  <c r="DQ20" i="8"/>
  <c r="DQ21" i="6"/>
  <c r="CF16" i="7"/>
  <c r="CG51" i="8"/>
  <c r="DC59" i="8"/>
  <c r="DC67" i="8" s="1"/>
  <c r="DK14" i="8"/>
  <c r="DJ24" i="8"/>
  <c r="DQ16" i="8"/>
  <c r="DQ18" i="8"/>
  <c r="DP45" i="6"/>
  <c r="DP49" i="6" s="1"/>
  <c r="DL45" i="8" s="1"/>
  <c r="DE47" i="8"/>
  <c r="DG7" i="8"/>
  <c r="DG8" i="8"/>
  <c r="DG10" i="8"/>
  <c r="DG9" i="8"/>
  <c r="DP38" i="8"/>
  <c r="EQ1" i="2"/>
  <c r="EP4" i="2"/>
  <c r="EK3" i="2"/>
  <c r="EJ5" i="2"/>
  <c r="DH6" i="8" s="1"/>
  <c r="DQ41" i="6"/>
  <c r="EQ2" i="2"/>
  <c r="DS1" i="6"/>
  <c r="DR38" i="6"/>
  <c r="DR36" i="6"/>
  <c r="DR40" i="6"/>
  <c r="DR32" i="6"/>
  <c r="DR11" i="6"/>
  <c r="DR8" i="6"/>
  <c r="DR15" i="6"/>
  <c r="DR29" i="6"/>
  <c r="DR31" i="6"/>
  <c r="DR9" i="6"/>
  <c r="DR18" i="6"/>
  <c r="DR25" i="6"/>
  <c r="DR14" i="6"/>
  <c r="DR37" i="6"/>
  <c r="DR35" i="6"/>
  <c r="DR16" i="6"/>
  <c r="DR12" i="6"/>
  <c r="DR6" i="6"/>
  <c r="DR10" i="6"/>
  <c r="DR27" i="6"/>
  <c r="DR5" i="6"/>
  <c r="DR21" i="6" s="1"/>
  <c r="DR19" i="6"/>
  <c r="DR39" i="6"/>
  <c r="DR33" i="6"/>
  <c r="DR7" i="6"/>
  <c r="DR28" i="6"/>
  <c r="DR34" i="6"/>
  <c r="DR17" i="6"/>
  <c r="DR26" i="6"/>
  <c r="DR20" i="6"/>
  <c r="DR13" i="6"/>
  <c r="DR30" i="6"/>
  <c r="DR2" i="6"/>
  <c r="DP64" i="8"/>
  <c r="DP50" i="8"/>
  <c r="DP53" i="8" s="1"/>
  <c r="DP30" i="8"/>
  <c r="DP32" i="8"/>
  <c r="DP31" i="8"/>
  <c r="DP33" i="8"/>
  <c r="DP35" i="8"/>
  <c r="DP34" i="8"/>
  <c r="DP36" i="8"/>
  <c r="DP29" i="8"/>
  <c r="DO40" i="8"/>
  <c r="DO39" i="8"/>
  <c r="DQ1" i="8"/>
  <c r="DQ21" i="8" s="1"/>
  <c r="DP2" i="8"/>
  <c r="CG14" i="7"/>
  <c r="CF19" i="7"/>
  <c r="DP12" i="7"/>
  <c r="DH7" i="7"/>
  <c r="DH6" i="7" s="1"/>
  <c r="DH9" i="7" s="1"/>
  <c r="DI4" i="7" s="1"/>
  <c r="DG11" i="8" l="1"/>
  <c r="DG26" i="8" s="1"/>
  <c r="DG37" i="8" s="1"/>
  <c r="DG41" i="8" s="1"/>
  <c r="DG43" i="8" s="1"/>
  <c r="DG47" i="8" s="1"/>
  <c r="DH9" i="8"/>
  <c r="DH8" i="8"/>
  <c r="DH10" i="8"/>
  <c r="DH7" i="8"/>
  <c r="DQ45" i="6"/>
  <c r="DQ49" i="6"/>
  <c r="DM45" i="8" s="1"/>
  <c r="DR20" i="8"/>
  <c r="DR18" i="8"/>
  <c r="DP2" i="7"/>
  <c r="DO8" i="7"/>
  <c r="DP52" i="8" s="1"/>
  <c r="DO5" i="7"/>
  <c r="DP51" i="8" s="1"/>
  <c r="DP15" i="7"/>
  <c r="DP18" i="7"/>
  <c r="DL14" i="8"/>
  <c r="DK24" i="8"/>
  <c r="DE55" i="8"/>
  <c r="DR41" i="6"/>
  <c r="DR45" i="6" s="1"/>
  <c r="ER2" i="2"/>
  <c r="DQ19" i="8"/>
  <c r="CG55" i="8"/>
  <c r="CG59" i="8" s="1"/>
  <c r="CG70" i="8" s="1"/>
  <c r="CH69" i="8" s="1"/>
  <c r="EL3" i="2"/>
  <c r="EK5" i="2"/>
  <c r="DI6" i="8" s="1"/>
  <c r="ER1" i="2"/>
  <c r="EQ4" i="2"/>
  <c r="DR16" i="8"/>
  <c r="DT1" i="6"/>
  <c r="DS40" i="6"/>
  <c r="DS37" i="6"/>
  <c r="DS35" i="6"/>
  <c r="DS28" i="6"/>
  <c r="DS10" i="6"/>
  <c r="DS29" i="6"/>
  <c r="DS12" i="6"/>
  <c r="DS8" i="6"/>
  <c r="DS13" i="6"/>
  <c r="DS17" i="6"/>
  <c r="DS26" i="6"/>
  <c r="DS32" i="6"/>
  <c r="DS9" i="6"/>
  <c r="DS15" i="6"/>
  <c r="DS16" i="6"/>
  <c r="DS20" i="6"/>
  <c r="DS38" i="6"/>
  <c r="DS39" i="6"/>
  <c r="DS27" i="6"/>
  <c r="DS6" i="6"/>
  <c r="DS14" i="6"/>
  <c r="DS33" i="6"/>
  <c r="DS31" i="6"/>
  <c r="DS25" i="6"/>
  <c r="DS41" i="6" s="1"/>
  <c r="DS7" i="6"/>
  <c r="DS5" i="6"/>
  <c r="DS11" i="6"/>
  <c r="DS34" i="6"/>
  <c r="DS18" i="6"/>
  <c r="DS19" i="6"/>
  <c r="DS30" i="6"/>
  <c r="DS36" i="6"/>
  <c r="DS2" i="6"/>
  <c r="DR17" i="8"/>
  <c r="DQ38" i="8"/>
  <c r="DQ15" i="8"/>
  <c r="DR15" i="8" s="1"/>
  <c r="DQ23" i="8"/>
  <c r="DP65" i="8"/>
  <c r="DQ64" i="8"/>
  <c r="DQ65" i="8" s="1"/>
  <c r="DP39" i="8"/>
  <c r="DP40" i="8"/>
  <c r="DQ50" i="8"/>
  <c r="DQ53" i="8" s="1"/>
  <c r="DQ30" i="8"/>
  <c r="DQ31" i="8"/>
  <c r="DQ33" i="8"/>
  <c r="DQ35" i="8"/>
  <c r="DQ32" i="8"/>
  <c r="DQ34" i="8"/>
  <c r="DQ36" i="8"/>
  <c r="DQ29" i="8"/>
  <c r="DR1" i="8"/>
  <c r="DQ2" i="8"/>
  <c r="CG17" i="7"/>
  <c r="CG15" i="7"/>
  <c r="DQ12" i="7"/>
  <c r="DI7" i="7"/>
  <c r="DI6" i="7" s="1"/>
  <c r="DI9" i="7" s="1"/>
  <c r="DJ4" i="7" s="1"/>
  <c r="DG55" i="8" l="1"/>
  <c r="DG59" i="8" s="1"/>
  <c r="DG67" i="8" s="1"/>
  <c r="DH11" i="8"/>
  <c r="DH26" i="8" s="1"/>
  <c r="CG67" i="8"/>
  <c r="DH37" i="8"/>
  <c r="DH41" i="8" s="1"/>
  <c r="DH43" i="8" s="1"/>
  <c r="DH47" i="8" s="1"/>
  <c r="DH55" i="8" s="1"/>
  <c r="DH59" i="8" s="1"/>
  <c r="DH67" i="8" s="1"/>
  <c r="DQ2" i="7"/>
  <c r="DP8" i="7"/>
  <c r="DQ52" i="8" s="1"/>
  <c r="DP5" i="7"/>
  <c r="DQ51" i="8" s="1"/>
  <c r="ES1" i="2"/>
  <c r="ER4" i="2"/>
  <c r="DE59" i="8"/>
  <c r="DE67" i="8" s="1"/>
  <c r="CG16" i="7"/>
  <c r="CH51" i="8"/>
  <c r="CH55" i="8" s="1"/>
  <c r="CH59" i="8" s="1"/>
  <c r="CH67" i="8" s="1"/>
  <c r="DR49" i="6"/>
  <c r="DN45" i="8" s="1"/>
  <c r="DM14" i="8"/>
  <c r="DL24" i="8"/>
  <c r="DU1" i="6"/>
  <c r="DT39" i="6"/>
  <c r="DT38" i="6"/>
  <c r="DT37" i="6"/>
  <c r="DT32" i="6"/>
  <c r="DT35" i="6"/>
  <c r="DT9" i="6"/>
  <c r="DT31" i="6"/>
  <c r="DT12" i="6"/>
  <c r="DT16" i="6"/>
  <c r="DT29" i="6"/>
  <c r="DT6" i="6"/>
  <c r="DT15" i="6"/>
  <c r="DT34" i="6"/>
  <c r="DT27" i="6"/>
  <c r="DT13" i="6"/>
  <c r="DT33" i="6"/>
  <c r="DT25" i="6"/>
  <c r="DT19" i="6"/>
  <c r="DT26" i="6"/>
  <c r="DT10" i="6"/>
  <c r="DT20" i="6"/>
  <c r="DT18" i="6"/>
  <c r="DT30" i="6"/>
  <c r="DT7" i="6"/>
  <c r="DT5" i="6"/>
  <c r="DT11" i="6"/>
  <c r="DT28" i="6"/>
  <c r="DT8" i="6"/>
  <c r="DT14" i="6"/>
  <c r="DT40" i="6"/>
  <c r="DT36" i="6"/>
  <c r="DT17" i="6"/>
  <c r="DT2" i="6"/>
  <c r="DR19" i="8"/>
  <c r="DR22" i="8"/>
  <c r="DI10" i="8"/>
  <c r="DI9" i="8"/>
  <c r="DI8" i="8"/>
  <c r="DI7" i="8"/>
  <c r="DI11" i="8" s="1"/>
  <c r="DI26" i="8" s="1"/>
  <c r="DQ18" i="7"/>
  <c r="DQ15" i="7"/>
  <c r="EM3" i="2"/>
  <c r="EL5" i="2"/>
  <c r="DJ6" i="8" s="1"/>
  <c r="DS21" i="6"/>
  <c r="DR23" i="8"/>
  <c r="ES2" i="2"/>
  <c r="ET2" i="2" s="1"/>
  <c r="DR21" i="8"/>
  <c r="DR64" i="8"/>
  <c r="DR65" i="8" s="1"/>
  <c r="DR50" i="8"/>
  <c r="DR53" i="8" s="1"/>
  <c r="DR31" i="8"/>
  <c r="DR30" i="8"/>
  <c r="DR32" i="8"/>
  <c r="DR33" i="8"/>
  <c r="DR35" i="8"/>
  <c r="DR29" i="8"/>
  <c r="DR34" i="8"/>
  <c r="DR36" i="8"/>
  <c r="DQ39" i="8"/>
  <c r="DQ40" i="8"/>
  <c r="DS1" i="8"/>
  <c r="DS18" i="8" s="1"/>
  <c r="DR2" i="8"/>
  <c r="CG19" i="7"/>
  <c r="CH14" i="7" s="1"/>
  <c r="DR12" i="7"/>
  <c r="DR15" i="7" s="1"/>
  <c r="DJ7" i="7"/>
  <c r="DJ6" i="7" s="1"/>
  <c r="DJ9" i="7" s="1"/>
  <c r="DK4" i="7" s="1"/>
  <c r="CH70" i="8" l="1"/>
  <c r="CI69" i="8" s="1"/>
  <c r="DI37" i="8"/>
  <c r="DI41" i="8" s="1"/>
  <c r="DI43" i="8" s="1"/>
  <c r="DI47" i="8" s="1"/>
  <c r="DS21" i="8"/>
  <c r="DS20" i="8"/>
  <c r="DS23" i="8"/>
  <c r="DS22" i="8"/>
  <c r="DJ10" i="8"/>
  <c r="DJ7" i="8"/>
  <c r="DJ9" i="8"/>
  <c r="DJ8" i="8"/>
  <c r="EN3" i="2"/>
  <c r="EM5" i="2"/>
  <c r="DK6" i="8" s="1"/>
  <c r="DN14" i="8"/>
  <c r="DM24" i="8"/>
  <c r="DR2" i="7"/>
  <c r="DQ8" i="7"/>
  <c r="DR52" i="8" s="1"/>
  <c r="DQ5" i="7"/>
  <c r="DR51" i="8" s="1"/>
  <c r="DS38" i="8"/>
  <c r="DS19" i="8"/>
  <c r="DT19" i="8" s="1"/>
  <c r="DS16" i="8"/>
  <c r="DT16" i="8" s="1"/>
  <c r="DT21" i="6"/>
  <c r="DV1" i="6"/>
  <c r="DU36" i="6"/>
  <c r="DU35" i="6"/>
  <c r="DU34" i="6"/>
  <c r="DU37" i="6"/>
  <c r="DU26" i="6"/>
  <c r="DU8" i="6"/>
  <c r="DU31" i="6"/>
  <c r="DU7" i="6"/>
  <c r="DU32" i="6"/>
  <c r="DU15" i="6"/>
  <c r="DU29" i="6"/>
  <c r="DU40" i="6"/>
  <c r="DU11" i="6"/>
  <c r="DU6" i="6"/>
  <c r="DU9" i="6"/>
  <c r="DU30" i="6"/>
  <c r="DU12" i="6"/>
  <c r="DU16" i="6"/>
  <c r="DU17" i="6"/>
  <c r="DU10" i="6"/>
  <c r="DU20" i="6"/>
  <c r="DU38" i="6"/>
  <c r="DU33" i="6"/>
  <c r="DU28" i="6"/>
  <c r="DU39" i="6"/>
  <c r="DU13" i="6"/>
  <c r="DU5" i="6"/>
  <c r="DU25" i="6"/>
  <c r="DU14" i="6"/>
  <c r="DU19" i="6"/>
  <c r="DU18" i="6"/>
  <c r="DU27" i="6"/>
  <c r="DU2" i="6"/>
  <c r="DS17" i="8"/>
  <c r="DR38" i="8"/>
  <c r="DS15" i="8"/>
  <c r="ET1" i="2"/>
  <c r="ES4" i="2"/>
  <c r="DS45" i="6"/>
  <c r="DS49" i="6"/>
  <c r="DO45" i="8" s="1"/>
  <c r="DT41" i="6"/>
  <c r="DS50" i="8"/>
  <c r="DS53" i="8" s="1"/>
  <c r="DS31" i="8"/>
  <c r="DS30" i="8"/>
  <c r="DS32" i="8"/>
  <c r="DS34" i="8"/>
  <c r="DS33" i="8"/>
  <c r="DS35" i="8"/>
  <c r="DS29" i="8"/>
  <c r="DS36" i="8"/>
  <c r="DR40" i="8"/>
  <c r="DR39" i="8"/>
  <c r="DS2" i="8"/>
  <c r="DT1" i="8"/>
  <c r="DT18" i="8" s="1"/>
  <c r="CH15" i="7"/>
  <c r="CI51" i="8" s="1"/>
  <c r="CH17" i="7"/>
  <c r="DS12" i="7"/>
  <c r="DK7" i="7"/>
  <c r="DK6" i="7" s="1"/>
  <c r="DK9" i="7" s="1"/>
  <c r="DL4" i="7" s="1"/>
  <c r="DI55" i="8" l="1"/>
  <c r="DI59" i="8" s="1"/>
  <c r="DI67" i="8" s="1"/>
  <c r="DJ11" i="8"/>
  <c r="DJ26" i="8" s="1"/>
  <c r="DJ37" i="8" s="1"/>
  <c r="DJ41" i="8" s="1"/>
  <c r="DJ43" i="8" s="1"/>
  <c r="DJ47" i="8" s="1"/>
  <c r="DJ55" i="8" s="1"/>
  <c r="DJ59" i="8" s="1"/>
  <c r="DJ67" i="8" s="1"/>
  <c r="CI55" i="8"/>
  <c r="CI59" i="8" s="1"/>
  <c r="CI70" i="8" s="1"/>
  <c r="CJ69" i="8" s="1"/>
  <c r="DS2" i="7"/>
  <c r="DR8" i="7"/>
  <c r="DR5" i="7"/>
  <c r="DS51" i="8" s="1"/>
  <c r="DU21" i="6"/>
  <c r="DT20" i="8"/>
  <c r="DO14" i="8"/>
  <c r="DN24" i="8"/>
  <c r="DT21" i="8"/>
  <c r="DK8" i="8"/>
  <c r="DK10" i="8"/>
  <c r="DK9" i="8"/>
  <c r="DK7" i="8"/>
  <c r="DT64" i="8"/>
  <c r="DT65" i="8" s="1"/>
  <c r="DT23" i="8"/>
  <c r="DW1" i="6"/>
  <c r="DV34" i="6"/>
  <c r="DV33" i="6"/>
  <c r="DV32" i="6"/>
  <c r="DV36" i="6"/>
  <c r="DV25" i="6"/>
  <c r="DV7" i="6"/>
  <c r="DV15" i="6"/>
  <c r="DV16" i="6"/>
  <c r="DV17" i="6"/>
  <c r="DV18" i="6"/>
  <c r="DV11" i="6"/>
  <c r="DV19" i="6"/>
  <c r="DV20" i="6"/>
  <c r="DV28" i="6"/>
  <c r="DV8" i="6"/>
  <c r="DV12" i="6"/>
  <c r="DV37" i="6"/>
  <c r="DV40" i="6"/>
  <c r="DV14" i="6"/>
  <c r="DV29" i="6"/>
  <c r="DV30" i="6"/>
  <c r="DV6" i="6"/>
  <c r="DV26" i="6"/>
  <c r="DV9" i="6"/>
  <c r="DV39" i="6"/>
  <c r="DV13" i="6"/>
  <c r="DV10" i="6"/>
  <c r="DV38" i="6"/>
  <c r="DV5" i="6"/>
  <c r="DV31" i="6"/>
  <c r="DV27" i="6"/>
  <c r="DV35" i="6"/>
  <c r="DV2" i="6"/>
  <c r="DT22" i="8"/>
  <c r="DU41" i="6"/>
  <c r="EU1" i="2"/>
  <c r="ET4" i="2"/>
  <c r="DT15" i="8"/>
  <c r="EO3" i="2"/>
  <c r="EN5" i="2"/>
  <c r="DL6" i="8" s="1"/>
  <c r="DT49" i="6"/>
  <c r="DP45" i="8" s="1"/>
  <c r="DT45" i="6"/>
  <c r="DS18" i="7"/>
  <c r="DS15" i="7"/>
  <c r="DS14" i="7"/>
  <c r="DT17" i="8"/>
  <c r="EU2" i="2"/>
  <c r="DT47" i="8"/>
  <c r="DT50" i="8"/>
  <c r="DT53" i="8" s="1"/>
  <c r="DT31" i="8"/>
  <c r="DT30" i="8"/>
  <c r="DT32" i="8"/>
  <c r="DT34" i="8"/>
  <c r="DT33" i="8"/>
  <c r="DT29" i="8"/>
  <c r="DT35" i="8"/>
  <c r="DT36" i="8"/>
  <c r="DS40" i="8"/>
  <c r="DS39" i="8"/>
  <c r="DT2" i="8"/>
  <c r="DT38" i="8" s="1"/>
  <c r="DU1" i="8"/>
  <c r="DU19" i="8" s="1"/>
  <c r="CH16" i="7"/>
  <c r="DT12" i="7"/>
  <c r="DL7" i="7"/>
  <c r="DL6" i="7" s="1"/>
  <c r="DL9" i="7" s="1"/>
  <c r="DM4" i="7" s="1"/>
  <c r="DK11" i="8" l="1"/>
  <c r="DK26" i="8" s="1"/>
  <c r="CI67" i="8"/>
  <c r="DK37" i="8"/>
  <c r="DK41" i="8" s="1"/>
  <c r="DK43" i="8" s="1"/>
  <c r="DK47" i="8" s="1"/>
  <c r="DK55" i="8" s="1"/>
  <c r="DK59" i="8" s="1"/>
  <c r="DK67" i="8" s="1"/>
  <c r="DU21" i="8"/>
  <c r="EV1" i="2"/>
  <c r="EU4" i="2"/>
  <c r="DP14" i="8"/>
  <c r="DO24" i="8"/>
  <c r="DU22" i="8"/>
  <c r="DV22" i="8" s="1"/>
  <c r="DS17" i="7"/>
  <c r="DS16" i="7" s="1"/>
  <c r="DS19" i="7"/>
  <c r="DU45" i="6"/>
  <c r="DU49" i="6" s="1"/>
  <c r="DQ45" i="8" s="1"/>
  <c r="DT2" i="7"/>
  <c r="DS5" i="7"/>
  <c r="DT51" i="8" s="1"/>
  <c r="DT55" i="8" s="1"/>
  <c r="DT59" i="8" s="1"/>
  <c r="DS8" i="7"/>
  <c r="DT52" i="8" s="1"/>
  <c r="DU17" i="8"/>
  <c r="DU20" i="8"/>
  <c r="DV20" i="8" s="1"/>
  <c r="DU16" i="8"/>
  <c r="DV16" i="8" s="1"/>
  <c r="DX1" i="6"/>
  <c r="DW33" i="6"/>
  <c r="DW27" i="6"/>
  <c r="DW37" i="6"/>
  <c r="DW35" i="6"/>
  <c r="DW39" i="6"/>
  <c r="DW6" i="6"/>
  <c r="DW32" i="6"/>
  <c r="DW11" i="6"/>
  <c r="DW7" i="6"/>
  <c r="DW30" i="6"/>
  <c r="DW40" i="6"/>
  <c r="DW29" i="6"/>
  <c r="DW13" i="6"/>
  <c r="DW14" i="6"/>
  <c r="DW34" i="6"/>
  <c r="DW26" i="6"/>
  <c r="DW15" i="6"/>
  <c r="DW31" i="6"/>
  <c r="DW25" i="6"/>
  <c r="DW36" i="6"/>
  <c r="DW17" i="6"/>
  <c r="DW5" i="6"/>
  <c r="DW20" i="6"/>
  <c r="DW38" i="6"/>
  <c r="DW10" i="6"/>
  <c r="DW28" i="6"/>
  <c r="DW12" i="6"/>
  <c r="DW8" i="6"/>
  <c r="DW19" i="6"/>
  <c r="DW18" i="6"/>
  <c r="DW9" i="6"/>
  <c r="DW16" i="6"/>
  <c r="DW2" i="6"/>
  <c r="DU23" i="8"/>
  <c r="DV23" i="8" s="1"/>
  <c r="DV41" i="6"/>
  <c r="DU64" i="8"/>
  <c r="DU65" i="8" s="1"/>
  <c r="DU38" i="8"/>
  <c r="EV2" i="2"/>
  <c r="DL8" i="8"/>
  <c r="DL7" i="8"/>
  <c r="DL10" i="8"/>
  <c r="DL9" i="8"/>
  <c r="DV21" i="6"/>
  <c r="DT14" i="7"/>
  <c r="DT17" i="7" s="1"/>
  <c r="DT15" i="7"/>
  <c r="DT16" i="7" s="1"/>
  <c r="DT18" i="7"/>
  <c r="EP3" i="2"/>
  <c r="EO5" i="2"/>
  <c r="DM6" i="8" s="1"/>
  <c r="DU15" i="8"/>
  <c r="DU18" i="8"/>
  <c r="DT40" i="8"/>
  <c r="DT39" i="8"/>
  <c r="DU47" i="8"/>
  <c r="DU50" i="8"/>
  <c r="DU53" i="8" s="1"/>
  <c r="DU30" i="8"/>
  <c r="DU32" i="8"/>
  <c r="DU34" i="8"/>
  <c r="DU31" i="8"/>
  <c r="DU36" i="8"/>
  <c r="DU33" i="8"/>
  <c r="DU29" i="8"/>
  <c r="DU35" i="8"/>
  <c r="DU2" i="8"/>
  <c r="DV1" i="8"/>
  <c r="CH19" i="7"/>
  <c r="CI14" i="7" s="1"/>
  <c r="DU12" i="7"/>
  <c r="DM7" i="7"/>
  <c r="DM6" i="7" s="1"/>
  <c r="DM9" i="7" s="1"/>
  <c r="DN4" i="7" s="1"/>
  <c r="DT67" i="8" l="1"/>
  <c r="DL11" i="8"/>
  <c r="DL26" i="8" s="1"/>
  <c r="DL37" i="8" s="1"/>
  <c r="DL41" i="8" s="1"/>
  <c r="DL43" i="8" s="1"/>
  <c r="DL47" i="8" s="1"/>
  <c r="DL55" i="8" s="1"/>
  <c r="DL59" i="8" s="1"/>
  <c r="DL67" i="8" s="1"/>
  <c r="DV45" i="6"/>
  <c r="DV49" i="6"/>
  <c r="DR45" i="8" s="1"/>
  <c r="DW21" i="6"/>
  <c r="DU14" i="7"/>
  <c r="DU15" i="7"/>
  <c r="DU18" i="7"/>
  <c r="DQ14" i="8"/>
  <c r="DP24" i="8"/>
  <c r="DV17" i="8"/>
  <c r="DV64" i="8"/>
  <c r="DV65" i="8" s="1"/>
  <c r="DW41" i="6"/>
  <c r="EW1" i="2"/>
  <c r="EV4" i="2"/>
  <c r="DV21" i="8"/>
  <c r="DY1" i="6"/>
  <c r="DX32" i="6"/>
  <c r="DX5" i="6"/>
  <c r="DX28" i="6"/>
  <c r="DX33" i="6"/>
  <c r="DX31" i="6"/>
  <c r="DX8" i="6"/>
  <c r="DX34" i="6"/>
  <c r="DX30" i="6"/>
  <c r="DX26" i="6"/>
  <c r="DX11" i="6"/>
  <c r="DX13" i="6"/>
  <c r="DX14" i="6"/>
  <c r="DX6" i="6"/>
  <c r="DX18" i="6"/>
  <c r="DX29" i="6"/>
  <c r="DX9" i="6"/>
  <c r="DX16" i="6"/>
  <c r="DX17" i="6"/>
  <c r="DX35" i="6"/>
  <c r="DX37" i="6"/>
  <c r="DX36" i="6"/>
  <c r="DX12" i="6"/>
  <c r="DX38" i="6"/>
  <c r="DX20" i="6"/>
  <c r="DX39" i="6"/>
  <c r="DX25" i="6"/>
  <c r="DX7" i="6"/>
  <c r="DX10" i="6"/>
  <c r="DX15" i="6"/>
  <c r="DX27" i="6"/>
  <c r="DX40" i="6"/>
  <c r="DX19" i="6"/>
  <c r="DX2" i="6"/>
  <c r="DU2" i="7"/>
  <c r="DT8" i="7"/>
  <c r="DU52" i="8" s="1"/>
  <c r="DT5" i="7"/>
  <c r="DU51" i="8" s="1"/>
  <c r="DU55" i="8" s="1"/>
  <c r="DU59" i="8" s="1"/>
  <c r="EQ3" i="2"/>
  <c r="EP5" i="2"/>
  <c r="DN6" i="8" s="1"/>
  <c r="DV18" i="8"/>
  <c r="DV15" i="8"/>
  <c r="DT19" i="7"/>
  <c r="DM7" i="8"/>
  <c r="DM9" i="8"/>
  <c r="DM8" i="8"/>
  <c r="DM10" i="8"/>
  <c r="EW2" i="2"/>
  <c r="EX2" i="2" s="1"/>
  <c r="DV19" i="8"/>
  <c r="DV47" i="8"/>
  <c r="DV50" i="8"/>
  <c r="DV53" i="8" s="1"/>
  <c r="DV30" i="8"/>
  <c r="DV32" i="8"/>
  <c r="DV34" i="8"/>
  <c r="DV31" i="8"/>
  <c r="DV36" i="8"/>
  <c r="DV33" i="8"/>
  <c r="DV29" i="8"/>
  <c r="DV35" i="8"/>
  <c r="DU40" i="8"/>
  <c r="DU39" i="8"/>
  <c r="DV2" i="8"/>
  <c r="DV38" i="8" s="1"/>
  <c r="DW1" i="8"/>
  <c r="DW20" i="8" s="1"/>
  <c r="CI15" i="7"/>
  <c r="CJ51" i="8" s="1"/>
  <c r="CI17" i="7"/>
  <c r="DV12" i="7"/>
  <c r="DN7" i="7"/>
  <c r="DN6" i="7" s="1"/>
  <c r="DN9" i="7" s="1"/>
  <c r="DO4" i="7" s="1"/>
  <c r="DU67" i="8" l="1"/>
  <c r="DM11" i="8"/>
  <c r="DM26" i="8" s="1"/>
  <c r="DM37" i="8" s="1"/>
  <c r="DM41" i="8" s="1"/>
  <c r="DM43" i="8" s="1"/>
  <c r="DM47" i="8" s="1"/>
  <c r="DM55" i="8" s="1"/>
  <c r="DM59" i="8" s="1"/>
  <c r="DW15" i="8"/>
  <c r="DW18" i="8"/>
  <c r="DR14" i="8"/>
  <c r="DQ24" i="8"/>
  <c r="ER3" i="2"/>
  <c r="EQ5" i="2"/>
  <c r="DO6" i="8" s="1"/>
  <c r="DZ1" i="6"/>
  <c r="DY40" i="6"/>
  <c r="DY6" i="6"/>
  <c r="DY7" i="6"/>
  <c r="DY8" i="6"/>
  <c r="DY9" i="6"/>
  <c r="DY10" i="6"/>
  <c r="DY11" i="6"/>
  <c r="DY12" i="6"/>
  <c r="DY13" i="6"/>
  <c r="DY14" i="6"/>
  <c r="DY39" i="6"/>
  <c r="DY34" i="6"/>
  <c r="DY31" i="6"/>
  <c r="DY28" i="6"/>
  <c r="DY30" i="6"/>
  <c r="DY27" i="6"/>
  <c r="DY19" i="6"/>
  <c r="DY20" i="6"/>
  <c r="DY36" i="6"/>
  <c r="DY26" i="6"/>
  <c r="DY5" i="6"/>
  <c r="DY38" i="6"/>
  <c r="DY37" i="6"/>
  <c r="DY16" i="6"/>
  <c r="DY35" i="6"/>
  <c r="DY15" i="6"/>
  <c r="DY17" i="6"/>
  <c r="DY25" i="6"/>
  <c r="DY33" i="6"/>
  <c r="DY32" i="6"/>
  <c r="DY29" i="6"/>
  <c r="DY18" i="6"/>
  <c r="DY2" i="6"/>
  <c r="DU17" i="7"/>
  <c r="DU16" i="7" s="1"/>
  <c r="DU19" i="7" s="1"/>
  <c r="DV2" i="7"/>
  <c r="DU5" i="7"/>
  <c r="DV51" i="8" s="1"/>
  <c r="DV55" i="8" s="1"/>
  <c r="DV59" i="8" s="1"/>
  <c r="DU8" i="7"/>
  <c r="DV52" i="8" s="1"/>
  <c r="DW21" i="8"/>
  <c r="DX21" i="8" s="1"/>
  <c r="DW45" i="6"/>
  <c r="DW49" i="6" s="1"/>
  <c r="DS45" i="8" s="1"/>
  <c r="DW64" i="8"/>
  <c r="DW65" i="8" s="1"/>
  <c r="DW19" i="8"/>
  <c r="DX41" i="6"/>
  <c r="DV18" i="7"/>
  <c r="DV15" i="7"/>
  <c r="DV14" i="7"/>
  <c r="DV17" i="7" s="1"/>
  <c r="DW17" i="8"/>
  <c r="DW16" i="8"/>
  <c r="DN8" i="8"/>
  <c r="DN10" i="8"/>
  <c r="DN7" i="8"/>
  <c r="DN9" i="8"/>
  <c r="DX21" i="6"/>
  <c r="EX1" i="2"/>
  <c r="EW4" i="2"/>
  <c r="DW23" i="8"/>
  <c r="DX23" i="8" s="1"/>
  <c r="CJ55" i="8"/>
  <c r="DW22" i="8"/>
  <c r="DV40" i="8"/>
  <c r="DV39" i="8"/>
  <c r="DW47" i="8"/>
  <c r="DW50" i="8"/>
  <c r="DW53" i="8" s="1"/>
  <c r="DW30" i="8"/>
  <c r="DW32" i="8"/>
  <c r="DW31" i="8"/>
  <c r="DW33" i="8"/>
  <c r="DW35" i="8"/>
  <c r="DW34" i="8"/>
  <c r="DW36" i="8"/>
  <c r="DW29" i="8"/>
  <c r="DW2" i="8"/>
  <c r="DW38" i="8" s="1"/>
  <c r="DX1" i="8"/>
  <c r="CI16" i="7"/>
  <c r="DW12" i="7"/>
  <c r="DO7" i="7"/>
  <c r="DO6" i="7" s="1"/>
  <c r="DO9" i="7" s="1"/>
  <c r="DP4" i="7" s="1"/>
  <c r="DV67" i="8" l="1"/>
  <c r="DN11" i="8"/>
  <c r="DN26" i="8" s="1"/>
  <c r="DM67" i="8"/>
  <c r="DY21" i="6"/>
  <c r="DS14" i="8"/>
  <c r="DR24" i="8"/>
  <c r="DW14" i="7"/>
  <c r="DW18" i="7"/>
  <c r="DW15" i="7"/>
  <c r="DX45" i="6"/>
  <c r="DX49" i="6"/>
  <c r="DT45" i="8" s="1"/>
  <c r="DN37" i="8"/>
  <c r="DN41" i="8" s="1"/>
  <c r="DN43" i="8" s="1"/>
  <c r="DO9" i="8"/>
  <c r="DO8" i="8"/>
  <c r="DO10" i="8"/>
  <c r="DO7" i="8"/>
  <c r="DW2" i="7"/>
  <c r="DV5" i="7"/>
  <c r="DW51" i="8" s="1"/>
  <c r="DW55" i="8" s="1"/>
  <c r="DW59" i="8" s="1"/>
  <c r="DV8" i="7"/>
  <c r="DW52" i="8" s="1"/>
  <c r="ES3" i="2"/>
  <c r="ER5" i="2"/>
  <c r="DP6" i="8" s="1"/>
  <c r="DX18" i="8"/>
  <c r="DX22" i="8"/>
  <c r="DX15" i="8"/>
  <c r="DV16" i="7"/>
  <c r="DV19" i="7" s="1"/>
  <c r="EY1" i="2"/>
  <c r="EX4" i="2"/>
  <c r="EA1" i="6"/>
  <c r="DZ30" i="6"/>
  <c r="DZ27" i="6"/>
  <c r="DZ10" i="6"/>
  <c r="DZ14" i="6"/>
  <c r="DZ33" i="6"/>
  <c r="DZ40" i="6"/>
  <c r="DZ38" i="6"/>
  <c r="DZ25" i="6"/>
  <c r="DZ7" i="6"/>
  <c r="DZ11" i="6"/>
  <c r="DZ36" i="6"/>
  <c r="DZ31" i="6"/>
  <c r="DZ39" i="6"/>
  <c r="DZ32" i="6"/>
  <c r="DZ34" i="6"/>
  <c r="DZ8" i="6"/>
  <c r="DZ13" i="6"/>
  <c r="DZ28" i="6"/>
  <c r="DZ20" i="6"/>
  <c r="DZ37" i="6"/>
  <c r="DZ18" i="6"/>
  <c r="DZ19" i="6"/>
  <c r="DZ5" i="6"/>
  <c r="DZ9" i="6"/>
  <c r="DZ6" i="6"/>
  <c r="DZ16" i="6"/>
  <c r="DZ26" i="6"/>
  <c r="DZ12" i="6"/>
  <c r="DZ17" i="6"/>
  <c r="DZ35" i="6"/>
  <c r="DZ15" i="6"/>
  <c r="DZ29" i="6"/>
  <c r="DZ2" i="6"/>
  <c r="DX64" i="8"/>
  <c r="DX65" i="8" s="1"/>
  <c r="DX19" i="8"/>
  <c r="DX16" i="8"/>
  <c r="DX17" i="8"/>
  <c r="CJ59" i="8"/>
  <c r="EY2" i="2"/>
  <c r="EZ2" i="2" s="1"/>
  <c r="DY41" i="6"/>
  <c r="DX20" i="8"/>
  <c r="DX47" i="8"/>
  <c r="DX30" i="8"/>
  <c r="DX32" i="8"/>
  <c r="DX50" i="8"/>
  <c r="DX53" i="8" s="1"/>
  <c r="DX31" i="8"/>
  <c r="DX33" i="8"/>
  <c r="DX35" i="8"/>
  <c r="DX36" i="8"/>
  <c r="DX34" i="8"/>
  <c r="DX29" i="8"/>
  <c r="DW40" i="8"/>
  <c r="DW39" i="8"/>
  <c r="DX2" i="8"/>
  <c r="DX38" i="8" s="1"/>
  <c r="DY1" i="8"/>
  <c r="CI19" i="7"/>
  <c r="CJ14" i="7" s="1"/>
  <c r="DX12" i="7"/>
  <c r="DP7" i="7"/>
  <c r="DP6" i="7" s="1"/>
  <c r="DP9" i="7" s="1"/>
  <c r="DQ4" i="7" s="1"/>
  <c r="DW67" i="8" l="1"/>
  <c r="DO11" i="8"/>
  <c r="DO26" i="8" s="1"/>
  <c r="DO37" i="8" s="1"/>
  <c r="DO41" i="8" s="1"/>
  <c r="DO43" i="8" s="1"/>
  <c r="DO47" i="8" s="1"/>
  <c r="DO55" i="8" s="1"/>
  <c r="DO59" i="8" s="1"/>
  <c r="DO67" i="8" s="1"/>
  <c r="DY20" i="8"/>
  <c r="DY22" i="8"/>
  <c r="DY17" i="8"/>
  <c r="DY16" i="8"/>
  <c r="DZ16" i="8" s="1"/>
  <c r="DX2" i="7"/>
  <c r="DW5" i="7"/>
  <c r="DX51" i="8" s="1"/>
  <c r="DX55" i="8" s="1"/>
  <c r="DX59" i="8" s="1"/>
  <c r="DW8" i="7"/>
  <c r="DX52" i="8" s="1"/>
  <c r="DY19" i="8"/>
  <c r="DZ19" i="8" s="1"/>
  <c r="EB1" i="6"/>
  <c r="EA39" i="6"/>
  <c r="EA34" i="6"/>
  <c r="EA31" i="6"/>
  <c r="EA36" i="6"/>
  <c r="EA29" i="6"/>
  <c r="EA33" i="6"/>
  <c r="EA30" i="6"/>
  <c r="EA6" i="6"/>
  <c r="EA10" i="6"/>
  <c r="EA26" i="6"/>
  <c r="EA5" i="6"/>
  <c r="EA21" i="6" s="1"/>
  <c r="EA28" i="6"/>
  <c r="EA32" i="6"/>
  <c r="EA8" i="6"/>
  <c r="EA11" i="6"/>
  <c r="EA27" i="6"/>
  <c r="EA13" i="6"/>
  <c r="EA14" i="6"/>
  <c r="EA9" i="6"/>
  <c r="EA35" i="6"/>
  <c r="EA38" i="6"/>
  <c r="EA18" i="6"/>
  <c r="EA19" i="6"/>
  <c r="EA40" i="6"/>
  <c r="EA25" i="6"/>
  <c r="EA41" i="6" s="1"/>
  <c r="EA16" i="6"/>
  <c r="EA17" i="6"/>
  <c r="EA20" i="6"/>
  <c r="EA7" i="6"/>
  <c r="EA15" i="6"/>
  <c r="EA37" i="6"/>
  <c r="EA12" i="6"/>
  <c r="EA2" i="6"/>
  <c r="DY21" i="8"/>
  <c r="DZ21" i="8" s="1"/>
  <c r="DW17" i="7"/>
  <c r="DW16" i="7" s="1"/>
  <c r="DW19" i="7" s="1"/>
  <c r="FA2" i="2"/>
  <c r="DZ21" i="6"/>
  <c r="DY18" i="8"/>
  <c r="EZ1" i="2"/>
  <c r="EY4" i="2"/>
  <c r="DT14" i="8"/>
  <c r="DS24" i="8"/>
  <c r="ET3" i="2"/>
  <c r="ES5" i="2"/>
  <c r="DQ6" i="8" s="1"/>
  <c r="CJ70" i="8"/>
  <c r="CK69" i="8" s="1"/>
  <c r="CJ67" i="8"/>
  <c r="DY45" i="6"/>
  <c r="DY49" i="6" s="1"/>
  <c r="DU45" i="8" s="1"/>
  <c r="DN47" i="8"/>
  <c r="DP8" i="8"/>
  <c r="DP10" i="8"/>
  <c r="DP9" i="8"/>
  <c r="DP7" i="8"/>
  <c r="DX14" i="7"/>
  <c r="DX17" i="7" s="1"/>
  <c r="DX18" i="7"/>
  <c r="DX15" i="7"/>
  <c r="DX16" i="7" s="1"/>
  <c r="DX19" i="7" s="1"/>
  <c r="DY64" i="8"/>
  <c r="DY65" i="8" s="1"/>
  <c r="DZ41" i="6"/>
  <c r="DY15" i="8"/>
  <c r="DY23" i="8"/>
  <c r="DY50" i="8"/>
  <c r="DY53" i="8" s="1"/>
  <c r="DY47" i="8"/>
  <c r="DY30" i="8"/>
  <c r="DY33" i="8"/>
  <c r="DY35" i="8"/>
  <c r="DY32" i="8"/>
  <c r="DY36" i="8"/>
  <c r="DY34" i="8"/>
  <c r="DY31" i="8"/>
  <c r="DY29" i="8"/>
  <c r="DX39" i="8"/>
  <c r="DX40" i="8"/>
  <c r="DZ1" i="8"/>
  <c r="DY2" i="8"/>
  <c r="DY38" i="8" s="1"/>
  <c r="CJ17" i="7"/>
  <c r="CJ15" i="7"/>
  <c r="DY12" i="7"/>
  <c r="DQ7" i="7"/>
  <c r="DQ6" i="7" s="1"/>
  <c r="DQ9" i="7" s="1"/>
  <c r="DR4" i="7" s="1"/>
  <c r="DX67" i="8" l="1"/>
  <c r="DP11" i="8"/>
  <c r="DP26" i="8" s="1"/>
  <c r="DP37" i="8" s="1"/>
  <c r="DP41" i="8" s="1"/>
  <c r="DP43" i="8" s="1"/>
  <c r="DY18" i="7"/>
  <c r="DY14" i="7"/>
  <c r="DY17" i="7" s="1"/>
  <c r="DY15" i="7"/>
  <c r="CJ16" i="7"/>
  <c r="CJ19" i="7" s="1"/>
  <c r="CK14" i="7" s="1"/>
  <c r="CK51" i="8"/>
  <c r="EA16" i="8"/>
  <c r="DZ17" i="8"/>
  <c r="EA17" i="8" s="1"/>
  <c r="EU3" i="2"/>
  <c r="ET5" i="2"/>
  <c r="DR6" i="8" s="1"/>
  <c r="DU14" i="8"/>
  <c r="DT24" i="8"/>
  <c r="FA1" i="2"/>
  <c r="EZ4" i="2"/>
  <c r="DZ22" i="8"/>
  <c r="EA22" i="8" s="1"/>
  <c r="EA45" i="6"/>
  <c r="EA49" i="6" s="1"/>
  <c r="DW45" i="8" s="1"/>
  <c r="DZ15" i="8"/>
  <c r="EA15" i="8" s="1"/>
  <c r="DZ20" i="8"/>
  <c r="EA20" i="8" s="1"/>
  <c r="FB2" i="2"/>
  <c r="EA19" i="8"/>
  <c r="DQ8" i="8"/>
  <c r="DQ7" i="8"/>
  <c r="DQ10" i="8"/>
  <c r="DQ9" i="8"/>
  <c r="DN55" i="8"/>
  <c r="EC1" i="6"/>
  <c r="EB40" i="6"/>
  <c r="EB38" i="6"/>
  <c r="EB31" i="6"/>
  <c r="EB30" i="6"/>
  <c r="EB29" i="6"/>
  <c r="EB27" i="6"/>
  <c r="EB14" i="6"/>
  <c r="EB18" i="6"/>
  <c r="EB25" i="6"/>
  <c r="EB6" i="6"/>
  <c r="EB39" i="6"/>
  <c r="EB37" i="6"/>
  <c r="EB34" i="6"/>
  <c r="EB36" i="6"/>
  <c r="EB32" i="6"/>
  <c r="EB8" i="6"/>
  <c r="EB9" i="6"/>
  <c r="EB13" i="6"/>
  <c r="EB33" i="6"/>
  <c r="EB28" i="6"/>
  <c r="EB11" i="6"/>
  <c r="EB19" i="6"/>
  <c r="EB26" i="6"/>
  <c r="EB16" i="6"/>
  <c r="EB35" i="6"/>
  <c r="EB10" i="6"/>
  <c r="EB17" i="6"/>
  <c r="EB20" i="6"/>
  <c r="EB7" i="6"/>
  <c r="EB15" i="6"/>
  <c r="EB12" i="6"/>
  <c r="EB5" i="6"/>
  <c r="EB2" i="6"/>
  <c r="DY2" i="7"/>
  <c r="DX8" i="7"/>
  <c r="DY52" i="8" s="1"/>
  <c r="DX5" i="7"/>
  <c r="DY51" i="8" s="1"/>
  <c r="DY55" i="8" s="1"/>
  <c r="DY59" i="8" s="1"/>
  <c r="DZ23" i="8"/>
  <c r="EA23" i="8" s="1"/>
  <c r="DZ64" i="8"/>
  <c r="DZ65" i="8" s="1"/>
  <c r="DZ38" i="8"/>
  <c r="DZ18" i="8"/>
  <c r="DZ45" i="6"/>
  <c r="DZ49" i="6"/>
  <c r="DV45" i="8" s="1"/>
  <c r="DY40" i="8"/>
  <c r="DY39" i="8"/>
  <c r="DZ50" i="8"/>
  <c r="DZ53" i="8" s="1"/>
  <c r="DZ47" i="8"/>
  <c r="DZ31" i="8"/>
  <c r="DZ30" i="8"/>
  <c r="DZ33" i="8"/>
  <c r="DZ35" i="8"/>
  <c r="DZ29" i="8"/>
  <c r="DZ32" i="8"/>
  <c r="DZ36" i="8"/>
  <c r="DZ34" i="8"/>
  <c r="EA1" i="8"/>
  <c r="DZ2" i="8"/>
  <c r="EA21" i="8" s="1"/>
  <c r="DZ12" i="7"/>
  <c r="DR7" i="7"/>
  <c r="DR6" i="7" s="1"/>
  <c r="DR9" i="7" s="1"/>
  <c r="DS4" i="7" s="1"/>
  <c r="DQ11" i="8" l="1"/>
  <c r="DQ26" i="8" s="1"/>
  <c r="DQ37" i="8" s="1"/>
  <c r="DQ41" i="8" s="1"/>
  <c r="DQ43" i="8" s="1"/>
  <c r="DQ47" i="8" s="1"/>
  <c r="DQ55" i="8" s="1"/>
  <c r="DQ59" i="8" s="1"/>
  <c r="DQ67" i="8" s="1"/>
  <c r="DV14" i="8"/>
  <c r="DU24" i="8"/>
  <c r="EB23" i="8"/>
  <c r="EB19" i="8"/>
  <c r="EB20" i="8"/>
  <c r="ED1" i="6"/>
  <c r="EC37" i="6"/>
  <c r="EC28" i="6"/>
  <c r="EC26" i="6"/>
  <c r="EC36" i="6"/>
  <c r="EC30" i="6"/>
  <c r="EC38" i="6"/>
  <c r="EC33" i="6"/>
  <c r="EC25" i="6"/>
  <c r="EC13" i="6"/>
  <c r="EC9" i="6"/>
  <c r="EC17" i="6"/>
  <c r="EC40" i="6"/>
  <c r="EC27" i="6"/>
  <c r="EC10" i="6"/>
  <c r="EC31" i="6"/>
  <c r="EC6" i="6"/>
  <c r="EC7" i="6"/>
  <c r="EC39" i="6"/>
  <c r="EC8" i="6"/>
  <c r="EC12" i="6"/>
  <c r="EC15" i="6"/>
  <c r="EC18" i="6"/>
  <c r="EC19" i="6"/>
  <c r="EC34" i="6"/>
  <c r="EC32" i="6"/>
  <c r="EC29" i="6"/>
  <c r="EC35" i="6"/>
  <c r="EC16" i="6"/>
  <c r="EC11" i="6"/>
  <c r="EC20" i="6"/>
  <c r="EC14" i="6"/>
  <c r="EC5" i="6"/>
  <c r="EC2" i="6"/>
  <c r="CK55" i="8"/>
  <c r="DY16" i="7"/>
  <c r="DY19" i="7" s="1"/>
  <c r="EV3" i="2"/>
  <c r="EU5" i="2"/>
  <c r="DS6" i="8" s="1"/>
  <c r="DZ2" i="7"/>
  <c r="DY5" i="7"/>
  <c r="DZ51" i="8" s="1"/>
  <c r="DZ55" i="8" s="1"/>
  <c r="DZ59" i="8" s="1"/>
  <c r="DY8" i="7"/>
  <c r="DZ52" i="8" s="1"/>
  <c r="EB22" i="8"/>
  <c r="DZ18" i="7"/>
  <c r="DZ14" i="7"/>
  <c r="DZ15" i="7"/>
  <c r="DR7" i="8"/>
  <c r="DR10" i="8"/>
  <c r="DR8" i="8"/>
  <c r="DR9" i="8"/>
  <c r="DN59" i="8"/>
  <c r="DN67" i="8" s="1"/>
  <c r="EB15" i="8"/>
  <c r="DP47" i="8"/>
  <c r="EB41" i="6"/>
  <c r="EB21" i="6"/>
  <c r="FB1" i="2"/>
  <c r="FC2" i="2" s="1"/>
  <c r="FA4" i="2"/>
  <c r="EA64" i="8"/>
  <c r="EA65" i="8" s="1"/>
  <c r="EA18" i="8"/>
  <c r="DY67" i="8"/>
  <c r="EA50" i="8"/>
  <c r="EA53" i="8" s="1"/>
  <c r="EA47" i="8"/>
  <c r="EA31" i="8"/>
  <c r="EA30" i="8"/>
  <c r="EA32" i="8"/>
  <c r="EA34" i="8"/>
  <c r="EA33" i="8"/>
  <c r="EA35" i="8"/>
  <c r="EA29" i="8"/>
  <c r="EA36" i="8"/>
  <c r="DZ40" i="8"/>
  <c r="DZ39" i="8"/>
  <c r="EB1" i="8"/>
  <c r="EB21" i="8" s="1"/>
  <c r="EA2" i="8"/>
  <c r="EA38" i="8" s="1"/>
  <c r="CK15" i="7"/>
  <c r="CL51" i="8" s="1"/>
  <c r="CL55" i="8" s="1"/>
  <c r="CL59" i="8" s="1"/>
  <c r="CL67" i="8" s="1"/>
  <c r="CK17" i="7"/>
  <c r="EA12" i="7"/>
  <c r="DS7" i="7"/>
  <c r="DS6" i="7" s="1"/>
  <c r="DS9" i="7" s="1"/>
  <c r="DT4" i="7" s="1"/>
  <c r="DR11" i="8" l="1"/>
  <c r="DR26" i="8" s="1"/>
  <c r="DR37" i="8" s="1"/>
  <c r="DR41" i="8" s="1"/>
  <c r="DR43" i="8" s="1"/>
  <c r="DR47" i="8" s="1"/>
  <c r="DR55" i="8" s="1"/>
  <c r="DR59" i="8" s="1"/>
  <c r="DR67" i="8" s="1"/>
  <c r="EB45" i="6"/>
  <c r="EB49" i="6" s="1"/>
  <c r="DX45" i="8" s="1"/>
  <c r="EE1" i="6"/>
  <c r="ED39" i="6"/>
  <c r="ED29" i="6"/>
  <c r="ED28" i="6"/>
  <c r="ED12" i="6"/>
  <c r="ED40" i="6"/>
  <c r="ED27" i="6"/>
  <c r="ED25" i="6"/>
  <c r="ED13" i="6"/>
  <c r="ED16" i="6"/>
  <c r="ED38" i="6"/>
  <c r="ED34" i="6"/>
  <c r="ED26" i="6"/>
  <c r="ED9" i="6"/>
  <c r="ED36" i="6"/>
  <c r="ED35" i="6"/>
  <c r="ED6" i="6"/>
  <c r="ED14" i="6"/>
  <c r="ED33" i="6"/>
  <c r="ED30" i="6"/>
  <c r="ED10" i="6"/>
  <c r="ED17" i="6"/>
  <c r="ED31" i="6"/>
  <c r="ED7" i="6"/>
  <c r="ED20" i="6"/>
  <c r="ED15" i="6"/>
  <c r="ED11" i="6"/>
  <c r="ED18" i="6"/>
  <c r="ED19" i="6"/>
  <c r="ED32" i="6"/>
  <c r="ED8" i="6"/>
  <c r="ED37" i="6"/>
  <c r="ED5" i="6"/>
  <c r="ED2" i="6"/>
  <c r="EA18" i="7"/>
  <c r="EA14" i="7"/>
  <c r="EA15" i="7"/>
  <c r="EB17" i="8"/>
  <c r="EC17" i="8" s="1"/>
  <c r="DW14" i="8"/>
  <c r="DV24" i="8"/>
  <c r="EC21" i="6"/>
  <c r="DP55" i="8"/>
  <c r="EC41" i="6"/>
  <c r="DS10" i="8"/>
  <c r="DS7" i="8"/>
  <c r="DS8" i="8"/>
  <c r="DS9" i="8"/>
  <c r="EW3" i="2"/>
  <c r="EV5" i="2"/>
  <c r="DT6" i="8" s="1"/>
  <c r="FC1" i="2"/>
  <c r="FD2" i="2" s="1"/>
  <c r="FB4" i="2"/>
  <c r="CK59" i="8"/>
  <c r="DZ17" i="7"/>
  <c r="DZ16" i="7" s="1"/>
  <c r="DZ19" i="7"/>
  <c r="EC23" i="8"/>
  <c r="EB18" i="8"/>
  <c r="EC18" i="8" s="1"/>
  <c r="EB64" i="8"/>
  <c r="EB65" i="8" s="1"/>
  <c r="EB38" i="8"/>
  <c r="EB16" i="8"/>
  <c r="EA2" i="7"/>
  <c r="DZ8" i="7"/>
  <c r="EA52" i="8" s="1"/>
  <c r="DZ5" i="7"/>
  <c r="EA51" i="8" s="1"/>
  <c r="EA55" i="8" s="1"/>
  <c r="EA59" i="8" s="1"/>
  <c r="DZ67" i="8"/>
  <c r="EA40" i="8"/>
  <c r="EA39" i="8"/>
  <c r="EB47" i="8"/>
  <c r="EB50" i="8"/>
  <c r="EB53" i="8" s="1"/>
  <c r="EB31" i="8"/>
  <c r="EB30" i="8"/>
  <c r="EB34" i="8"/>
  <c r="EB35" i="8"/>
  <c r="EB29" i="8"/>
  <c r="EB32" i="8"/>
  <c r="EB33" i="8"/>
  <c r="EB36" i="8"/>
  <c r="EC1" i="8"/>
  <c r="EC19" i="8" s="1"/>
  <c r="EB2" i="8"/>
  <c r="CK16" i="7"/>
  <c r="EB12" i="7"/>
  <c r="DT7" i="7"/>
  <c r="DT6" i="7" s="1"/>
  <c r="DT9" i="7" s="1"/>
  <c r="DU4" i="7" s="1"/>
  <c r="DS11" i="8" l="1"/>
  <c r="DS26" i="8" s="1"/>
  <c r="DS37" i="8" s="1"/>
  <c r="DS41" i="8" s="1"/>
  <c r="DS43" i="8" s="1"/>
  <c r="DS47" i="8" s="1"/>
  <c r="DS55" i="8" s="1"/>
  <c r="EB15" i="7"/>
  <c r="EB14" i="7"/>
  <c r="EB17" i="7" s="1"/>
  <c r="EB18" i="7"/>
  <c r="CK70" i="8"/>
  <c r="CL69" i="8" s="1"/>
  <c r="CL70" i="8" s="1"/>
  <c r="CM69" i="8" s="1"/>
  <c r="CK67" i="8"/>
  <c r="EC15" i="8"/>
  <c r="ED15" i="8" s="1"/>
  <c r="EX3" i="2"/>
  <c r="EW5" i="2"/>
  <c r="DU6" i="8" s="1"/>
  <c r="EC64" i="8"/>
  <c r="EC65" i="8" s="1"/>
  <c r="EC22" i="8"/>
  <c r="ED22" i="8" s="1"/>
  <c r="DX14" i="8"/>
  <c r="DW24" i="8"/>
  <c r="EA17" i="7"/>
  <c r="EA16" i="7" s="1"/>
  <c r="EA19" i="7"/>
  <c r="EF1" i="6"/>
  <c r="EE40" i="6"/>
  <c r="EE38" i="6"/>
  <c r="EE36" i="6"/>
  <c r="EE33" i="6"/>
  <c r="EE11" i="6"/>
  <c r="EE34" i="6"/>
  <c r="EE26" i="6"/>
  <c r="EE15" i="6"/>
  <c r="EE39" i="6"/>
  <c r="EE37" i="6"/>
  <c r="EE29" i="6"/>
  <c r="EE18" i="6"/>
  <c r="EE10" i="6"/>
  <c r="EE28" i="6"/>
  <c r="EE27" i="6"/>
  <c r="EE31" i="6"/>
  <c r="EE8" i="6"/>
  <c r="EE14" i="6"/>
  <c r="EE5" i="6"/>
  <c r="EE25" i="6"/>
  <c r="EE12" i="6"/>
  <c r="EE30" i="6"/>
  <c r="EE35" i="6"/>
  <c r="EE6" i="6"/>
  <c r="EE9" i="6"/>
  <c r="EE13" i="6"/>
  <c r="EE32" i="6"/>
  <c r="EE19" i="6"/>
  <c r="EE16" i="6"/>
  <c r="EE17" i="6"/>
  <c r="EE7" i="6"/>
  <c r="EE20" i="6"/>
  <c r="EE2" i="6"/>
  <c r="FD1" i="2"/>
  <c r="FC4" i="2"/>
  <c r="DP59" i="8"/>
  <c r="DP67" i="8" s="1"/>
  <c r="ED21" i="6"/>
  <c r="EB2" i="7"/>
  <c r="EA5" i="7"/>
  <c r="EB51" i="8" s="1"/>
  <c r="EB55" i="8" s="1"/>
  <c r="EB59" i="8" s="1"/>
  <c r="EA8" i="7"/>
  <c r="EB52" i="8" s="1"/>
  <c r="EC20" i="8"/>
  <c r="ED20" i="8" s="1"/>
  <c r="ED41" i="6"/>
  <c r="EC16" i="8"/>
  <c r="ED16" i="8" s="1"/>
  <c r="DT9" i="8"/>
  <c r="DT8" i="8"/>
  <c r="DT7" i="8"/>
  <c r="DT10" i="8"/>
  <c r="EC45" i="6"/>
  <c r="EC49" i="6" s="1"/>
  <c r="DY45" i="8" s="1"/>
  <c r="EC21" i="8"/>
  <c r="EA67" i="8"/>
  <c r="EC47" i="8"/>
  <c r="EC50" i="8"/>
  <c r="EC53" i="8" s="1"/>
  <c r="EC34" i="8"/>
  <c r="EC30" i="8"/>
  <c r="EC31" i="8"/>
  <c r="EC36" i="8"/>
  <c r="EC35" i="8"/>
  <c r="EC29" i="8"/>
  <c r="EC32" i="8"/>
  <c r="EC33" i="8"/>
  <c r="EB40" i="8"/>
  <c r="EB39" i="8"/>
  <c r="EC2" i="8"/>
  <c r="ED1" i="8"/>
  <c r="ED19" i="8" s="1"/>
  <c r="CK19" i="7"/>
  <c r="CL14" i="7" s="1"/>
  <c r="EC12" i="7"/>
  <c r="DU7" i="7"/>
  <c r="DU6" i="7" s="1"/>
  <c r="DU9" i="7" s="1"/>
  <c r="DV4" i="7" s="1"/>
  <c r="DT11" i="8" l="1"/>
  <c r="DT26" i="8" s="1"/>
  <c r="DT37" i="8" s="1"/>
  <c r="EY3" i="2"/>
  <c r="EX5" i="2"/>
  <c r="DV6" i="8" s="1"/>
  <c r="EE21" i="6"/>
  <c r="EC38" i="8"/>
  <c r="EB16" i="7"/>
  <c r="EB19" i="7" s="1"/>
  <c r="DU10" i="8"/>
  <c r="DU7" i="8"/>
  <c r="DU9" i="8"/>
  <c r="DU8" i="8"/>
  <c r="EG1" i="6"/>
  <c r="EF39" i="6"/>
  <c r="EF38" i="6"/>
  <c r="EF37" i="6"/>
  <c r="EF35" i="6"/>
  <c r="EF28" i="6"/>
  <c r="EF40" i="6"/>
  <c r="EF32" i="6"/>
  <c r="EF10" i="6"/>
  <c r="EF8" i="6"/>
  <c r="EF9" i="6"/>
  <c r="EF17" i="6"/>
  <c r="EF33" i="6"/>
  <c r="EF11" i="6"/>
  <c r="EF12" i="6"/>
  <c r="EF34" i="6"/>
  <c r="EF30" i="6"/>
  <c r="EF7" i="6"/>
  <c r="EF27" i="6"/>
  <c r="EF31" i="6"/>
  <c r="EF25" i="6"/>
  <c r="EF26" i="6"/>
  <c r="EF14" i="6"/>
  <c r="EF5" i="6"/>
  <c r="EF15" i="6"/>
  <c r="EF29" i="6"/>
  <c r="EF6" i="6"/>
  <c r="EF13" i="6"/>
  <c r="EF18" i="6"/>
  <c r="EF19" i="6"/>
  <c r="EF36" i="6"/>
  <c r="EF16" i="6"/>
  <c r="EF20" i="6"/>
  <c r="EF2" i="6"/>
  <c r="FE1" i="2"/>
  <c r="FD4" i="2"/>
  <c r="EE41" i="6"/>
  <c r="ED18" i="8"/>
  <c r="EC15" i="7"/>
  <c r="EC18" i="7"/>
  <c r="EC14" i="7"/>
  <c r="EC2" i="7"/>
  <c r="EB8" i="7"/>
  <c r="EC52" i="8" s="1"/>
  <c r="EB5" i="7"/>
  <c r="EC51" i="8" s="1"/>
  <c r="EC55" i="8" s="1"/>
  <c r="EC59" i="8" s="1"/>
  <c r="ED17" i="8"/>
  <c r="FE2" i="2"/>
  <c r="DY14" i="8"/>
  <c r="DX24" i="8"/>
  <c r="ED64" i="8"/>
  <c r="ED65" i="8" s="1"/>
  <c r="ED21" i="8"/>
  <c r="ED45" i="6"/>
  <c r="ED49" i="6" s="1"/>
  <c r="DZ45" i="8" s="1"/>
  <c r="ED23" i="8"/>
  <c r="EE23" i="8" s="1"/>
  <c r="EB67" i="8"/>
  <c r="ED47" i="8"/>
  <c r="ED50" i="8"/>
  <c r="ED53" i="8" s="1"/>
  <c r="ED30" i="8"/>
  <c r="ED32" i="8"/>
  <c r="ED34" i="8"/>
  <c r="ED31" i="8"/>
  <c r="ED36" i="8"/>
  <c r="ED35" i="8"/>
  <c r="ED29" i="8"/>
  <c r="ED33" i="8"/>
  <c r="EC40" i="8"/>
  <c r="EC39" i="8"/>
  <c r="ED2" i="8"/>
  <c r="EE1" i="8"/>
  <c r="CL17" i="7"/>
  <c r="CL15" i="7"/>
  <c r="ED12" i="7"/>
  <c r="DV7" i="7"/>
  <c r="DV6" i="7" s="1"/>
  <c r="DV9" i="7" s="1"/>
  <c r="DW4" i="7" s="1"/>
  <c r="DU11" i="8" l="1"/>
  <c r="DU26" i="8" s="1"/>
  <c r="DU37" i="8" s="1"/>
  <c r="ED18" i="7"/>
  <c r="ED15" i="7"/>
  <c r="ED14" i="7"/>
  <c r="ED17" i="7" s="1"/>
  <c r="CL16" i="7"/>
  <c r="CM51" i="8"/>
  <c r="CM55" i="8" s="1"/>
  <c r="ED2" i="7"/>
  <c r="EC5" i="7"/>
  <c r="ED51" i="8" s="1"/>
  <c r="ED55" i="8" s="1"/>
  <c r="ED59" i="8" s="1"/>
  <c r="EC8" i="7"/>
  <c r="ED52" i="8" s="1"/>
  <c r="EE64" i="8"/>
  <c r="EE65" i="8" s="1"/>
  <c r="EE38" i="8"/>
  <c r="A63" i="8"/>
  <c r="A58" i="8"/>
  <c r="A62" i="8"/>
  <c r="A17" i="8"/>
  <c r="A19" i="8"/>
  <c r="A15" i="8"/>
  <c r="A22" i="8"/>
  <c r="A21" i="8"/>
  <c r="A16" i="8"/>
  <c r="A35" i="8"/>
  <c r="A23" i="8"/>
  <c r="A18" i="8"/>
  <c r="A20" i="8"/>
  <c r="EE21" i="8"/>
  <c r="EE22" i="8"/>
  <c r="ED38" i="8"/>
  <c r="EE16" i="8"/>
  <c r="EF41" i="6"/>
  <c r="G63" i="10"/>
  <c r="DZ14" i="8"/>
  <c r="DY24" i="8"/>
  <c r="EE18" i="8"/>
  <c r="DV10" i="8"/>
  <c r="DV8" i="8"/>
  <c r="DV7" i="8"/>
  <c r="DV9" i="8"/>
  <c r="EC17" i="7"/>
  <c r="EC16" i="7" s="1"/>
  <c r="EC19" i="7" s="1"/>
  <c r="EE15" i="8"/>
  <c r="EZ3" i="2"/>
  <c r="EY5" i="2"/>
  <c r="DW6" i="8" s="1"/>
  <c r="EE45" i="6"/>
  <c r="EE49" i="6" s="1"/>
  <c r="EA45" i="8" s="1"/>
  <c r="FF1" i="2"/>
  <c r="FE4" i="2"/>
  <c r="EE20" i="8"/>
  <c r="FF2" i="2"/>
  <c r="FG2" i="2" s="1"/>
  <c r="EH1" i="6"/>
  <c r="EG36" i="6"/>
  <c r="EG35" i="6"/>
  <c r="EG37" i="6"/>
  <c r="EG38" i="6"/>
  <c r="EG9" i="6"/>
  <c r="EG39" i="6"/>
  <c r="EG12" i="6"/>
  <c r="EG29" i="6"/>
  <c r="EG8" i="6"/>
  <c r="EG31" i="6"/>
  <c r="EG13" i="6"/>
  <c r="EG16" i="6"/>
  <c r="EG15" i="6"/>
  <c r="EG34" i="6"/>
  <c r="EG30" i="6"/>
  <c r="EG28" i="6"/>
  <c r="EG27" i="6"/>
  <c r="EG7" i="6"/>
  <c r="EG10" i="6"/>
  <c r="EG25" i="6"/>
  <c r="EG14" i="6"/>
  <c r="EG18" i="6"/>
  <c r="EG19" i="6"/>
  <c r="EG5" i="6"/>
  <c r="EG40" i="6"/>
  <c r="EG17" i="6"/>
  <c r="EG32" i="6"/>
  <c r="EG33" i="6"/>
  <c r="EG26" i="6"/>
  <c r="EG6" i="6"/>
  <c r="EG11" i="6"/>
  <c r="EG20" i="6"/>
  <c r="EG2" i="6"/>
  <c r="EE17" i="8"/>
  <c r="EF21" i="6"/>
  <c r="EE19" i="8"/>
  <c r="EC67" i="8"/>
  <c r="L64" i="10"/>
  <c r="ED39" i="8"/>
  <c r="ED40" i="8"/>
  <c r="EE2" i="8"/>
  <c r="M46" i="10" s="1"/>
  <c r="EE47" i="8"/>
  <c r="EE50" i="8"/>
  <c r="EE30" i="8"/>
  <c r="A30" i="8" s="1"/>
  <c r="EE32" i="8"/>
  <c r="A32" i="8" s="1"/>
  <c r="EE31" i="8"/>
  <c r="A31" i="8" s="1"/>
  <c r="EE33" i="8"/>
  <c r="A33" i="8" s="1"/>
  <c r="EE35" i="8"/>
  <c r="EE34" i="8"/>
  <c r="A34" i="8" s="1"/>
  <c r="EE36" i="8"/>
  <c r="A36" i="8" s="1"/>
  <c r="EE29" i="8"/>
  <c r="A29" i="8" s="1"/>
  <c r="CL19" i="7"/>
  <c r="CM14" i="7" s="1"/>
  <c r="DW7" i="7"/>
  <c r="DW6" i="7" s="1"/>
  <c r="DW9" i="7" s="1"/>
  <c r="DX4" i="7" s="1"/>
  <c r="DV11" i="8" l="1"/>
  <c r="DV26" i="8" s="1"/>
  <c r="DV37" i="8" s="1"/>
  <c r="FA3" i="2"/>
  <c r="EZ5" i="2"/>
  <c r="DX6" i="8" s="1"/>
  <c r="F63" i="10"/>
  <c r="E63" i="10"/>
  <c r="I64" i="10"/>
  <c r="EG41" i="6"/>
  <c r="H63" i="10"/>
  <c r="ED8" i="7"/>
  <c r="ED5" i="7"/>
  <c r="H64" i="10"/>
  <c r="CM59" i="8"/>
  <c r="DW8" i="8"/>
  <c r="DW9" i="8"/>
  <c r="DW7" i="8"/>
  <c r="DW10" i="8"/>
  <c r="G64" i="10"/>
  <c r="FG1" i="2"/>
  <c r="FG4" i="2" s="1"/>
  <c r="FF4" i="2"/>
  <c r="M42" i="10"/>
  <c r="EE53" i="8"/>
  <c r="A53" i="8" s="1"/>
  <c r="A50" i="8"/>
  <c r="D63" i="10"/>
  <c r="M54" i="10"/>
  <c r="ED16" i="7"/>
  <c r="ED19" i="7" s="1"/>
  <c r="EF49" i="6"/>
  <c r="EB45" i="8" s="1"/>
  <c r="EF45" i="6"/>
  <c r="EG21" i="6"/>
  <c r="EI1" i="6"/>
  <c r="EH34" i="6"/>
  <c r="EH33" i="6"/>
  <c r="EH32" i="6"/>
  <c r="EH25" i="6"/>
  <c r="EH40" i="6"/>
  <c r="EH26" i="6"/>
  <c r="EH8" i="6"/>
  <c r="EH15" i="6"/>
  <c r="EH16" i="6"/>
  <c r="EH17" i="6"/>
  <c r="EH18" i="6"/>
  <c r="EH38" i="6"/>
  <c r="EH37" i="6"/>
  <c r="EH29" i="6"/>
  <c r="EH19" i="6"/>
  <c r="EH20" i="6"/>
  <c r="EH12" i="6"/>
  <c r="EH36" i="6"/>
  <c r="EH35" i="6"/>
  <c r="EH39" i="6"/>
  <c r="EH30" i="6"/>
  <c r="EH14" i="6"/>
  <c r="EH31" i="6"/>
  <c r="EH7" i="6"/>
  <c r="EH10" i="6"/>
  <c r="EH6" i="6"/>
  <c r="EH27" i="6"/>
  <c r="EH5" i="6"/>
  <c r="EH28" i="6"/>
  <c r="EH9" i="6"/>
  <c r="EH13" i="6"/>
  <c r="EH11" i="6"/>
  <c r="EH2" i="6"/>
  <c r="EA14" i="8"/>
  <c r="DZ24" i="8"/>
  <c r="K44" i="10"/>
  <c r="H32" i="10"/>
  <c r="F29" i="10"/>
  <c r="I50" i="10"/>
  <c r="G22" i="10"/>
  <c r="J44" i="10"/>
  <c r="K16" i="10"/>
  <c r="G17" i="10"/>
  <c r="J17" i="10"/>
  <c r="E29" i="10"/>
  <c r="M29" i="10"/>
  <c r="E17" i="10"/>
  <c r="J15" i="10"/>
  <c r="G34" i="10"/>
  <c r="F33" i="10"/>
  <c r="E38" i="10"/>
  <c r="L44" i="10"/>
  <c r="I8" i="10"/>
  <c r="H17" i="10"/>
  <c r="L9" i="10"/>
  <c r="H5" i="10"/>
  <c r="M6" i="10"/>
  <c r="K51" i="10"/>
  <c r="K9" i="10"/>
  <c r="G7" i="10"/>
  <c r="J5" i="10"/>
  <c r="E16" i="10"/>
  <c r="I20" i="10"/>
  <c r="H21" i="10"/>
  <c r="J51" i="10"/>
  <c r="I33" i="10"/>
  <c r="L20" i="10"/>
  <c r="L14" i="10"/>
  <c r="G21" i="10"/>
  <c r="J20" i="10"/>
  <c r="E18" i="10"/>
  <c r="J33" i="10"/>
  <c r="F49" i="10"/>
  <c r="G15" i="10"/>
  <c r="F16" i="10"/>
  <c r="E35" i="10"/>
  <c r="G5" i="10"/>
  <c r="F32" i="10"/>
  <c r="I35" i="10"/>
  <c r="K17" i="10"/>
  <c r="L19" i="10"/>
  <c r="E10" i="10"/>
  <c r="J35" i="10"/>
  <c r="L29" i="10"/>
  <c r="L34" i="10"/>
  <c r="H10" i="10"/>
  <c r="M18" i="10"/>
  <c r="K29" i="10"/>
  <c r="F7" i="10"/>
  <c r="K32" i="10"/>
  <c r="M33" i="10"/>
  <c r="F14" i="10"/>
  <c r="E13" i="10"/>
  <c r="G13" i="10"/>
  <c r="E19" i="10"/>
  <c r="K30" i="10"/>
  <c r="M10" i="10"/>
  <c r="L7" i="10"/>
  <c r="E33" i="10"/>
  <c r="H7" i="10"/>
  <c r="K52" i="10"/>
  <c r="E32" i="10"/>
  <c r="J16" i="10"/>
  <c r="M21" i="10"/>
  <c r="H49" i="10"/>
  <c r="E50" i="10"/>
  <c r="G19" i="10"/>
  <c r="F13" i="10"/>
  <c r="H6" i="10"/>
  <c r="M52" i="10"/>
  <c r="I52" i="10"/>
  <c r="J31" i="10"/>
  <c r="H28" i="10"/>
  <c r="L18" i="10"/>
  <c r="K7" i="10"/>
  <c r="M13" i="10"/>
  <c r="G10" i="10"/>
  <c r="H52" i="10"/>
  <c r="G9" i="10"/>
  <c r="H14" i="10"/>
  <c r="K38" i="10"/>
  <c r="E14" i="10"/>
  <c r="K8" i="10"/>
  <c r="J49" i="10"/>
  <c r="F8" i="10"/>
  <c r="J52" i="10"/>
  <c r="G49" i="10"/>
  <c r="H38" i="10"/>
  <c r="J19" i="10"/>
  <c r="G32" i="10"/>
  <c r="J39" i="10"/>
  <c r="L6" i="10"/>
  <c r="H39" i="10"/>
  <c r="F20" i="10"/>
  <c r="J22" i="10"/>
  <c r="F39" i="10"/>
  <c r="I18" i="10"/>
  <c r="J28" i="10"/>
  <c r="J34" i="10"/>
  <c r="K15" i="10"/>
  <c r="L52" i="10"/>
  <c r="M50" i="10"/>
  <c r="L51" i="10"/>
  <c r="J10" i="10"/>
  <c r="E31" i="10"/>
  <c r="K18" i="10"/>
  <c r="E49" i="10"/>
  <c r="I39" i="10"/>
  <c r="M49" i="10"/>
  <c r="E9" i="10"/>
  <c r="J21" i="10"/>
  <c r="L39" i="10"/>
  <c r="G44" i="10"/>
  <c r="I9" i="10"/>
  <c r="J13" i="10"/>
  <c r="F10" i="10"/>
  <c r="L38" i="10"/>
  <c r="H19" i="10"/>
  <c r="I38" i="10"/>
  <c r="K19" i="10"/>
  <c r="I32" i="10"/>
  <c r="J6" i="10"/>
  <c r="M34" i="10"/>
  <c r="H16" i="10"/>
  <c r="E5" i="10"/>
  <c r="G35" i="10"/>
  <c r="E22" i="10"/>
  <c r="F9" i="10"/>
  <c r="I5" i="10"/>
  <c r="M16" i="10"/>
  <c r="H29" i="10"/>
  <c r="F18" i="10"/>
  <c r="G52" i="10"/>
  <c r="H50" i="10"/>
  <c r="L10" i="10"/>
  <c r="I6" i="10"/>
  <c r="L17" i="10"/>
  <c r="F28" i="10"/>
  <c r="K20" i="10"/>
  <c r="M17" i="10"/>
  <c r="J50" i="10"/>
  <c r="E30" i="10"/>
  <c r="I34" i="10"/>
  <c r="J14" i="10"/>
  <c r="K34" i="10"/>
  <c r="J7" i="10"/>
  <c r="M14" i="10"/>
  <c r="K35" i="10"/>
  <c r="K6" i="10"/>
  <c r="I7" i="10"/>
  <c r="F34" i="10"/>
  <c r="F21" i="10"/>
  <c r="M22" i="10"/>
  <c r="H22" i="10"/>
  <c r="L8" i="10"/>
  <c r="L35" i="10"/>
  <c r="H35" i="10"/>
  <c r="E7" i="10"/>
  <c r="M9" i="10"/>
  <c r="E39" i="10"/>
  <c r="I21" i="10"/>
  <c r="G51" i="10"/>
  <c r="K14" i="10"/>
  <c r="L32" i="10"/>
  <c r="H13" i="10"/>
  <c r="K5" i="10"/>
  <c r="J8" i="10"/>
  <c r="G16" i="10"/>
  <c r="J38" i="10"/>
  <c r="J32" i="10"/>
  <c r="H30" i="10"/>
  <c r="G14" i="10"/>
  <c r="M15" i="10"/>
  <c r="G18" i="10"/>
  <c r="M28" i="10"/>
  <c r="L13" i="10"/>
  <c r="I17" i="10"/>
  <c r="I22" i="10"/>
  <c r="F30" i="10"/>
  <c r="H33" i="10"/>
  <c r="H8" i="10"/>
  <c r="M20" i="10"/>
  <c r="F6" i="10"/>
  <c r="E21" i="10"/>
  <c r="G20" i="10"/>
  <c r="M38" i="10"/>
  <c r="E6" i="10"/>
  <c r="I14" i="10"/>
  <c r="H44" i="10"/>
  <c r="F50" i="10"/>
  <c r="G6" i="10"/>
  <c r="E8" i="10"/>
  <c r="H34" i="10"/>
  <c r="L33" i="10"/>
  <c r="E51" i="10"/>
  <c r="L30" i="10"/>
  <c r="I13" i="10"/>
  <c r="I49" i="10"/>
  <c r="E52" i="10"/>
  <c r="J29" i="10"/>
  <c r="M32" i="10"/>
  <c r="E20" i="10"/>
  <c r="G29" i="10"/>
  <c r="H15" i="10"/>
  <c r="M39" i="10"/>
  <c r="L5" i="10"/>
  <c r="H18" i="10"/>
  <c r="K10" i="10"/>
  <c r="M30" i="10"/>
  <c r="I15" i="10"/>
  <c r="G31" i="10"/>
  <c r="E28" i="10"/>
  <c r="F15" i="10"/>
  <c r="I10" i="10"/>
  <c r="K31" i="10"/>
  <c r="L22" i="10"/>
  <c r="H51" i="10"/>
  <c r="L28" i="10"/>
  <c r="F19" i="10"/>
  <c r="J9" i="10"/>
  <c r="K33" i="10"/>
  <c r="I31" i="10"/>
  <c r="M5" i="10"/>
  <c r="I44" i="10"/>
  <c r="M7" i="10"/>
  <c r="K13" i="10"/>
  <c r="M35" i="10"/>
  <c r="I29" i="10"/>
  <c r="J30" i="10"/>
  <c r="H31" i="10"/>
  <c r="F22" i="10"/>
  <c r="E15" i="10"/>
  <c r="K49" i="10"/>
  <c r="F35" i="10"/>
  <c r="L16" i="10"/>
  <c r="D18" i="10"/>
  <c r="L50" i="10"/>
  <c r="F38" i="10"/>
  <c r="K22" i="10"/>
  <c r="G39" i="10"/>
  <c r="G38" i="10"/>
  <c r="G28" i="10"/>
  <c r="L21" i="10"/>
  <c r="I28" i="10"/>
  <c r="K28" i="10"/>
  <c r="G8" i="10"/>
  <c r="M44" i="10"/>
  <c r="I51" i="10"/>
  <c r="H20" i="10"/>
  <c r="F52" i="10"/>
  <c r="D22" i="10"/>
  <c r="E34" i="10"/>
  <c r="F5" i="10"/>
  <c r="F17" i="10"/>
  <c r="L31" i="10"/>
  <c r="I16" i="10"/>
  <c r="G33" i="10"/>
  <c r="M19" i="10"/>
  <c r="L49" i="10"/>
  <c r="M31" i="10"/>
  <c r="L15" i="10"/>
  <c r="D15" i="10"/>
  <c r="H9" i="10"/>
  <c r="K21" i="10"/>
  <c r="I19" i="10"/>
  <c r="G50" i="10"/>
  <c r="J18" i="10"/>
  <c r="D19" i="10"/>
  <c r="F31" i="10"/>
  <c r="M8" i="10"/>
  <c r="G30" i="10"/>
  <c r="F44" i="10"/>
  <c r="I30" i="10"/>
  <c r="K39" i="10"/>
  <c r="F51" i="10"/>
  <c r="E44" i="10"/>
  <c r="D20" i="10"/>
  <c r="D33" i="10"/>
  <c r="D29" i="10"/>
  <c r="D14" i="10"/>
  <c r="D21" i="10"/>
  <c r="D28" i="10"/>
  <c r="D31" i="10"/>
  <c r="D35" i="10"/>
  <c r="D16" i="10"/>
  <c r="D17" i="10"/>
  <c r="D30" i="10"/>
  <c r="D32" i="10"/>
  <c r="D49" i="10"/>
  <c r="D52" i="10"/>
  <c r="D34" i="10"/>
  <c r="E42" i="10"/>
  <c r="E46" i="10"/>
  <c r="F40" i="10"/>
  <c r="F42" i="10"/>
  <c r="F46" i="10"/>
  <c r="G40" i="10"/>
  <c r="G42" i="10"/>
  <c r="G46" i="10"/>
  <c r="G54" i="10"/>
  <c r="G58" i="10"/>
  <c r="H40" i="10"/>
  <c r="H42" i="10"/>
  <c r="H46" i="10"/>
  <c r="H54" i="10"/>
  <c r="H58" i="10"/>
  <c r="I42" i="10"/>
  <c r="I46" i="10"/>
  <c r="J42" i="10"/>
  <c r="J46" i="10"/>
  <c r="K46" i="10"/>
  <c r="L42" i="10"/>
  <c r="L54" i="10"/>
  <c r="L46" i="10"/>
  <c r="K63" i="10"/>
  <c r="J63" i="10"/>
  <c r="L63" i="10"/>
  <c r="K64" i="10"/>
  <c r="J64" i="10"/>
  <c r="I63" i="10"/>
  <c r="F64" i="10"/>
  <c r="E64" i="10"/>
  <c r="D64" i="10"/>
  <c r="A47" i="8"/>
  <c r="D46" i="10"/>
  <c r="ED67" i="8"/>
  <c r="EE40" i="8"/>
  <c r="EE39" i="8"/>
  <c r="CM15" i="7"/>
  <c r="CM17" i="7"/>
  <c r="DX7" i="7"/>
  <c r="DX6" i="7" s="1"/>
  <c r="DX9" i="7" s="1"/>
  <c r="DY4" i="7" s="1"/>
  <c r="DW11" i="8" l="1"/>
  <c r="DW26" i="8" s="1"/>
  <c r="DW37" i="8" s="1"/>
  <c r="A30" i="10"/>
  <c r="A17" i="10"/>
  <c r="EE52" i="8"/>
  <c r="A8" i="7"/>
  <c r="A40" i="8"/>
  <c r="D39" i="10"/>
  <c r="A39" i="10" s="1"/>
  <c r="A21" i="10"/>
  <c r="A19" i="10"/>
  <c r="EG45" i="6"/>
  <c r="EG49" i="6" s="1"/>
  <c r="EC45" i="8" s="1"/>
  <c r="A18" i="10"/>
  <c r="EB14" i="8"/>
  <c r="EA24" i="8"/>
  <c r="EE51" i="8"/>
  <c r="A5" i="7"/>
  <c r="D38" i="10"/>
  <c r="A38" i="10" s="1"/>
  <c r="A39" i="8"/>
  <c r="A28" i="10"/>
  <c r="A29" i="10"/>
  <c r="A22" i="10"/>
  <c r="A34" i="10"/>
  <c r="A14" i="10"/>
  <c r="A35" i="10"/>
  <c r="EI36" i="6"/>
  <c r="A36" i="6" s="1"/>
  <c r="EI34" i="6"/>
  <c r="A34" i="6" s="1"/>
  <c r="EI27" i="6"/>
  <c r="A27" i="6" s="1"/>
  <c r="EI32" i="6"/>
  <c r="A32" i="6" s="1"/>
  <c r="EI35" i="6"/>
  <c r="A35" i="6" s="1"/>
  <c r="EI7" i="6"/>
  <c r="A7" i="6" s="1"/>
  <c r="EI31" i="6"/>
  <c r="A31" i="6" s="1"/>
  <c r="EI15" i="6"/>
  <c r="A15" i="6" s="1"/>
  <c r="EI25" i="6"/>
  <c r="EI16" i="6"/>
  <c r="A16" i="6" s="1"/>
  <c r="EI38" i="6"/>
  <c r="A38" i="6" s="1"/>
  <c r="EI37" i="6"/>
  <c r="A37" i="6" s="1"/>
  <c r="EI33" i="6"/>
  <c r="A33" i="6" s="1"/>
  <c r="EI10" i="6"/>
  <c r="A10" i="6" s="1"/>
  <c r="EI20" i="6"/>
  <c r="A20" i="6" s="1"/>
  <c r="EI18" i="6"/>
  <c r="A18" i="6" s="1"/>
  <c r="EI40" i="6"/>
  <c r="A40" i="6" s="1"/>
  <c r="EI30" i="6"/>
  <c r="A30" i="6" s="1"/>
  <c r="EI6" i="6"/>
  <c r="A6" i="6" s="1"/>
  <c r="EI8" i="6"/>
  <c r="A8" i="6" s="1"/>
  <c r="EI12" i="6"/>
  <c r="A12" i="6" s="1"/>
  <c r="EI28" i="6"/>
  <c r="A28" i="6" s="1"/>
  <c r="EI14" i="6"/>
  <c r="A14" i="6" s="1"/>
  <c r="EI39" i="6"/>
  <c r="A39" i="6" s="1"/>
  <c r="EI26" i="6"/>
  <c r="A26" i="6" s="1"/>
  <c r="EI5" i="6"/>
  <c r="EI9" i="6"/>
  <c r="A9" i="6" s="1"/>
  <c r="EI13" i="6"/>
  <c r="A13" i="6" s="1"/>
  <c r="EI29" i="6"/>
  <c r="A29" i="6" s="1"/>
  <c r="EI19" i="6"/>
  <c r="A19" i="6" s="1"/>
  <c r="EI17" i="6"/>
  <c r="A17" i="6" s="1"/>
  <c r="EI11" i="6"/>
  <c r="A11" i="6" s="1"/>
  <c r="EI2" i="6"/>
  <c r="A33" i="10"/>
  <c r="DX9" i="8"/>
  <c r="DX10" i="8"/>
  <c r="DX7" i="8"/>
  <c r="DX11" i="8" s="1"/>
  <c r="DX26" i="8" s="1"/>
  <c r="DX37" i="8" s="1"/>
  <c r="DX8" i="8"/>
  <c r="EH21" i="6"/>
  <c r="EH41" i="6"/>
  <c r="CM67" i="8"/>
  <c r="CM70" i="8"/>
  <c r="CN69" i="8" s="1"/>
  <c r="A16" i="10"/>
  <c r="A31" i="10"/>
  <c r="A52" i="10"/>
  <c r="A15" i="10"/>
  <c r="A46" i="10"/>
  <c r="A49" i="10"/>
  <c r="CM16" i="7"/>
  <c r="CN51" i="8"/>
  <c r="A32" i="10"/>
  <c r="A20" i="10"/>
  <c r="FB3" i="2"/>
  <c r="FA5" i="2"/>
  <c r="DY6" i="8" s="1"/>
  <c r="CM19" i="7"/>
  <c r="CN14" i="7" s="1"/>
  <c r="DY7" i="7"/>
  <c r="DY6" i="7" s="1"/>
  <c r="DY9" i="7" s="1"/>
  <c r="DZ4" i="7" s="1"/>
  <c r="EI21" i="6" l="1"/>
  <c r="A5" i="6"/>
  <c r="EI41" i="6"/>
  <c r="A41" i="6" s="1"/>
  <c r="A25" i="6"/>
  <c r="DY8" i="8"/>
  <c r="DY10" i="8"/>
  <c r="DY7" i="8"/>
  <c r="DY9" i="8"/>
  <c r="DY11" i="8" s="1"/>
  <c r="DY26" i="8" s="1"/>
  <c r="DY37" i="8" s="1"/>
  <c r="CN55" i="8"/>
  <c r="EC14" i="8"/>
  <c r="EB24" i="8"/>
  <c r="D50" i="10"/>
  <c r="EE55" i="8"/>
  <c r="FC3" i="2"/>
  <c r="FB5" i="2"/>
  <c r="DZ6" i="8" s="1"/>
  <c r="EH45" i="6"/>
  <c r="EH49" i="6" s="1"/>
  <c r="ED45" i="8" s="1"/>
  <c r="D51" i="10"/>
  <c r="A26" i="8"/>
  <c r="D25" i="10"/>
  <c r="E25" i="10"/>
  <c r="F25" i="10"/>
  <c r="G25" i="10"/>
  <c r="H25" i="10"/>
  <c r="I25" i="10"/>
  <c r="J25" i="10"/>
  <c r="K25" i="10"/>
  <c r="L25" i="10"/>
  <c r="M25" i="10"/>
  <c r="D23" i="10"/>
  <c r="A24" i="8"/>
  <c r="E23" i="10"/>
  <c r="F23" i="10"/>
  <c r="G23" i="10"/>
  <c r="H23" i="10"/>
  <c r="I23" i="10"/>
  <c r="J23" i="10"/>
  <c r="K23" i="10"/>
  <c r="L23" i="10"/>
  <c r="M23" i="10"/>
  <c r="D58" i="10"/>
  <c r="E58" i="10"/>
  <c r="F58" i="10"/>
  <c r="I58" i="10"/>
  <c r="J58" i="10"/>
  <c r="L58" i="10"/>
  <c r="CN15" i="7"/>
  <c r="CO51" i="8" s="1"/>
  <c r="CO55" i="8" s="1"/>
  <c r="CO59" i="8" s="1"/>
  <c r="CO67" i="8" s="1"/>
  <c r="CN17" i="7"/>
  <c r="DZ7" i="7"/>
  <c r="DZ6" i="7" s="1"/>
  <c r="DZ9" i="7" s="1"/>
  <c r="EA4" i="7" s="1"/>
  <c r="CN59" i="8" l="1"/>
  <c r="FD3" i="2"/>
  <c r="FC5" i="2"/>
  <c r="EA6" i="8" s="1"/>
  <c r="DZ10" i="8"/>
  <c r="DZ9" i="8"/>
  <c r="DZ8" i="8"/>
  <c r="DZ7" i="8"/>
  <c r="D54" i="10"/>
  <c r="D68" i="10" s="1"/>
  <c r="E54" i="10"/>
  <c r="F54" i="10"/>
  <c r="I54" i="10"/>
  <c r="J54" i="10"/>
  <c r="EE59" i="8"/>
  <c r="EE67" i="8" s="1"/>
  <c r="ED14" i="8"/>
  <c r="EC24" i="8"/>
  <c r="EI45" i="6"/>
  <c r="A45" i="6" s="1"/>
  <c r="A21" i="6"/>
  <c r="A23" i="10"/>
  <c r="A37" i="8"/>
  <c r="D36" i="10"/>
  <c r="E36" i="10"/>
  <c r="F36" i="10"/>
  <c r="G36" i="10"/>
  <c r="H36" i="10"/>
  <c r="I36" i="10"/>
  <c r="J36" i="10"/>
  <c r="K36" i="10"/>
  <c r="L36" i="10"/>
  <c r="M36" i="10"/>
  <c r="A25" i="10"/>
  <c r="D66" i="10"/>
  <c r="E66" i="10"/>
  <c r="F66" i="10"/>
  <c r="G66" i="10"/>
  <c r="H66" i="10"/>
  <c r="I66" i="10"/>
  <c r="J66" i="10"/>
  <c r="L66" i="10"/>
  <c r="CN16" i="7"/>
  <c r="EA7" i="7"/>
  <c r="EA6" i="7" s="1"/>
  <c r="EA9" i="7" s="1"/>
  <c r="EB4" i="7" s="1"/>
  <c r="E68" i="10" l="1"/>
  <c r="DZ11" i="8"/>
  <c r="DZ26" i="8" s="1"/>
  <c r="DZ37" i="8" s="1"/>
  <c r="F68" i="10"/>
  <c r="EA9" i="8"/>
  <c r="EA7" i="8"/>
  <c r="EA8" i="8"/>
  <c r="EA10" i="8"/>
  <c r="FE3" i="2"/>
  <c r="FD5" i="2"/>
  <c r="EB6" i="8" s="1"/>
  <c r="EI49" i="6"/>
  <c r="EE14" i="8"/>
  <c r="ED24" i="8"/>
  <c r="CN67" i="8"/>
  <c r="CN70" i="8"/>
  <c r="CO69" i="8" s="1"/>
  <c r="CO70" i="8" s="1"/>
  <c r="CP69" i="8" s="1"/>
  <c r="A36" i="10"/>
  <c r="G68" i="10"/>
  <c r="H68" i="10"/>
  <c r="I68" i="10"/>
  <c r="J68" i="10"/>
  <c r="CN19" i="7"/>
  <c r="CO14" i="7" s="1"/>
  <c r="EB7" i="7"/>
  <c r="EB6" i="7" s="1"/>
  <c r="EB9" i="7" s="1"/>
  <c r="EC4" i="7" s="1"/>
  <c r="EA11" i="8" l="1"/>
  <c r="EA26" i="8" s="1"/>
  <c r="EA37" i="8" s="1"/>
  <c r="FF3" i="2"/>
  <c r="FE5" i="2"/>
  <c r="EC6" i="8" s="1"/>
  <c r="A14" i="8"/>
  <c r="D13" i="10"/>
  <c r="A13" i="10" s="1"/>
  <c r="EE24" i="8"/>
  <c r="EB8" i="8"/>
  <c r="EB7" i="8"/>
  <c r="EB10" i="8"/>
  <c r="EB9" i="8"/>
  <c r="EE45" i="8"/>
  <c r="A49" i="6"/>
  <c r="CO15" i="7"/>
  <c r="CP51" i="8" s="1"/>
  <c r="CO17" i="7"/>
  <c r="EC7" i="7"/>
  <c r="EC6" i="7" s="1"/>
  <c r="EC9" i="7" s="1"/>
  <c r="ED4" i="7" s="1"/>
  <c r="A4" i="7" s="1"/>
  <c r="EB11" i="8" l="1"/>
  <c r="EB26" i="8" s="1"/>
  <c r="EB37" i="8" s="1"/>
  <c r="CP55" i="8"/>
  <c r="D44" i="10"/>
  <c r="A44" i="10" s="1"/>
  <c r="A45" i="8"/>
  <c r="EC7" i="8"/>
  <c r="EC8" i="8"/>
  <c r="EC9" i="8"/>
  <c r="EC10" i="8"/>
  <c r="FG3" i="2"/>
  <c r="FG5" i="2" s="1"/>
  <c r="EE6" i="8" s="1"/>
  <c r="D5" i="10" s="1"/>
  <c r="FF5" i="2"/>
  <c r="ED6" i="8" s="1"/>
  <c r="CO16" i="7"/>
  <c r="ED7" i="7"/>
  <c r="EC11" i="8" l="1"/>
  <c r="EC26" i="8" s="1"/>
  <c r="EC37" i="8" s="1"/>
  <c r="A5" i="10"/>
  <c r="A6" i="8"/>
  <c r="EE9" i="8"/>
  <c r="EE8" i="8"/>
  <c r="EE7" i="8"/>
  <c r="EE10" i="8"/>
  <c r="ED10" i="8"/>
  <c r="ED8" i="8"/>
  <c r="ED7" i="8"/>
  <c r="ED9" i="8"/>
  <c r="CP59" i="8"/>
  <c r="CO19" i="7"/>
  <c r="CP14" i="7" s="1"/>
  <c r="ED6" i="7"/>
  <c r="A7" i="7"/>
  <c r="EE11" i="8" l="1"/>
  <c r="ED11" i="8"/>
  <c r="ED26" i="8" s="1"/>
  <c r="ED37" i="8" s="1"/>
  <c r="EE26" i="8"/>
  <c r="EE37" i="8" s="1"/>
  <c r="D10" i="10"/>
  <c r="A10" i="10" s="1"/>
  <c r="A11" i="8"/>
  <c r="D9" i="10"/>
  <c r="A9" i="10" s="1"/>
  <c r="A10" i="8"/>
  <c r="D6" i="10"/>
  <c r="A6" i="10" s="1"/>
  <c r="A7" i="8"/>
  <c r="CP70" i="8"/>
  <c r="CQ69" i="8" s="1"/>
  <c r="CP67" i="8"/>
  <c r="D7" i="10"/>
  <c r="A7" i="10" s="1"/>
  <c r="A8" i="8"/>
  <c r="D8" i="10"/>
  <c r="A8" i="10" s="1"/>
  <c r="A9" i="8"/>
  <c r="CP15" i="7"/>
  <c r="CQ51" i="8" s="1"/>
  <c r="CP17" i="7"/>
  <c r="ED9" i="7"/>
  <c r="A6" i="7"/>
  <c r="A2" i="7" s="1"/>
  <c r="CQ55" i="8" l="1"/>
  <c r="CP16" i="7"/>
  <c r="CQ59" i="8" l="1"/>
  <c r="CP19" i="7"/>
  <c r="CQ14" i="7" s="1"/>
  <c r="CQ67" i="8" l="1"/>
  <c r="CQ70" i="8"/>
  <c r="CR69" i="8" s="1"/>
  <c r="CQ15" i="7"/>
  <c r="CR51" i="8" s="1"/>
  <c r="CQ17" i="7"/>
  <c r="CR55" i="8" l="1"/>
  <c r="CQ16" i="7"/>
  <c r="CR59" i="8" l="1"/>
  <c r="CQ19" i="7"/>
  <c r="CR14" i="7" s="1"/>
  <c r="CR67" i="8" l="1"/>
  <c r="CR70" i="8"/>
  <c r="CS69" i="8" s="1"/>
  <c r="CR15" i="7"/>
  <c r="CS51" i="8" s="1"/>
  <c r="CR17" i="7"/>
  <c r="CS55" i="8" l="1"/>
  <c r="CR16" i="7"/>
  <c r="CS59" i="8" l="1"/>
  <c r="CS14" i="7"/>
  <c r="CR19" i="7"/>
  <c r="CS67" i="8" l="1"/>
  <c r="CS70" i="8"/>
  <c r="CT69" i="8" s="1"/>
  <c r="CS17" i="7"/>
  <c r="CS15" i="7"/>
  <c r="CS16" i="7" l="1"/>
  <c r="CS19" i="7" s="1"/>
  <c r="CT14" i="7" s="1"/>
  <c r="CT51" i="8"/>
  <c r="CT55" i="8" s="1"/>
  <c r="CT59" i="8" s="1"/>
  <c r="CT67" i="8" s="1"/>
  <c r="CT70" i="8" l="1"/>
  <c r="CU69" i="8" s="1"/>
  <c r="CT15" i="7"/>
  <c r="CU51" i="8" s="1"/>
  <c r="CT17" i="7"/>
  <c r="CU55" i="8" l="1"/>
  <c r="K50" i="10"/>
  <c r="A50" i="10" s="1"/>
  <c r="A51" i="8"/>
  <c r="CT16" i="7"/>
  <c r="A15" i="7"/>
  <c r="CU59" i="8" l="1"/>
  <c r="K54" i="10"/>
  <c r="A55" i="8"/>
  <c r="CT19" i="7"/>
  <c r="CU14" i="7" s="1"/>
  <c r="A54" i="10" l="1"/>
  <c r="CU67" i="8"/>
  <c r="CU70" i="8"/>
  <c r="CV69" i="8" s="1"/>
  <c r="CV70" i="8" s="1"/>
  <c r="CW69" i="8" s="1"/>
  <c r="CW70" i="8" s="1"/>
  <c r="CX69" i="8" s="1"/>
  <c r="CX70" i="8" s="1"/>
  <c r="CY69" i="8" s="1"/>
  <c r="CY70" i="8" s="1"/>
  <c r="CZ69" i="8" s="1"/>
  <c r="CZ70" i="8" s="1"/>
  <c r="DA69" i="8" s="1"/>
  <c r="DA70" i="8" s="1"/>
  <c r="DB69" i="8" s="1"/>
  <c r="DB70" i="8" s="1"/>
  <c r="DC69" i="8" s="1"/>
  <c r="DC70" i="8" s="1"/>
  <c r="DD69" i="8" s="1"/>
  <c r="DD70" i="8" s="1"/>
  <c r="DE69" i="8" s="1"/>
  <c r="DE70" i="8" s="1"/>
  <c r="DF69" i="8" s="1"/>
  <c r="DF70" i="8" s="1"/>
  <c r="DG69" i="8" s="1"/>
  <c r="DG70" i="8" s="1"/>
  <c r="DH69" i="8" s="1"/>
  <c r="DH70" i="8" s="1"/>
  <c r="DI69" i="8" s="1"/>
  <c r="DI70" i="8" s="1"/>
  <c r="DJ69" i="8" s="1"/>
  <c r="DJ70" i="8" s="1"/>
  <c r="DK69" i="8" s="1"/>
  <c r="DK70" i="8" s="1"/>
  <c r="DL69" i="8" s="1"/>
  <c r="DL70" i="8" s="1"/>
  <c r="DM69" i="8" s="1"/>
  <c r="DM70" i="8" s="1"/>
  <c r="DN69" i="8" s="1"/>
  <c r="DN70" i="8" s="1"/>
  <c r="DO69" i="8" s="1"/>
  <c r="DO70" i="8" s="1"/>
  <c r="DP69" i="8" s="1"/>
  <c r="DP70" i="8" s="1"/>
  <c r="DQ69" i="8" s="1"/>
  <c r="DQ70" i="8" s="1"/>
  <c r="DR69" i="8" s="1"/>
  <c r="DR70" i="8" s="1"/>
  <c r="DS69" i="8" s="1"/>
  <c r="DS59" i="8" s="1"/>
  <c r="CU17" i="7"/>
  <c r="DS70" i="8" l="1"/>
  <c r="DT69" i="8" s="1"/>
  <c r="DT70" i="8" s="1"/>
  <c r="DU69" i="8" s="1"/>
  <c r="DU70" i="8" s="1"/>
  <c r="DV69" i="8" s="1"/>
  <c r="DV70" i="8" s="1"/>
  <c r="DW69" i="8" s="1"/>
  <c r="DW70" i="8" s="1"/>
  <c r="DX69" i="8" s="1"/>
  <c r="DX70" i="8" s="1"/>
  <c r="DY69" i="8" s="1"/>
  <c r="DY70" i="8" s="1"/>
  <c r="DZ69" i="8" s="1"/>
  <c r="DZ70" i="8" s="1"/>
  <c r="EA69" i="8" s="1"/>
  <c r="EA70" i="8" s="1"/>
  <c r="EB69" i="8" s="1"/>
  <c r="EB70" i="8" s="1"/>
  <c r="EC69" i="8" s="1"/>
  <c r="EC70" i="8" s="1"/>
  <c r="ED69" i="8" s="1"/>
  <c r="ED70" i="8" s="1"/>
  <c r="EE69" i="8" s="1"/>
  <c r="EE70" i="8" s="1"/>
  <c r="M58" i="10"/>
  <c r="A59" i="8"/>
  <c r="K58" i="10"/>
  <c r="CU16" i="7"/>
  <c r="A58" i="10" l="1"/>
  <c r="K68" i="10"/>
  <c r="CU19" i="7"/>
  <c r="CV14" i="7" s="1"/>
  <c r="CV17" i="7" l="1"/>
  <c r="CV16" i="7" s="1"/>
  <c r="CV19" i="7" l="1"/>
  <c r="CW14" i="7" s="1"/>
  <c r="CW17" i="7" l="1"/>
  <c r="CW16" i="7" s="1"/>
  <c r="CW19" i="7" l="1"/>
  <c r="CX14" i="7" s="1"/>
  <c r="CX17" i="7" l="1"/>
  <c r="CX16" i="7" s="1"/>
  <c r="CX19" i="7" l="1"/>
  <c r="CY14" i="7" s="1"/>
  <c r="CY17" i="7" l="1"/>
  <c r="CY16" i="7" s="1"/>
  <c r="CY19" i="7" l="1"/>
  <c r="CZ14" i="7" s="1"/>
  <c r="CZ17" i="7" l="1"/>
  <c r="CZ16" i="7" s="1"/>
  <c r="DA14" i="7" l="1"/>
  <c r="CZ19" i="7"/>
  <c r="DA17" i="7" l="1"/>
  <c r="DA16" i="7" s="1"/>
  <c r="DB14" i="7" l="1"/>
  <c r="DA19" i="7"/>
  <c r="DB17" i="7" l="1"/>
  <c r="DB16" i="7" s="1"/>
  <c r="DC14" i="7" l="1"/>
  <c r="DB19" i="7"/>
  <c r="DC17" i="7" l="1"/>
  <c r="DC16" i="7" s="1"/>
  <c r="DC19" i="7" l="1"/>
  <c r="DD14" i="7" s="1"/>
  <c r="DD17" i="7" l="1"/>
  <c r="DD16" i="7" s="1"/>
  <c r="DD19" i="7" l="1"/>
  <c r="DE14" i="7" s="1"/>
  <c r="DE17" i="7" l="1"/>
  <c r="DE16" i="7" s="1"/>
  <c r="DE19" i="7" l="1"/>
  <c r="DF14" i="7" s="1"/>
  <c r="DF17" i="7" l="1"/>
  <c r="DF16" i="7" s="1"/>
  <c r="DF19" i="7" l="1"/>
  <c r="DG14" i="7" s="1"/>
  <c r="DG17" i="7" l="1"/>
  <c r="DG16" i="7" s="1"/>
  <c r="DG19" i="7" s="1"/>
  <c r="DH14" i="7" s="1"/>
  <c r="DH17" i="7" l="1"/>
  <c r="DH16" i="7" s="1"/>
  <c r="DI14" i="7" l="1"/>
  <c r="DH19" i="7"/>
  <c r="DI17" i="7" l="1"/>
  <c r="DI16" i="7" s="1"/>
  <c r="DJ14" i="7" l="1"/>
  <c r="DI19" i="7"/>
  <c r="DJ17" i="7" l="1"/>
  <c r="DJ16" i="7" s="1"/>
  <c r="DK14" i="7" l="1"/>
  <c r="DJ19" i="7"/>
  <c r="DK17" i="7" l="1"/>
  <c r="DK16" i="7" s="1"/>
  <c r="DK19" i="7" l="1"/>
  <c r="DL14" i="7" s="1"/>
  <c r="DL17" i="7" l="1"/>
  <c r="DL16" i="7" s="1"/>
  <c r="DM14" i="7" l="1"/>
  <c r="DL19" i="7"/>
  <c r="DM17" i="7" l="1"/>
  <c r="DM16" i="7" s="1"/>
  <c r="DN14" i="7" l="1"/>
  <c r="DM19" i="7"/>
  <c r="DN17" i="7" l="1"/>
  <c r="DN16" i="7" s="1"/>
  <c r="DO14" i="7" l="1"/>
  <c r="DN19" i="7"/>
  <c r="DO17" i="7" l="1"/>
  <c r="DO16" i="7" s="1"/>
  <c r="DP14" i="7" l="1"/>
  <c r="DO19" i="7"/>
  <c r="DP17" i="7" l="1"/>
  <c r="DP16" i="7" s="1"/>
  <c r="DP19" i="7" l="1"/>
  <c r="DQ14" i="7" s="1"/>
  <c r="DQ17" i="7" l="1"/>
  <c r="DQ16" i="7" s="1"/>
  <c r="DQ19" i="7" l="1"/>
  <c r="DR14" i="7" s="1"/>
  <c r="DR17" i="7" l="1"/>
  <c r="A14" i="7"/>
  <c r="DR16" i="7" l="1"/>
  <c r="A17" i="7"/>
  <c r="A16" i="7" l="1"/>
  <c r="DR18" i="7"/>
  <c r="A18" i="7" l="1"/>
  <c r="DS52" i="8"/>
  <c r="DR19" i="7"/>
  <c r="A12" i="7"/>
  <c r="M51" i="10" l="1"/>
  <c r="A51" i="10" s="1"/>
  <c r="A52" i="8"/>
  <c r="DT41" i="8"/>
  <c r="DT43" i="8" s="1"/>
  <c r="DU41" i="8"/>
  <c r="DU43" i="8" s="1"/>
  <c r="DV41" i="8"/>
  <c r="DV43" i="8" s="1"/>
  <c r="DW41" i="8"/>
  <c r="DW43" i="8" s="1"/>
  <c r="DX41" i="8"/>
  <c r="DX43" i="8" s="1"/>
  <c r="DZ41" i="8"/>
  <c r="DZ43" i="8" s="1"/>
  <c r="EA41" i="8"/>
  <c r="EA43" i="8" s="1"/>
  <c r="EB41" i="8"/>
  <c r="EB43" i="8" s="1"/>
  <c r="EC41" i="8"/>
  <c r="EC43" i="8" s="1"/>
  <c r="ED41" i="8"/>
  <c r="ED43" i="8" s="1"/>
  <c r="DY41" i="8"/>
  <c r="DY43" i="8" s="1"/>
  <c r="D37" i="10" l="1"/>
  <c r="E37" i="10"/>
  <c r="F37" i="10"/>
  <c r="G37" i="10"/>
  <c r="H37" i="10"/>
  <c r="I37" i="10"/>
  <c r="J37" i="10"/>
  <c r="K37" i="10"/>
  <c r="L37" i="10"/>
  <c r="M37" i="10"/>
  <c r="EE41" i="8"/>
  <c r="A38" i="8"/>
  <c r="I40" i="10" l="1"/>
  <c r="J40" i="10"/>
  <c r="L40" i="10"/>
  <c r="D40" i="10"/>
  <c r="E40" i="10"/>
  <c r="K40" i="10"/>
  <c r="M40" i="10"/>
  <c r="A37" i="10"/>
  <c r="EE43" i="8"/>
  <c r="A41" i="8"/>
  <c r="D42" i="10" l="1"/>
  <c r="K42" i="10"/>
  <c r="A40" i="10"/>
  <c r="A43" i="8"/>
  <c r="DS64" i="8"/>
  <c r="M63" i="10" s="1"/>
  <c r="A63" i="10" s="1"/>
  <c r="A42" i="10" l="1"/>
  <c r="A64" i="8"/>
  <c r="DS65" i="8"/>
  <c r="M64" i="10" s="1"/>
  <c r="A64" i="10" s="1"/>
  <c r="DS67" i="8" l="1"/>
  <c r="K66" i="10" s="1"/>
  <c r="A65" i="8"/>
  <c r="L68" i="10" l="1"/>
  <c r="M68" i="10"/>
  <c r="A67" i="8"/>
  <c r="M66" i="10"/>
  <c r="A66" i="10" s="1"/>
</calcChain>
</file>

<file path=xl/sharedStrings.xml><?xml version="1.0" encoding="utf-8"?>
<sst xmlns="http://schemas.openxmlformats.org/spreadsheetml/2006/main" count="359" uniqueCount="198">
  <si>
    <t>Property Details</t>
  </si>
  <si>
    <t>Year Built</t>
  </si>
  <si>
    <t>Number of Units</t>
  </si>
  <si>
    <t>Number of Buildings</t>
  </si>
  <si>
    <t>Net Rentable SF</t>
  </si>
  <si>
    <t>Average Unit Size</t>
  </si>
  <si>
    <t>Net Acres</t>
  </si>
  <si>
    <t>Units Per Acre</t>
  </si>
  <si>
    <t>Street Address</t>
  </si>
  <si>
    <t>City/State/Zip</t>
  </si>
  <si>
    <t>555 Main Street</t>
  </si>
  <si>
    <t>San Francisco, CA</t>
  </si>
  <si>
    <t>Parking Information</t>
  </si>
  <si>
    <t>Uncovered Spaces</t>
  </si>
  <si>
    <t>Carport Spaces</t>
  </si>
  <si>
    <t>Garage Spaces</t>
  </si>
  <si>
    <t>Total Spaces</t>
  </si>
  <si>
    <t>Total Spaces/Unit</t>
  </si>
  <si>
    <t>Acquisition Information</t>
  </si>
  <si>
    <t>Purchase Price</t>
  </si>
  <si>
    <t>Purchase Price/Unit</t>
  </si>
  <si>
    <t>Closing Costs</t>
  </si>
  <si>
    <t>Up-Front Working Capital</t>
  </si>
  <si>
    <t>Going-In Cap Rate</t>
  </si>
  <si>
    <t>Property Closing Date</t>
  </si>
  <si>
    <t>Acquisition Loan Information</t>
  </si>
  <si>
    <t>Loan Amount</t>
  </si>
  <si>
    <t>LTV</t>
  </si>
  <si>
    <t>Going-In DSCR</t>
  </si>
  <si>
    <t>Going-In Debt Yield</t>
  </si>
  <si>
    <t>Interest Rate</t>
  </si>
  <si>
    <t>Interest-Only Period</t>
  </si>
  <si>
    <t>Loan Fee (%)</t>
  </si>
  <si>
    <t>Amortization</t>
  </si>
  <si>
    <t>Term</t>
  </si>
  <si>
    <t>Refinance Information</t>
  </si>
  <si>
    <t>Refinance Month</t>
  </si>
  <si>
    <t>Cap Rate Used For Valuation</t>
  </si>
  <si>
    <t>Summary Details</t>
  </si>
  <si>
    <t>Purchase Price/SF</t>
  </si>
  <si>
    <t>Total Cost of Project</t>
  </si>
  <si>
    <t>Total Cost/Unit</t>
  </si>
  <si>
    <t>Renovation Details</t>
  </si>
  <si>
    <t>Total Construction Costs</t>
  </si>
  <si>
    <t>Total Construction Costs/Unit</t>
  </si>
  <si>
    <t>Exterior Renovation Costs</t>
  </si>
  <si>
    <t>Exterior Renovation Costs/Unit</t>
  </si>
  <si>
    <t>Interior Renovation Costs</t>
  </si>
  <si>
    <t>Interior Renovation Costs/Unit</t>
  </si>
  <si>
    <t>Return on Cost</t>
  </si>
  <si>
    <t>Sale Details</t>
  </si>
  <si>
    <t>Exit Cap Rate</t>
  </si>
  <si>
    <t>Cap Rate Expansion/Year</t>
  </si>
  <si>
    <t>Sale Price</t>
  </si>
  <si>
    <t>Sale Price/Unit</t>
  </si>
  <si>
    <t>Costs of Sale</t>
  </si>
  <si>
    <t>Value CAGR</t>
  </si>
  <si>
    <t>Levered IRR</t>
  </si>
  <si>
    <t>Levered Equity Multiple</t>
  </si>
  <si>
    <t>Levered Average Cash-on-Cash</t>
  </si>
  <si>
    <t>Sources (at Close)</t>
  </si>
  <si>
    <t>Equity</t>
  </si>
  <si>
    <t>Acquisition Loan Proceeds</t>
  </si>
  <si>
    <t>Total Sources</t>
  </si>
  <si>
    <t>Uses (at Close)</t>
  </si>
  <si>
    <t>Acquisition Loan Fees</t>
  </si>
  <si>
    <t>Total Uses</t>
  </si>
  <si>
    <t>Additional Equity Requirements (Post-Close)</t>
  </si>
  <si>
    <t>Additional Equity Required</t>
  </si>
  <si>
    <t>Sale Information</t>
  </si>
  <si>
    <t>Closing Costs (%)</t>
  </si>
  <si>
    <t>Hold Period</t>
  </si>
  <si>
    <t>Return Metrics</t>
  </si>
  <si>
    <t>Internal Rate of Return (IRR)</t>
  </si>
  <si>
    <t>Equity Multiple</t>
  </si>
  <si>
    <t>Average Cash-on-Cash</t>
  </si>
  <si>
    <t>Current In-Place Rents</t>
  </si>
  <si>
    <t># of Units</t>
  </si>
  <si>
    <t>Unit Type</t>
  </si>
  <si>
    <t>SF</t>
  </si>
  <si>
    <t>Rent/Month</t>
  </si>
  <si>
    <t>$/SF</t>
  </si>
  <si>
    <t>1BR - 1BA</t>
  </si>
  <si>
    <t>2BR - 2BA</t>
  </si>
  <si>
    <t>Stabilized Rents</t>
  </si>
  <si>
    <t>Renovation Premium</t>
  </si>
  <si>
    <t>Premium</t>
  </si>
  <si>
    <t>Other Income/Unit/Month</t>
  </si>
  <si>
    <t>Laundry Income</t>
  </si>
  <si>
    <t>Late Fees</t>
  </si>
  <si>
    <t>Pet Rent</t>
  </si>
  <si>
    <t>Pet Fees</t>
  </si>
  <si>
    <t>Garage Income</t>
  </si>
  <si>
    <t>Storage Income</t>
  </si>
  <si>
    <t>Forfeited Deposits</t>
  </si>
  <si>
    <t>Other Charges</t>
  </si>
  <si>
    <t>Total</t>
  </si>
  <si>
    <t>Rent Increase Timing</t>
  </si>
  <si>
    <t>Month Start</t>
  </si>
  <si>
    <t>Month End</t>
  </si>
  <si>
    <t>Rent Increase Period</t>
  </si>
  <si>
    <t>Physical Vacancy</t>
  </si>
  <si>
    <t>Bad Debt</t>
  </si>
  <si>
    <t>Concessions</t>
  </si>
  <si>
    <t>Other Loss</t>
  </si>
  <si>
    <t>Economic Vacancy</t>
  </si>
  <si>
    <t>Market Rent Growth</t>
  </si>
  <si>
    <t>Other Income Growth</t>
  </si>
  <si>
    <t>In-Place Rents</t>
  </si>
  <si>
    <t>% of Stabilized Units</t>
  </si>
  <si>
    <t>Total Potential Rental Revenue</t>
  </si>
  <si>
    <t>T-12 Operating Expenses</t>
  </si>
  <si>
    <t>Item</t>
  </si>
  <si>
    <t>$/Unit/Year</t>
  </si>
  <si>
    <t>Payroll</t>
  </si>
  <si>
    <t>General &amp; Administrative</t>
  </si>
  <si>
    <t>Marketing</t>
  </si>
  <si>
    <t>Repairs &amp; Maintenance</t>
  </si>
  <si>
    <t>Turnover Costs</t>
  </si>
  <si>
    <t>Contract Services</t>
  </si>
  <si>
    <t>Utilities</t>
  </si>
  <si>
    <t>Utility Bill-Back</t>
  </si>
  <si>
    <t>Property Management Fee</t>
  </si>
  <si>
    <t>Property Taxes</t>
  </si>
  <si>
    <t>Insurance</t>
  </si>
  <si>
    <t>Hold Period Operating Expenses</t>
  </si>
  <si>
    <t>Property Tax Information</t>
  </si>
  <si>
    <t>Millage Rate</t>
  </si>
  <si>
    <t>Reassessed Upon Sale</t>
  </si>
  <si>
    <t>% of Value Assessed</t>
  </si>
  <si>
    <t>Current Assessed Value</t>
  </si>
  <si>
    <t>Fixed Charge Assessments</t>
  </si>
  <si>
    <t>No</t>
  </si>
  <si>
    <t>Other Expense Assumptions</t>
  </si>
  <si>
    <t>Annual Expense Growth</t>
  </si>
  <si>
    <t>Capital Expense Reserves/Unit</t>
  </si>
  <si>
    <t>Property Tax Growth Rates</t>
  </si>
  <si>
    <t>Hold Period Property Taxes</t>
  </si>
  <si>
    <t>Assessed Property Value</t>
  </si>
  <si>
    <t>Total Property Taxes</t>
  </si>
  <si>
    <t>Exterior Renovation Budget</t>
  </si>
  <si>
    <t>Per Unit</t>
  </si>
  <si>
    <t>Total Months</t>
  </si>
  <si>
    <t>Exterior Painting</t>
  </si>
  <si>
    <t>Fitness Center Renovation</t>
  </si>
  <si>
    <t>Leasing Center Renovation</t>
  </si>
  <si>
    <t>Dog Park</t>
  </si>
  <si>
    <t>Other</t>
  </si>
  <si>
    <t>Subtotal</t>
  </si>
  <si>
    <t>Check</t>
  </si>
  <si>
    <t>Interior Renovation Budget</t>
  </si>
  <si>
    <t>Countertops</t>
  </si>
  <si>
    <t>Flooring</t>
  </si>
  <si>
    <t>Cabinets</t>
  </si>
  <si>
    <t>Fixtures</t>
  </si>
  <si>
    <t>Contingency</t>
  </si>
  <si>
    <t>Percentage</t>
  </si>
  <si>
    <t>Overall Construction Budget</t>
  </si>
  <si>
    <t>Total Construction Budget</t>
  </si>
  <si>
    <t>Acquisition Financing</t>
  </si>
  <si>
    <t>Month</t>
  </si>
  <si>
    <t>Date</t>
  </si>
  <si>
    <t>Starting Balance</t>
  </si>
  <si>
    <t>Total Loan Payment</t>
  </si>
  <si>
    <t>Principal Payment</t>
  </si>
  <si>
    <t>Interest Payment</t>
  </si>
  <si>
    <t>Loan Payoff</t>
  </si>
  <si>
    <t>Ending Balance</t>
  </si>
  <si>
    <t>Refinancing</t>
  </si>
  <si>
    <t>Year</t>
  </si>
  <si>
    <t>Month Ending</t>
  </si>
  <si>
    <t>Revenue</t>
  </si>
  <si>
    <t>Gross Potential Rental Revenue</t>
  </si>
  <si>
    <t>Net Rental Income</t>
  </si>
  <si>
    <t>Other Income</t>
  </si>
  <si>
    <t>Total Other Income</t>
  </si>
  <si>
    <t>Effective Gross Revenue</t>
  </si>
  <si>
    <t>Expenses</t>
  </si>
  <si>
    <t>Capital Expense Reserves</t>
  </si>
  <si>
    <t>Total Operating Expenses</t>
  </si>
  <si>
    <t>Net Operating Income</t>
  </si>
  <si>
    <t>Construction Expenses</t>
  </si>
  <si>
    <t>Cash Flow Before Debt Service</t>
  </si>
  <si>
    <t>Loan Information</t>
  </si>
  <si>
    <t>Loan Funding</t>
  </si>
  <si>
    <t>Total Payment</t>
  </si>
  <si>
    <t>Loan Fees</t>
  </si>
  <si>
    <t>Cash Flow After Debt Service</t>
  </si>
  <si>
    <t>Working Capital Funding</t>
  </si>
  <si>
    <t>Working Capital Contributed</t>
  </si>
  <si>
    <t>Working Capital Distributed</t>
  </si>
  <si>
    <t>Beginning Working Capital Balance</t>
  </si>
  <si>
    <t>Ending Working Capital Balance</t>
  </si>
  <si>
    <t>Acquisition &amp; Sale Information</t>
  </si>
  <si>
    <t>Net Levered Cash Flow</t>
  </si>
  <si>
    <t>Year Ending</t>
  </si>
  <si>
    <t>Cash-on-Cash Return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</si>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</sst>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0.00&quot;x&quot;"/>
    <numFmt numFmtId="166" formatCode="0\ &quot;Months&quot;"/>
    <numFmt numFmtId="167" formatCode="&quot;Month&quot;\ 0"/>
    <numFmt numFmtId="168" formatCode="&quot;$&quot;#,##0.00"/>
    <numFmt numFmtId="169" formatCode="&quot;Year&quot;\ 0"/>
    <numFmt numFmtId="170" formatCode="0.0%"/>
    <numFmt numFmtId="171" formatCode="&quot;Acquisition&quot;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0"/>
      <color theme="0"/>
      <name val="Franklin Gothic Book"/>
      <family val="2"/>
    </font>
    <font>
      <sz val="10"/>
      <color rgb="FF0000FF"/>
      <name val="Franklin Gothic Book"/>
      <family val="2"/>
    </font>
    <font>
      <sz val="10"/>
      <name val="Franklin Gothic Book"/>
      <family val="2"/>
    </font>
    <font>
      <b/>
      <sz val="10"/>
      <color theme="1"/>
      <name val="Franklin Gothic Book"/>
      <family val="2"/>
    </font>
    <font>
      <sz val="11"/>
      <color theme="1"/>
      <name val="Calibri"/>
      <family val="2"/>
      <scheme val="minor"/>
    </font>
    <font>
      <b/>
      <sz val="10"/>
      <name val="Franklin Gothic Book"/>
      <family val="2"/>
    </font>
    <font>
      <u/>
      <sz val="10"/>
      <color theme="1"/>
      <name val="Franklin Gothic Book"/>
      <family val="2"/>
    </font>
    <font>
      <u/>
      <sz val="10"/>
      <color theme="0"/>
      <name val="Franklin Gothic Book"/>
      <family val="2"/>
    </font>
    <font>
      <sz val="10"/>
      <color theme="0"/>
      <name val="Franklin Gothic Book"/>
      <family val="2"/>
    </font>
    <font>
      <i/>
      <sz val="10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3" borderId="6" xfId="0" applyFont="1" applyFill="1" applyBorder="1" applyAlignment="1">
      <alignment horizontal="right"/>
    </xf>
    <xf numFmtId="3" fontId="6" fillId="0" borderId="6" xfId="0" applyNumberFormat="1" applyFont="1" applyBorder="1" applyAlignment="1">
      <alignment horizontal="center"/>
    </xf>
    <xf numFmtId="0" fontId="2" fillId="3" borderId="6" xfId="0" applyFont="1" applyFill="1" applyBorder="1" applyAlignment="1">
      <alignment horizontal="right"/>
    </xf>
    <xf numFmtId="4" fontId="2" fillId="0" borderId="6" xfId="0" applyNumberFormat="1" applyFont="1" applyBorder="1" applyAlignment="1">
      <alignment horizontal="center"/>
    </xf>
    <xf numFmtId="6" fontId="4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9" fontId="4" fillId="0" borderId="4" xfId="1" applyFont="1" applyBorder="1" applyAlignment="1">
      <alignment horizontal="center"/>
    </xf>
    <xf numFmtId="6" fontId="5" fillId="0" borderId="3" xfId="0" applyNumberFormat="1" applyFont="1" applyBorder="1" applyAlignment="1">
      <alignment horizontal="center"/>
    </xf>
    <xf numFmtId="10" fontId="4" fillId="0" borderId="4" xfId="1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4" fillId="0" borderId="5" xfId="0" applyNumberFormat="1" applyFont="1" applyBorder="1" applyAlignment="1">
      <alignment horizontal="center"/>
    </xf>
    <xf numFmtId="167" fontId="5" fillId="0" borderId="3" xfId="0" applyNumberFormat="1" applyFont="1" applyBorder="1" applyAlignment="1">
      <alignment horizontal="center"/>
    </xf>
    <xf numFmtId="6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6" fontId="4" fillId="0" borderId="0" xfId="0" applyNumberFormat="1" applyFont="1" applyAlignment="1">
      <alignment horizontal="center"/>
    </xf>
    <xf numFmtId="10" fontId="5" fillId="0" borderId="4" xfId="1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6" fontId="5" fillId="0" borderId="6" xfId="0" applyNumberFormat="1" applyFont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Continuous"/>
    </xf>
    <xf numFmtId="0" fontId="9" fillId="3" borderId="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6" fontId="4" fillId="0" borderId="9" xfId="0" applyNumberFormat="1" applyFont="1" applyBorder="1" applyAlignment="1">
      <alignment horizontal="center"/>
    </xf>
    <xf numFmtId="8" fontId="2" fillId="0" borderId="10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8" fontId="2" fillId="0" borderId="12" xfId="0" applyNumberFormat="1" applyFont="1" applyBorder="1" applyAlignment="1">
      <alignment horizontal="center"/>
    </xf>
    <xf numFmtId="3" fontId="6" fillId="3" borderId="7" xfId="0" applyNumberFormat="1" applyFont="1" applyFill="1" applyBorder="1" applyAlignment="1">
      <alignment horizontal="center"/>
    </xf>
    <xf numFmtId="164" fontId="6" fillId="3" borderId="7" xfId="0" applyNumberFormat="1" applyFont="1" applyFill="1" applyBorder="1" applyAlignment="1">
      <alignment horizontal="center"/>
    </xf>
    <xf numFmtId="168" fontId="6" fillId="3" borderId="2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9" fillId="3" borderId="6" xfId="0" applyFont="1" applyFill="1" applyBorder="1" applyAlignment="1">
      <alignment horizontal="center"/>
    </xf>
    <xf numFmtId="6" fontId="6" fillId="3" borderId="6" xfId="0" applyNumberFormat="1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167" fontId="4" fillId="0" borderId="4" xfId="1" applyNumberFormat="1" applyFont="1" applyBorder="1" applyAlignment="1">
      <alignment horizontal="center"/>
    </xf>
    <xf numFmtId="166" fontId="5" fillId="0" borderId="5" xfId="1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69" fontId="10" fillId="2" borderId="7" xfId="0" applyNumberFormat="1" applyFont="1" applyFill="1" applyBorder="1" applyAlignment="1">
      <alignment horizontal="center"/>
    </xf>
    <xf numFmtId="169" fontId="10" fillId="2" borderId="2" xfId="0" applyNumberFormat="1" applyFont="1" applyFill="1" applyBorder="1" applyAlignment="1">
      <alignment horizontal="center"/>
    </xf>
    <xf numFmtId="10" fontId="2" fillId="0" borderId="0" xfId="1" applyNumberFormat="1" applyFont="1"/>
    <xf numFmtId="10" fontId="6" fillId="0" borderId="7" xfId="1" applyNumberFormat="1" applyFont="1" applyBorder="1" applyAlignment="1">
      <alignment horizontal="center"/>
    </xf>
    <xf numFmtId="10" fontId="6" fillId="0" borderId="2" xfId="1" applyNumberFormat="1" applyFont="1" applyBorder="1" applyAlignment="1">
      <alignment horizontal="center"/>
    </xf>
    <xf numFmtId="10" fontId="4" fillId="0" borderId="0" xfId="1" applyNumberFormat="1" applyFont="1" applyAlignment="1">
      <alignment horizontal="center"/>
    </xf>
    <xf numFmtId="10" fontId="4" fillId="0" borderId="12" xfId="1" applyNumberFormat="1" applyFont="1" applyBorder="1" applyAlignment="1">
      <alignment horizontal="center"/>
    </xf>
    <xf numFmtId="10" fontId="4" fillId="0" borderId="0" xfId="1" applyNumberFormat="1" applyFont="1" applyBorder="1" applyAlignment="1">
      <alignment horizontal="center"/>
    </xf>
    <xf numFmtId="10" fontId="4" fillId="0" borderId="13" xfId="1" applyNumberFormat="1" applyFont="1" applyBorder="1" applyAlignment="1">
      <alignment horizontal="center"/>
    </xf>
    <xf numFmtId="10" fontId="4" fillId="0" borderId="14" xfId="1" applyNumberFormat="1" applyFont="1" applyBorder="1" applyAlignment="1">
      <alignment horizontal="center"/>
    </xf>
    <xf numFmtId="167" fontId="10" fillId="2" borderId="7" xfId="0" applyNumberFormat="1" applyFont="1" applyFill="1" applyBorder="1" applyAlignment="1">
      <alignment horizontal="center"/>
    </xf>
    <xf numFmtId="167" fontId="10" fillId="2" borderId="2" xfId="0" applyNumberFormat="1" applyFont="1" applyFill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9" fontId="5" fillId="0" borderId="0" xfId="1" applyFont="1" applyAlignment="1">
      <alignment horizontal="center"/>
    </xf>
    <xf numFmtId="9" fontId="5" fillId="0" borderId="0" xfId="1" applyFont="1" applyBorder="1" applyAlignment="1">
      <alignment horizontal="center"/>
    </xf>
    <xf numFmtId="9" fontId="5" fillId="0" borderId="12" xfId="1" applyFont="1" applyBorder="1" applyAlignment="1">
      <alignment horizontal="center"/>
    </xf>
    <xf numFmtId="164" fontId="8" fillId="0" borderId="7" xfId="1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right"/>
    </xf>
    <xf numFmtId="0" fontId="9" fillId="4" borderId="7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6" fontId="2" fillId="0" borderId="3" xfId="0" applyNumberFormat="1" applyFont="1" applyBorder="1" applyAlignment="1">
      <alignment horizontal="center"/>
    </xf>
    <xf numFmtId="6" fontId="4" fillId="0" borderId="4" xfId="0" applyNumberFormat="1" applyFont="1" applyBorder="1" applyAlignment="1">
      <alignment horizontal="center"/>
    </xf>
    <xf numFmtId="6" fontId="2" fillId="0" borderId="4" xfId="0" applyNumberFormat="1" applyFont="1" applyBorder="1" applyAlignment="1">
      <alignment horizontal="center"/>
    </xf>
    <xf numFmtId="6" fontId="6" fillId="0" borderId="6" xfId="0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10" fontId="4" fillId="0" borderId="3" xfId="1" applyNumberFormat="1" applyFont="1" applyBorder="1" applyAlignment="1">
      <alignment horizontal="center"/>
    </xf>
    <xf numFmtId="10" fontId="4" fillId="0" borderId="5" xfId="1" applyNumberFormat="1" applyFont="1" applyBorder="1" applyAlignment="1">
      <alignment horizontal="center"/>
    </xf>
    <xf numFmtId="169" fontId="9" fillId="3" borderId="6" xfId="0" applyNumberFormat="1" applyFont="1" applyFill="1" applyBorder="1" applyAlignment="1">
      <alignment horizontal="center"/>
    </xf>
    <xf numFmtId="10" fontId="4" fillId="0" borderId="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167" fontId="2" fillId="0" borderId="0" xfId="0" applyNumberFormat="1" applyFont="1" applyAlignment="1">
      <alignment horizontal="center"/>
    </xf>
    <xf numFmtId="167" fontId="10" fillId="2" borderId="8" xfId="0" applyNumberFormat="1" applyFont="1" applyFill="1" applyBorder="1" applyAlignment="1">
      <alignment horizontal="center"/>
    </xf>
    <xf numFmtId="167" fontId="10" fillId="2" borderId="9" xfId="0" applyNumberFormat="1" applyFont="1" applyFill="1" applyBorder="1" applyAlignment="1">
      <alignment horizontal="center"/>
    </xf>
    <xf numFmtId="167" fontId="10" fillId="2" borderId="10" xfId="0" applyNumberFormat="1" applyFont="1" applyFill="1" applyBorder="1" applyAlignment="1">
      <alignment horizontal="center"/>
    </xf>
    <xf numFmtId="169" fontId="10" fillId="2" borderId="15" xfId="0" applyNumberFormat="1" applyFont="1" applyFill="1" applyBorder="1" applyAlignment="1">
      <alignment horizontal="center"/>
    </xf>
    <xf numFmtId="169" fontId="10" fillId="2" borderId="13" xfId="0" applyNumberFormat="1" applyFont="1" applyFill="1" applyBorder="1" applyAlignment="1">
      <alignment horizontal="center"/>
    </xf>
    <xf numFmtId="169" fontId="10" fillId="2" borderId="14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6" fontId="4" fillId="0" borderId="6" xfId="0" applyNumberFormat="1" applyFont="1" applyBorder="1" applyAlignment="1">
      <alignment horizontal="center"/>
    </xf>
    <xf numFmtId="6" fontId="2" fillId="0" borderId="6" xfId="0" applyNumberFormat="1" applyFont="1" applyBorder="1" applyAlignment="1">
      <alignment horizontal="center"/>
    </xf>
    <xf numFmtId="167" fontId="4" fillId="0" borderId="6" xfId="0" applyNumberFormat="1" applyFont="1" applyBorder="1" applyAlignment="1">
      <alignment horizontal="center"/>
    </xf>
    <xf numFmtId="167" fontId="6" fillId="0" borderId="6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166" fontId="6" fillId="0" borderId="6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6" fontId="8" fillId="0" borderId="6" xfId="0" applyNumberFormat="1" applyFont="1" applyBorder="1" applyAlignment="1">
      <alignment horizontal="center"/>
    </xf>
    <xf numFmtId="170" fontId="4" fillId="0" borderId="6" xfId="0" applyNumberFormat="1" applyFont="1" applyBorder="1" applyAlignment="1">
      <alignment horizontal="center"/>
    </xf>
    <xf numFmtId="167" fontId="5" fillId="0" borderId="6" xfId="0" applyNumberFormat="1" applyFont="1" applyBorder="1" applyAlignment="1">
      <alignment horizontal="center"/>
    </xf>
    <xf numFmtId="0" fontId="3" fillId="2" borderId="1" xfId="0" applyFont="1" applyFill="1" applyBorder="1"/>
    <xf numFmtId="0" fontId="3" fillId="2" borderId="7" xfId="0" applyFont="1" applyFill="1" applyBorder="1"/>
    <xf numFmtId="0" fontId="3" fillId="2" borderId="2" xfId="0" applyFont="1" applyFill="1" applyBorder="1"/>
    <xf numFmtId="0" fontId="9" fillId="4" borderId="8" xfId="0" applyFont="1" applyFill="1" applyBorder="1" applyAlignment="1">
      <alignment horizontal="right"/>
    </xf>
    <xf numFmtId="0" fontId="9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right"/>
    </xf>
    <xf numFmtId="14" fontId="9" fillId="4" borderId="13" xfId="0" applyNumberFormat="1" applyFont="1" applyFill="1" applyBorder="1" applyAlignment="1">
      <alignment horizontal="center"/>
    </xf>
    <xf numFmtId="14" fontId="9" fillId="4" borderId="14" xfId="0" applyNumberFormat="1" applyFont="1" applyFill="1" applyBorder="1" applyAlignment="1">
      <alignment horizontal="center"/>
    </xf>
    <xf numFmtId="6" fontId="2" fillId="0" borderId="0" xfId="0" applyNumberFormat="1" applyFont="1"/>
    <xf numFmtId="6" fontId="2" fillId="0" borderId="0" xfId="0" applyNumberFormat="1" applyFont="1" applyAlignment="1">
      <alignment horizontal="center"/>
    </xf>
    <xf numFmtId="6" fontId="2" fillId="0" borderId="12" xfId="0" applyNumberFormat="1" applyFont="1" applyBorder="1" applyAlignment="1">
      <alignment horizontal="center"/>
    </xf>
    <xf numFmtId="6" fontId="6" fillId="0" borderId="7" xfId="0" applyNumberFormat="1" applyFont="1" applyBorder="1" applyAlignment="1">
      <alignment horizontal="center"/>
    </xf>
    <xf numFmtId="6" fontId="6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7" fontId="3" fillId="2" borderId="8" xfId="0" applyNumberFormat="1" applyFont="1" applyFill="1" applyBorder="1" applyAlignment="1">
      <alignment horizontal="right"/>
    </xf>
    <xf numFmtId="169" fontId="3" fillId="2" borderId="15" xfId="0" applyNumberFormat="1" applyFont="1" applyFill="1" applyBorder="1" applyAlignment="1">
      <alignment horizontal="right"/>
    </xf>
    <xf numFmtId="1" fontId="11" fillId="2" borderId="9" xfId="0" applyNumberFormat="1" applyFont="1" applyFill="1" applyBorder="1" applyAlignment="1">
      <alignment horizontal="center"/>
    </xf>
    <xf numFmtId="1" fontId="11" fillId="2" borderId="10" xfId="0" applyNumberFormat="1" applyFont="1" applyFill="1" applyBorder="1" applyAlignment="1">
      <alignment horizontal="center"/>
    </xf>
    <xf numFmtId="171" fontId="11" fillId="2" borderId="0" xfId="0" applyNumberFormat="1" applyFont="1" applyFill="1" applyAlignment="1">
      <alignment horizontal="center"/>
    </xf>
    <xf numFmtId="1" fontId="11" fillId="2" borderId="0" xfId="0" applyNumberFormat="1" applyFont="1" applyFill="1" applyAlignment="1">
      <alignment horizontal="center"/>
    </xf>
    <xf numFmtId="171" fontId="11" fillId="2" borderId="9" xfId="0" applyNumberFormat="1" applyFont="1" applyFill="1" applyBorder="1" applyAlignment="1">
      <alignment horizontal="center"/>
    </xf>
    <xf numFmtId="169" fontId="3" fillId="2" borderId="11" xfId="0" applyNumberFormat="1" applyFont="1" applyFill="1" applyBorder="1" applyAlignment="1">
      <alignment horizontal="right"/>
    </xf>
    <xf numFmtId="1" fontId="11" fillId="2" borderId="12" xfId="0" applyNumberFormat="1" applyFont="1" applyFill="1" applyBorder="1" applyAlignment="1">
      <alignment horizontal="center"/>
    </xf>
    <xf numFmtId="14" fontId="10" fillId="2" borderId="13" xfId="0" applyNumberFormat="1" applyFont="1" applyFill="1" applyBorder="1" applyAlignment="1">
      <alignment horizontal="center"/>
    </xf>
    <xf numFmtId="14" fontId="10" fillId="2" borderId="14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right"/>
    </xf>
    <xf numFmtId="38" fontId="2" fillId="0" borderId="8" xfId="0" applyNumberFormat="1" applyFont="1" applyBorder="1" applyAlignment="1">
      <alignment horizontal="center"/>
    </xf>
    <xf numFmtId="38" fontId="2" fillId="0" borderId="9" xfId="0" applyNumberFormat="1" applyFont="1" applyBorder="1" applyAlignment="1">
      <alignment horizontal="center"/>
    </xf>
    <xf numFmtId="38" fontId="2" fillId="0" borderId="10" xfId="0" applyNumberFormat="1" applyFont="1" applyBorder="1" applyAlignment="1">
      <alignment horizontal="center"/>
    </xf>
    <xf numFmtId="38" fontId="2" fillId="0" borderId="11" xfId="0" applyNumberFormat="1" applyFont="1" applyBorder="1" applyAlignment="1">
      <alignment horizontal="center"/>
    </xf>
    <xf numFmtId="38" fontId="2" fillId="0" borderId="0" xfId="0" applyNumberFormat="1" applyFont="1" applyAlignment="1">
      <alignment horizontal="center"/>
    </xf>
    <xf numFmtId="38" fontId="2" fillId="0" borderId="12" xfId="0" applyNumberFormat="1" applyFont="1" applyBorder="1" applyAlignment="1">
      <alignment horizontal="center"/>
    </xf>
    <xf numFmtId="38" fontId="2" fillId="0" borderId="1" xfId="0" applyNumberFormat="1" applyFont="1" applyBorder="1" applyAlignment="1">
      <alignment horizontal="center"/>
    </xf>
    <xf numFmtId="38" fontId="6" fillId="0" borderId="7" xfId="0" applyNumberFormat="1" applyFont="1" applyBorder="1" applyAlignment="1">
      <alignment horizontal="center"/>
    </xf>
    <xf numFmtId="38" fontId="6" fillId="0" borderId="2" xfId="0" applyNumberFormat="1" applyFont="1" applyBorder="1" applyAlignment="1">
      <alignment horizontal="center"/>
    </xf>
    <xf numFmtId="38" fontId="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8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/>
    <xf numFmtId="10" fontId="12" fillId="0" borderId="0" xfId="1" applyNumberFormat="1" applyFont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5" fontId="4" fillId="0" borderId="4" xfId="1" applyNumberFormat="1" applyFont="1" applyFill="1" applyBorder="1" applyAlignment="1">
      <alignment horizontal="center"/>
    </xf>
    <xf numFmtId="10" fontId="4" fillId="0" borderId="5" xfId="1" applyNumberFormat="1" applyFont="1" applyFill="1" applyBorder="1" applyAlignment="1">
      <alignment horizontal="center"/>
    </xf>
    <xf numFmtId="0" fontId="1" fillId="0" borderId="0" xfId="0" applyFont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A53B-3022-4165-838E-1713E1D394F6}">
  <dimension ref="A1:K27"/>
  <sheetViews>
    <sheetView showGridLines="0" tabSelected="1" zoomScale="76" workbookViewId="0">
      <selection activeCell="D28" sqref="D28"/>
    </sheetView>
  </sheetViews>
  <sheetFormatPr defaultColWidth="8.81640625" defaultRowHeight="13.5" x14ac:dyDescent="0.35"/>
  <cols>
    <col min="1" max="1" width="20.7265625" style="1" bestFit="1" customWidth="1"/>
    <col min="2" max="2" width="15.36328125" style="1" bestFit="1" customWidth="1"/>
    <col min="3" max="3" width="8.81640625" style="1"/>
    <col min="4" max="4" width="23.54296875" style="1" bestFit="1" customWidth="1"/>
    <col min="5" max="5" width="12.26953125" style="1" bestFit="1" customWidth="1"/>
    <col min="6" max="6" width="8.81640625" style="1"/>
    <col min="7" max="7" width="25.6328125" style="1" bestFit="1" customWidth="1"/>
    <col min="8" max="8" width="12.26953125" style="1" bestFit="1" customWidth="1"/>
    <col min="9" max="9" width="6.6328125" style="1" customWidth="1"/>
    <col min="10" max="10" width="28.6328125" style="1" customWidth="1"/>
    <col min="11" max="11" width="13.36328125" style="1" bestFit="1" customWidth="1"/>
    <col min="12" max="16384" width="8.81640625" style="1"/>
  </cols>
  <sheetData>
    <row r="1" spans="1:11" x14ac:dyDescent="0.35">
      <c r="A1" s="2" t="s">
        <v>0</v>
      </c>
      <c r="B1" s="3"/>
      <c r="D1" s="2" t="s">
        <v>25</v>
      </c>
      <c r="E1" s="3"/>
      <c r="G1" s="2" t="s">
        <v>38</v>
      </c>
      <c r="H1" s="3"/>
      <c r="J1" s="2" t="s">
        <v>60</v>
      </c>
      <c r="K1" s="3"/>
    </row>
    <row r="2" spans="1:11" x14ac:dyDescent="0.35">
      <c r="A2" s="176" t="s">
        <v>1</v>
      </c>
      <c r="B2" s="7">
        <v>2010</v>
      </c>
      <c r="D2" s="176" t="s">
        <v>26</v>
      </c>
      <c r="E2" s="23">
        <f>E3*B20</f>
        <v>26000000</v>
      </c>
      <c r="G2" s="176" t="s">
        <v>19</v>
      </c>
      <c r="H2" s="23">
        <f>B20</f>
        <v>40000000</v>
      </c>
      <c r="J2" s="176" t="s">
        <v>61</v>
      </c>
      <c r="K2" s="23">
        <f>K11-K3</f>
        <v>14710000</v>
      </c>
    </row>
    <row r="3" spans="1:11" x14ac:dyDescent="0.35">
      <c r="A3" s="177" t="s">
        <v>2</v>
      </c>
      <c r="B3" s="9">
        <v>100</v>
      </c>
      <c r="D3" s="177" t="s">
        <v>27</v>
      </c>
      <c r="E3" s="22">
        <v>0.65</v>
      </c>
      <c r="G3" s="177" t="s">
        <v>23</v>
      </c>
      <c r="H3" s="31">
        <f>B24</f>
        <v>0.05</v>
      </c>
      <c r="J3" s="177" t="s">
        <v>62</v>
      </c>
      <c r="K3" s="34">
        <f>E2</f>
        <v>26000000</v>
      </c>
    </row>
    <row r="4" spans="1:11" x14ac:dyDescent="0.35">
      <c r="A4" s="177" t="s">
        <v>3</v>
      </c>
      <c r="B4" s="9">
        <v>10</v>
      </c>
      <c r="D4" s="177" t="s">
        <v>28</v>
      </c>
      <c r="E4" s="172">
        <v>1.25</v>
      </c>
      <c r="G4" s="177" t="s">
        <v>20</v>
      </c>
      <c r="H4" s="32">
        <f>B21</f>
        <v>400000</v>
      </c>
      <c r="J4" s="179" t="s">
        <v>63</v>
      </c>
      <c r="K4" s="35">
        <f>SUM(K2:K3)</f>
        <v>40710000</v>
      </c>
    </row>
    <row r="5" spans="1:11" x14ac:dyDescent="0.35">
      <c r="A5" s="177" t="s">
        <v>4</v>
      </c>
      <c r="B5" s="9">
        <v>150000</v>
      </c>
      <c r="D5" s="177" t="s">
        <v>29</v>
      </c>
      <c r="E5" s="24">
        <v>7.4999999999999997E-2</v>
      </c>
      <c r="G5" s="177" t="s">
        <v>39</v>
      </c>
      <c r="H5" s="32">
        <f>H2/B5</f>
        <v>266.66666666666669</v>
      </c>
    </row>
    <row r="6" spans="1:11" x14ac:dyDescent="0.35">
      <c r="A6" s="177" t="s">
        <v>5</v>
      </c>
      <c r="B6" s="8">
        <f>+B5/B3</f>
        <v>1500</v>
      </c>
      <c r="D6" s="177" t="s">
        <v>30</v>
      </c>
      <c r="E6" s="24">
        <v>0.04</v>
      </c>
      <c r="G6" s="177" t="s">
        <v>40</v>
      </c>
      <c r="H6" s="20">
        <v>42000000</v>
      </c>
      <c r="J6" s="2" t="s">
        <v>64</v>
      </c>
      <c r="K6" s="3"/>
    </row>
    <row r="7" spans="1:11" x14ac:dyDescent="0.35">
      <c r="A7" s="177" t="s">
        <v>6</v>
      </c>
      <c r="B7" s="11">
        <v>5</v>
      </c>
      <c r="D7" s="177" t="s">
        <v>31</v>
      </c>
      <c r="E7" s="25">
        <v>36</v>
      </c>
      <c r="G7" s="178" t="s">
        <v>41</v>
      </c>
      <c r="H7" s="33">
        <f>H6/B3</f>
        <v>420000</v>
      </c>
      <c r="J7" s="176" t="s">
        <v>19</v>
      </c>
      <c r="K7" s="23">
        <f>B20</f>
        <v>40000000</v>
      </c>
    </row>
    <row r="8" spans="1:11" x14ac:dyDescent="0.35">
      <c r="A8" s="177" t="s">
        <v>7</v>
      </c>
      <c r="B8" s="12">
        <f>+B3/B7</f>
        <v>20</v>
      </c>
      <c r="D8" s="177" t="s">
        <v>32</v>
      </c>
      <c r="E8" s="24">
        <v>0.01</v>
      </c>
      <c r="J8" s="177" t="s">
        <v>21</v>
      </c>
      <c r="K8" s="34">
        <f>B22</f>
        <v>150000</v>
      </c>
    </row>
    <row r="9" spans="1:11" x14ac:dyDescent="0.35">
      <c r="A9" s="177" t="s">
        <v>8</v>
      </c>
      <c r="B9" s="10" t="s">
        <v>10</v>
      </c>
      <c r="D9" s="177" t="s">
        <v>33</v>
      </c>
      <c r="E9" s="25">
        <v>360</v>
      </c>
      <c r="G9" s="2" t="s">
        <v>42</v>
      </c>
      <c r="H9" s="3"/>
      <c r="J9" s="177" t="s">
        <v>22</v>
      </c>
      <c r="K9" s="34">
        <f>B23</f>
        <v>300000</v>
      </c>
    </row>
    <row r="10" spans="1:11" x14ac:dyDescent="0.35">
      <c r="A10" s="178" t="s">
        <v>9</v>
      </c>
      <c r="B10" s="13" t="s">
        <v>11</v>
      </c>
      <c r="D10" s="178" t="s">
        <v>34</v>
      </c>
      <c r="E10" s="26">
        <v>60</v>
      </c>
      <c r="G10" s="176" t="s">
        <v>43</v>
      </c>
      <c r="H10" s="18">
        <v>1000000</v>
      </c>
      <c r="J10" s="177" t="s">
        <v>65</v>
      </c>
      <c r="K10" s="34">
        <f>E8*E2</f>
        <v>260000</v>
      </c>
    </row>
    <row r="11" spans="1:11" x14ac:dyDescent="0.35">
      <c r="G11" s="177" t="s">
        <v>44</v>
      </c>
      <c r="H11" s="34">
        <f>H10/B3</f>
        <v>10000</v>
      </c>
      <c r="J11" s="179" t="s">
        <v>66</v>
      </c>
      <c r="K11" s="35">
        <f>SUM(K7:K10)</f>
        <v>40710000</v>
      </c>
    </row>
    <row r="12" spans="1:11" x14ac:dyDescent="0.35">
      <c r="A12" s="2" t="s">
        <v>12</v>
      </c>
      <c r="B12" s="3"/>
      <c r="D12" s="2" t="s">
        <v>35</v>
      </c>
      <c r="E12" s="3"/>
      <c r="G12" s="177" t="s">
        <v>45</v>
      </c>
      <c r="H12" s="20">
        <v>500000</v>
      </c>
    </row>
    <row r="13" spans="1:11" x14ac:dyDescent="0.35">
      <c r="A13" s="176" t="s">
        <v>13</v>
      </c>
      <c r="B13" s="7">
        <v>100</v>
      </c>
      <c r="D13" s="176" t="s">
        <v>36</v>
      </c>
      <c r="E13" s="27">
        <f>E10</f>
        <v>60</v>
      </c>
      <c r="G13" s="177" t="s">
        <v>46</v>
      </c>
      <c r="H13" s="32">
        <f>H12/B3</f>
        <v>5000</v>
      </c>
      <c r="J13" s="2" t="s">
        <v>67</v>
      </c>
      <c r="K13" s="3"/>
    </row>
    <row r="14" spans="1:11" x14ac:dyDescent="0.35">
      <c r="A14" s="177" t="s">
        <v>14</v>
      </c>
      <c r="B14" s="9">
        <v>40</v>
      </c>
      <c r="D14" s="177" t="s">
        <v>26</v>
      </c>
      <c r="E14" s="98">
        <v>30000000</v>
      </c>
      <c r="G14" s="177" t="s">
        <v>47</v>
      </c>
      <c r="H14" s="20">
        <v>500000</v>
      </c>
      <c r="J14" s="180" t="s">
        <v>68</v>
      </c>
      <c r="K14" s="116">
        <v>0</v>
      </c>
    </row>
    <row r="15" spans="1:11" x14ac:dyDescent="0.35">
      <c r="A15" s="177" t="s">
        <v>15</v>
      </c>
      <c r="B15" s="9">
        <v>25</v>
      </c>
      <c r="D15" s="177" t="s">
        <v>37</v>
      </c>
      <c r="E15" s="24">
        <v>0.06</v>
      </c>
      <c r="G15" s="177" t="s">
        <v>48</v>
      </c>
      <c r="H15" s="32">
        <f>H14/B3</f>
        <v>5000</v>
      </c>
    </row>
    <row r="16" spans="1:11" x14ac:dyDescent="0.35">
      <c r="A16" s="179" t="s">
        <v>16</v>
      </c>
      <c r="B16" s="15">
        <f>SUM(B13:B15)</f>
        <v>165</v>
      </c>
      <c r="D16" s="177" t="s">
        <v>27</v>
      </c>
      <c r="E16" s="22">
        <v>0.65</v>
      </c>
      <c r="G16" s="178" t="s">
        <v>49</v>
      </c>
      <c r="H16" s="103">
        <v>0.15</v>
      </c>
      <c r="J16" s="2" t="s">
        <v>69</v>
      </c>
      <c r="K16" s="3"/>
    </row>
    <row r="17" spans="1:11" x14ac:dyDescent="0.35">
      <c r="A17" s="180" t="s">
        <v>17</v>
      </c>
      <c r="B17" s="17">
        <f>B16/B3</f>
        <v>1.65</v>
      </c>
      <c r="D17" s="177" t="s">
        <v>28</v>
      </c>
      <c r="E17" s="172">
        <v>1.25</v>
      </c>
      <c r="J17" s="176" t="s">
        <v>70</v>
      </c>
      <c r="K17" s="37">
        <v>0.03</v>
      </c>
    </row>
    <row r="18" spans="1:11" x14ac:dyDescent="0.35">
      <c r="D18" s="177" t="s">
        <v>29</v>
      </c>
      <c r="E18" s="24">
        <v>7.4999999999999997E-2</v>
      </c>
      <c r="G18" s="2" t="s">
        <v>50</v>
      </c>
      <c r="H18" s="3"/>
      <c r="J18" s="177" t="s">
        <v>51</v>
      </c>
      <c r="K18" s="24">
        <v>0.06</v>
      </c>
    </row>
    <row r="19" spans="1:11" x14ac:dyDescent="0.35">
      <c r="A19" s="2" t="s">
        <v>18</v>
      </c>
      <c r="B19" s="3"/>
      <c r="D19" s="177" t="s">
        <v>30</v>
      </c>
      <c r="E19" s="24">
        <v>0.04</v>
      </c>
      <c r="G19" s="176" t="s">
        <v>51</v>
      </c>
      <c r="H19" s="24">
        <v>0.06</v>
      </c>
      <c r="J19" s="178" t="s">
        <v>71</v>
      </c>
      <c r="K19" s="26">
        <v>120</v>
      </c>
    </row>
    <row r="20" spans="1:11" x14ac:dyDescent="0.35">
      <c r="A20" s="176" t="s">
        <v>19</v>
      </c>
      <c r="B20" s="18">
        <v>40000000</v>
      </c>
      <c r="D20" s="177" t="s">
        <v>31</v>
      </c>
      <c r="E20" s="25">
        <v>36</v>
      </c>
      <c r="G20" s="177" t="s">
        <v>52</v>
      </c>
      <c r="H20" s="24">
        <v>1E-3</v>
      </c>
    </row>
    <row r="21" spans="1:11" x14ac:dyDescent="0.35">
      <c r="A21" s="177" t="s">
        <v>20</v>
      </c>
      <c r="B21" s="19">
        <f>B20/B3</f>
        <v>400000</v>
      </c>
      <c r="D21" s="177" t="s">
        <v>32</v>
      </c>
      <c r="E21" s="24">
        <v>0.01</v>
      </c>
      <c r="G21" s="177" t="s">
        <v>53</v>
      </c>
      <c r="H21" s="20">
        <v>50000000</v>
      </c>
      <c r="J21" s="184" t="s">
        <v>72</v>
      </c>
      <c r="K21" s="185"/>
    </row>
    <row r="22" spans="1:11" x14ac:dyDescent="0.35">
      <c r="A22" s="177" t="s">
        <v>21</v>
      </c>
      <c r="B22" s="20">
        <v>150000</v>
      </c>
      <c r="D22" s="178" t="s">
        <v>33</v>
      </c>
      <c r="E22" s="26">
        <v>360</v>
      </c>
      <c r="G22" s="177" t="s">
        <v>54</v>
      </c>
      <c r="H22" s="32">
        <f>H21/B3</f>
        <v>500000</v>
      </c>
      <c r="J22" s="181" t="s">
        <v>73</v>
      </c>
      <c r="K22" s="37">
        <v>0.16</v>
      </c>
    </row>
    <row r="23" spans="1:11" x14ac:dyDescent="0.35">
      <c r="A23" s="177" t="s">
        <v>22</v>
      </c>
      <c r="B23" s="20">
        <v>300000</v>
      </c>
      <c r="D23" s="29"/>
      <c r="E23" s="30"/>
      <c r="G23" s="177" t="s">
        <v>55</v>
      </c>
      <c r="H23" s="20">
        <v>250000</v>
      </c>
      <c r="J23" s="182" t="s">
        <v>74</v>
      </c>
      <c r="K23" s="173">
        <v>2.5</v>
      </c>
    </row>
    <row r="24" spans="1:11" x14ac:dyDescent="0.35">
      <c r="A24" s="177" t="s">
        <v>23</v>
      </c>
      <c r="B24" s="24">
        <v>0.05</v>
      </c>
      <c r="G24" s="177" t="s">
        <v>56</v>
      </c>
      <c r="H24" s="24">
        <v>0.03</v>
      </c>
      <c r="J24" s="183" t="s">
        <v>75</v>
      </c>
      <c r="K24" s="174">
        <v>0.08</v>
      </c>
    </row>
    <row r="25" spans="1:11" x14ac:dyDescent="0.35">
      <c r="A25" s="178" t="s">
        <v>24</v>
      </c>
      <c r="B25" s="21">
        <v>44227</v>
      </c>
      <c r="G25" s="177" t="s">
        <v>57</v>
      </c>
      <c r="H25" s="24">
        <v>0.16</v>
      </c>
    </row>
    <row r="26" spans="1:11" x14ac:dyDescent="0.35">
      <c r="G26" s="177" t="s">
        <v>58</v>
      </c>
      <c r="H26" s="172">
        <v>2.5</v>
      </c>
    </row>
    <row r="27" spans="1:11" x14ac:dyDescent="0.35">
      <c r="G27" s="178" t="s">
        <v>59</v>
      </c>
      <c r="H27" s="103">
        <v>0.08</v>
      </c>
    </row>
  </sheetData>
  <mergeCells count="1">
    <mergeCell ref="J21:K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F58C-AFEA-400F-BBA4-315BD033CAA5}">
  <dimension ref="A1:FH28"/>
  <sheetViews>
    <sheetView showGridLines="0" zoomScale="64" workbookViewId="0">
      <selection activeCell="AC24" sqref="AC24"/>
    </sheetView>
  </sheetViews>
  <sheetFormatPr defaultColWidth="8.81640625" defaultRowHeight="13.5" x14ac:dyDescent="0.35"/>
  <cols>
    <col min="1" max="1" width="8.1796875" style="1" bestFit="1" customWidth="1"/>
    <col min="2" max="2" width="8.6328125" style="1" bestFit="1" customWidth="1"/>
    <col min="3" max="3" width="8.08984375" style="1" customWidth="1"/>
    <col min="4" max="4" width="10.36328125" style="1" customWidth="1"/>
    <col min="5" max="5" width="9" style="1" customWidth="1"/>
    <col min="6" max="6" width="8.81640625" style="1"/>
    <col min="7" max="7" width="8.1796875" style="1" bestFit="1" customWidth="1"/>
    <col min="8" max="8" width="8.6328125" style="1" bestFit="1" customWidth="1"/>
    <col min="9" max="9" width="8" style="1" customWidth="1"/>
    <col min="10" max="10" width="10.08984375" style="1" bestFit="1" customWidth="1"/>
    <col min="11" max="11" width="7.7265625" style="1" customWidth="1"/>
    <col min="12" max="12" width="8.81640625" style="1"/>
    <col min="13" max="13" width="18.81640625" style="1" bestFit="1" customWidth="1"/>
    <col min="14" max="14" width="8.81640625" style="1"/>
    <col min="15" max="15" width="16.81640625" style="1" bestFit="1" customWidth="1"/>
    <col min="16" max="16" width="9.6328125" style="1" bestFit="1" customWidth="1"/>
    <col min="17" max="17" width="8.81640625" style="1"/>
    <col min="18" max="18" width="18.54296875" style="1" bestFit="1" customWidth="1"/>
    <col min="19" max="29" width="7.1796875" style="1" bestFit="1" customWidth="1"/>
    <col min="30" max="30" width="8.81640625" style="1"/>
    <col min="31" max="31" width="30.36328125" style="1" bestFit="1" customWidth="1"/>
    <col min="32" max="163" width="10.7265625" style="1" bestFit="1" customWidth="1"/>
    <col min="164" max="16384" width="8.81640625" style="1"/>
  </cols>
  <sheetData>
    <row r="1" spans="1:164" x14ac:dyDescent="0.35">
      <c r="A1" s="2" t="s">
        <v>76</v>
      </c>
      <c r="B1" s="38"/>
      <c r="C1" s="38"/>
      <c r="D1" s="38"/>
      <c r="E1" s="3"/>
      <c r="G1" s="2" t="s">
        <v>84</v>
      </c>
      <c r="H1" s="38"/>
      <c r="I1" s="38"/>
      <c r="J1" s="38"/>
      <c r="K1" s="3"/>
      <c r="M1" s="2" t="s">
        <v>85</v>
      </c>
      <c r="O1" s="2" t="s">
        <v>87</v>
      </c>
      <c r="P1" s="3"/>
      <c r="R1" s="70"/>
      <c r="S1" s="71">
        <v>1</v>
      </c>
      <c r="T1" s="71">
        <f>S1+1</f>
        <v>2</v>
      </c>
      <c r="U1" s="71">
        <f t="shared" ref="U1:AC1" si="0">T1+1</f>
        <v>3</v>
      </c>
      <c r="V1" s="71">
        <f t="shared" si="0"/>
        <v>4</v>
      </c>
      <c r="W1" s="71">
        <f t="shared" si="0"/>
        <v>5</v>
      </c>
      <c r="X1" s="71">
        <f t="shared" si="0"/>
        <v>6</v>
      </c>
      <c r="Y1" s="71">
        <f t="shared" si="0"/>
        <v>7</v>
      </c>
      <c r="Z1" s="71">
        <f t="shared" si="0"/>
        <v>8</v>
      </c>
      <c r="AA1" s="71">
        <f t="shared" si="0"/>
        <v>9</v>
      </c>
      <c r="AB1" s="71">
        <f t="shared" si="0"/>
        <v>10</v>
      </c>
      <c r="AC1" s="72">
        <f t="shared" si="0"/>
        <v>11</v>
      </c>
      <c r="AE1" s="70"/>
      <c r="AF1" s="81">
        <v>1</v>
      </c>
      <c r="AG1" s="81">
        <f>AF1+1</f>
        <v>2</v>
      </c>
      <c r="AH1" s="81">
        <f t="shared" ref="AH1:CS1" si="1">AG1+1</f>
        <v>3</v>
      </c>
      <c r="AI1" s="81">
        <f t="shared" si="1"/>
        <v>4</v>
      </c>
      <c r="AJ1" s="81">
        <f t="shared" si="1"/>
        <v>5</v>
      </c>
      <c r="AK1" s="81">
        <f t="shared" si="1"/>
        <v>6</v>
      </c>
      <c r="AL1" s="81">
        <f t="shared" si="1"/>
        <v>7</v>
      </c>
      <c r="AM1" s="81">
        <f t="shared" si="1"/>
        <v>8</v>
      </c>
      <c r="AN1" s="81">
        <f t="shared" si="1"/>
        <v>9</v>
      </c>
      <c r="AO1" s="81">
        <f t="shared" si="1"/>
        <v>10</v>
      </c>
      <c r="AP1" s="81">
        <f t="shared" si="1"/>
        <v>11</v>
      </c>
      <c r="AQ1" s="81">
        <f t="shared" si="1"/>
        <v>12</v>
      </c>
      <c r="AR1" s="81">
        <f t="shared" si="1"/>
        <v>13</v>
      </c>
      <c r="AS1" s="81">
        <f t="shared" si="1"/>
        <v>14</v>
      </c>
      <c r="AT1" s="81">
        <f t="shared" si="1"/>
        <v>15</v>
      </c>
      <c r="AU1" s="81">
        <f t="shared" si="1"/>
        <v>16</v>
      </c>
      <c r="AV1" s="81">
        <f t="shared" si="1"/>
        <v>17</v>
      </c>
      <c r="AW1" s="81">
        <f t="shared" si="1"/>
        <v>18</v>
      </c>
      <c r="AX1" s="81">
        <f t="shared" si="1"/>
        <v>19</v>
      </c>
      <c r="AY1" s="81">
        <f t="shared" si="1"/>
        <v>20</v>
      </c>
      <c r="AZ1" s="81">
        <f t="shared" si="1"/>
        <v>21</v>
      </c>
      <c r="BA1" s="81">
        <f t="shared" si="1"/>
        <v>22</v>
      </c>
      <c r="BB1" s="81">
        <f t="shared" si="1"/>
        <v>23</v>
      </c>
      <c r="BC1" s="81">
        <f t="shared" si="1"/>
        <v>24</v>
      </c>
      <c r="BD1" s="81">
        <f t="shared" si="1"/>
        <v>25</v>
      </c>
      <c r="BE1" s="81">
        <f t="shared" si="1"/>
        <v>26</v>
      </c>
      <c r="BF1" s="81">
        <f t="shared" si="1"/>
        <v>27</v>
      </c>
      <c r="BG1" s="81">
        <f t="shared" si="1"/>
        <v>28</v>
      </c>
      <c r="BH1" s="81">
        <f t="shared" si="1"/>
        <v>29</v>
      </c>
      <c r="BI1" s="81">
        <f t="shared" si="1"/>
        <v>30</v>
      </c>
      <c r="BJ1" s="81">
        <f t="shared" si="1"/>
        <v>31</v>
      </c>
      <c r="BK1" s="81">
        <f t="shared" si="1"/>
        <v>32</v>
      </c>
      <c r="BL1" s="81">
        <f t="shared" si="1"/>
        <v>33</v>
      </c>
      <c r="BM1" s="81">
        <f t="shared" si="1"/>
        <v>34</v>
      </c>
      <c r="BN1" s="81">
        <f t="shared" si="1"/>
        <v>35</v>
      </c>
      <c r="BO1" s="81">
        <f t="shared" si="1"/>
        <v>36</v>
      </c>
      <c r="BP1" s="81">
        <f t="shared" si="1"/>
        <v>37</v>
      </c>
      <c r="BQ1" s="81">
        <f t="shared" si="1"/>
        <v>38</v>
      </c>
      <c r="BR1" s="81">
        <f t="shared" si="1"/>
        <v>39</v>
      </c>
      <c r="BS1" s="81">
        <f t="shared" si="1"/>
        <v>40</v>
      </c>
      <c r="BT1" s="81">
        <f t="shared" si="1"/>
        <v>41</v>
      </c>
      <c r="BU1" s="81">
        <f t="shared" si="1"/>
        <v>42</v>
      </c>
      <c r="BV1" s="81">
        <f t="shared" si="1"/>
        <v>43</v>
      </c>
      <c r="BW1" s="81">
        <f t="shared" si="1"/>
        <v>44</v>
      </c>
      <c r="BX1" s="81">
        <f t="shared" si="1"/>
        <v>45</v>
      </c>
      <c r="BY1" s="81">
        <f t="shared" si="1"/>
        <v>46</v>
      </c>
      <c r="BZ1" s="81">
        <f t="shared" si="1"/>
        <v>47</v>
      </c>
      <c r="CA1" s="81">
        <f t="shared" si="1"/>
        <v>48</v>
      </c>
      <c r="CB1" s="81">
        <f t="shared" si="1"/>
        <v>49</v>
      </c>
      <c r="CC1" s="81">
        <f t="shared" si="1"/>
        <v>50</v>
      </c>
      <c r="CD1" s="81">
        <f t="shared" si="1"/>
        <v>51</v>
      </c>
      <c r="CE1" s="81">
        <f t="shared" si="1"/>
        <v>52</v>
      </c>
      <c r="CF1" s="81">
        <f t="shared" si="1"/>
        <v>53</v>
      </c>
      <c r="CG1" s="81">
        <f t="shared" si="1"/>
        <v>54</v>
      </c>
      <c r="CH1" s="81">
        <f t="shared" si="1"/>
        <v>55</v>
      </c>
      <c r="CI1" s="81">
        <f t="shared" si="1"/>
        <v>56</v>
      </c>
      <c r="CJ1" s="81">
        <f t="shared" si="1"/>
        <v>57</v>
      </c>
      <c r="CK1" s="81">
        <f t="shared" si="1"/>
        <v>58</v>
      </c>
      <c r="CL1" s="81">
        <f t="shared" si="1"/>
        <v>59</v>
      </c>
      <c r="CM1" s="81">
        <f t="shared" si="1"/>
        <v>60</v>
      </c>
      <c r="CN1" s="81">
        <f t="shared" si="1"/>
        <v>61</v>
      </c>
      <c r="CO1" s="81">
        <f t="shared" si="1"/>
        <v>62</v>
      </c>
      <c r="CP1" s="81">
        <f t="shared" si="1"/>
        <v>63</v>
      </c>
      <c r="CQ1" s="81">
        <f t="shared" si="1"/>
        <v>64</v>
      </c>
      <c r="CR1" s="81">
        <f t="shared" si="1"/>
        <v>65</v>
      </c>
      <c r="CS1" s="81">
        <f t="shared" si="1"/>
        <v>66</v>
      </c>
      <c r="CT1" s="81">
        <f t="shared" ref="CT1:FE1" si="2">CS1+1</f>
        <v>67</v>
      </c>
      <c r="CU1" s="81">
        <f t="shared" si="2"/>
        <v>68</v>
      </c>
      <c r="CV1" s="81">
        <f t="shared" si="2"/>
        <v>69</v>
      </c>
      <c r="CW1" s="81">
        <f t="shared" si="2"/>
        <v>70</v>
      </c>
      <c r="CX1" s="81">
        <f t="shared" si="2"/>
        <v>71</v>
      </c>
      <c r="CY1" s="81">
        <f t="shared" si="2"/>
        <v>72</v>
      </c>
      <c r="CZ1" s="81">
        <f t="shared" si="2"/>
        <v>73</v>
      </c>
      <c r="DA1" s="81">
        <f t="shared" si="2"/>
        <v>74</v>
      </c>
      <c r="DB1" s="81">
        <f t="shared" si="2"/>
        <v>75</v>
      </c>
      <c r="DC1" s="81">
        <f t="shared" si="2"/>
        <v>76</v>
      </c>
      <c r="DD1" s="81">
        <f t="shared" si="2"/>
        <v>77</v>
      </c>
      <c r="DE1" s="81">
        <f t="shared" si="2"/>
        <v>78</v>
      </c>
      <c r="DF1" s="81">
        <f t="shared" si="2"/>
        <v>79</v>
      </c>
      <c r="DG1" s="81">
        <f t="shared" si="2"/>
        <v>80</v>
      </c>
      <c r="DH1" s="81">
        <f t="shared" si="2"/>
        <v>81</v>
      </c>
      <c r="DI1" s="81">
        <f t="shared" si="2"/>
        <v>82</v>
      </c>
      <c r="DJ1" s="81">
        <f t="shared" si="2"/>
        <v>83</v>
      </c>
      <c r="DK1" s="81">
        <f t="shared" si="2"/>
        <v>84</v>
      </c>
      <c r="DL1" s="81">
        <f t="shared" si="2"/>
        <v>85</v>
      </c>
      <c r="DM1" s="81">
        <f t="shared" si="2"/>
        <v>86</v>
      </c>
      <c r="DN1" s="81">
        <f t="shared" si="2"/>
        <v>87</v>
      </c>
      <c r="DO1" s="81">
        <f t="shared" si="2"/>
        <v>88</v>
      </c>
      <c r="DP1" s="81">
        <f t="shared" si="2"/>
        <v>89</v>
      </c>
      <c r="DQ1" s="81">
        <f t="shared" si="2"/>
        <v>90</v>
      </c>
      <c r="DR1" s="81">
        <f t="shared" si="2"/>
        <v>91</v>
      </c>
      <c r="DS1" s="81">
        <f t="shared" si="2"/>
        <v>92</v>
      </c>
      <c r="DT1" s="81">
        <f t="shared" si="2"/>
        <v>93</v>
      </c>
      <c r="DU1" s="81">
        <f t="shared" si="2"/>
        <v>94</v>
      </c>
      <c r="DV1" s="81">
        <f t="shared" si="2"/>
        <v>95</v>
      </c>
      <c r="DW1" s="81">
        <f t="shared" si="2"/>
        <v>96</v>
      </c>
      <c r="DX1" s="81">
        <f t="shared" si="2"/>
        <v>97</v>
      </c>
      <c r="DY1" s="81">
        <f t="shared" si="2"/>
        <v>98</v>
      </c>
      <c r="DZ1" s="81">
        <f t="shared" si="2"/>
        <v>99</v>
      </c>
      <c r="EA1" s="81">
        <f t="shared" si="2"/>
        <v>100</v>
      </c>
      <c r="EB1" s="81">
        <f t="shared" si="2"/>
        <v>101</v>
      </c>
      <c r="EC1" s="81">
        <f t="shared" si="2"/>
        <v>102</v>
      </c>
      <c r="ED1" s="81">
        <f t="shared" si="2"/>
        <v>103</v>
      </c>
      <c r="EE1" s="81">
        <f t="shared" si="2"/>
        <v>104</v>
      </c>
      <c r="EF1" s="81">
        <f t="shared" si="2"/>
        <v>105</v>
      </c>
      <c r="EG1" s="81">
        <f t="shared" si="2"/>
        <v>106</v>
      </c>
      <c r="EH1" s="81">
        <f t="shared" si="2"/>
        <v>107</v>
      </c>
      <c r="EI1" s="81">
        <f t="shared" si="2"/>
        <v>108</v>
      </c>
      <c r="EJ1" s="81">
        <f t="shared" si="2"/>
        <v>109</v>
      </c>
      <c r="EK1" s="81">
        <f t="shared" si="2"/>
        <v>110</v>
      </c>
      <c r="EL1" s="81">
        <f t="shared" si="2"/>
        <v>111</v>
      </c>
      <c r="EM1" s="81">
        <f t="shared" si="2"/>
        <v>112</v>
      </c>
      <c r="EN1" s="81">
        <f t="shared" si="2"/>
        <v>113</v>
      </c>
      <c r="EO1" s="81">
        <f t="shared" si="2"/>
        <v>114</v>
      </c>
      <c r="EP1" s="81">
        <f t="shared" si="2"/>
        <v>115</v>
      </c>
      <c r="EQ1" s="81">
        <f t="shared" si="2"/>
        <v>116</v>
      </c>
      <c r="ER1" s="81">
        <f t="shared" si="2"/>
        <v>117</v>
      </c>
      <c r="ES1" s="81">
        <f t="shared" si="2"/>
        <v>118</v>
      </c>
      <c r="ET1" s="81">
        <f t="shared" si="2"/>
        <v>119</v>
      </c>
      <c r="EU1" s="81">
        <f t="shared" si="2"/>
        <v>120</v>
      </c>
      <c r="EV1" s="81">
        <f t="shared" si="2"/>
        <v>121</v>
      </c>
      <c r="EW1" s="81">
        <f t="shared" si="2"/>
        <v>122</v>
      </c>
      <c r="EX1" s="81">
        <f t="shared" si="2"/>
        <v>123</v>
      </c>
      <c r="EY1" s="81">
        <f t="shared" si="2"/>
        <v>124</v>
      </c>
      <c r="EZ1" s="81">
        <f t="shared" si="2"/>
        <v>125</v>
      </c>
      <c r="FA1" s="81">
        <f t="shared" si="2"/>
        <v>126</v>
      </c>
      <c r="FB1" s="81">
        <f t="shared" si="2"/>
        <v>127</v>
      </c>
      <c r="FC1" s="81">
        <f t="shared" si="2"/>
        <v>128</v>
      </c>
      <c r="FD1" s="81">
        <f t="shared" si="2"/>
        <v>129</v>
      </c>
      <c r="FE1" s="81">
        <f t="shared" si="2"/>
        <v>130</v>
      </c>
      <c r="FF1" s="81">
        <f t="shared" ref="FF1:FG1" si="3">FE1+1</f>
        <v>131</v>
      </c>
      <c r="FG1" s="82">
        <f t="shared" si="3"/>
        <v>132</v>
      </c>
      <c r="FH1" s="84"/>
    </row>
    <row r="2" spans="1:164" x14ac:dyDescent="0.35">
      <c r="A2" s="39" t="s">
        <v>77</v>
      </c>
      <c r="B2" s="40" t="s">
        <v>78</v>
      </c>
      <c r="C2" s="40" t="s">
        <v>79</v>
      </c>
      <c r="D2" s="40" t="s">
        <v>80</v>
      </c>
      <c r="E2" s="41" t="s">
        <v>81</v>
      </c>
      <c r="G2" s="39" t="s">
        <v>77</v>
      </c>
      <c r="H2" s="40" t="s">
        <v>78</v>
      </c>
      <c r="I2" s="40" t="s">
        <v>79</v>
      </c>
      <c r="J2" s="40" t="s">
        <v>80</v>
      </c>
      <c r="K2" s="41" t="s">
        <v>81</v>
      </c>
      <c r="M2" s="63" t="s">
        <v>86</v>
      </c>
      <c r="O2" s="4" t="s">
        <v>88</v>
      </c>
      <c r="P2" s="65">
        <v>10</v>
      </c>
      <c r="R2" s="4" t="s">
        <v>101</v>
      </c>
      <c r="S2" s="76">
        <v>0.06</v>
      </c>
      <c r="T2" s="76">
        <v>5.5E-2</v>
      </c>
      <c r="U2" s="76">
        <v>0.05</v>
      </c>
      <c r="V2" s="76">
        <v>0.05</v>
      </c>
      <c r="W2" s="76">
        <v>0.05</v>
      </c>
      <c r="X2" s="76">
        <v>0.05</v>
      </c>
      <c r="Y2" s="76">
        <v>0.05</v>
      </c>
      <c r="Z2" s="76">
        <v>0.05</v>
      </c>
      <c r="AA2" s="76">
        <v>0.05</v>
      </c>
      <c r="AB2" s="76">
        <v>0.05</v>
      </c>
      <c r="AC2" s="77">
        <v>0.05</v>
      </c>
      <c r="AE2" s="5" t="s">
        <v>108</v>
      </c>
      <c r="AF2" s="83">
        <f>A23*D23</f>
        <v>245000.00000000003</v>
      </c>
      <c r="AG2" s="83">
        <f>AF2*(1+HLOOKUP(ROUNDUP(AF$1/12,0),$S$8:$AC$9,2,0))^(1/12)</f>
        <v>245998.16032699388</v>
      </c>
      <c r="AH2" s="83">
        <f t="shared" ref="AH2:CS3" si="4">AG2*(1+HLOOKUP(ROUNDUP(AG$1/12,0),$S$8:$AC$9,2,0))^(1/12)</f>
        <v>247000.38728271582</v>
      </c>
      <c r="AI2" s="83">
        <f t="shared" si="4"/>
        <v>248006.69743511468</v>
      </c>
      <c r="AJ2" s="83">
        <f t="shared" si="4"/>
        <v>249017.10741963916</v>
      </c>
      <c r="AK2" s="83">
        <f t="shared" si="4"/>
        <v>250031.63393951283</v>
      </c>
      <c r="AL2" s="83">
        <f t="shared" si="4"/>
        <v>251050.29376601026</v>
      </c>
      <c r="AM2" s="83">
        <f t="shared" si="4"/>
        <v>252073.10373873427</v>
      </c>
      <c r="AN2" s="83">
        <f t="shared" si="4"/>
        <v>253100.08076589429</v>
      </c>
      <c r="AO2" s="83">
        <f t="shared" si="4"/>
        <v>254131.24182458594</v>
      </c>
      <c r="AP2" s="83">
        <f t="shared" si="4"/>
        <v>255166.60396107158</v>
      </c>
      <c r="AQ2" s="83">
        <f t="shared" si="4"/>
        <v>256206.18429106215</v>
      </c>
      <c r="AR2" s="83">
        <f t="shared" si="4"/>
        <v>257250.00000000015</v>
      </c>
      <c r="AS2" s="85">
        <f t="shared" si="4"/>
        <v>258092.16955897081</v>
      </c>
      <c r="AT2" s="85">
        <f t="shared" si="4"/>
        <v>258937.09616193004</v>
      </c>
      <c r="AU2" s="85">
        <f t="shared" si="4"/>
        <v>259784.78883472242</v>
      </c>
      <c r="AV2" s="85">
        <f t="shared" si="4"/>
        <v>260635.25663274078</v>
      </c>
      <c r="AW2" s="85">
        <f t="shared" si="4"/>
        <v>261488.50864102301</v>
      </c>
      <c r="AX2" s="85">
        <f t="shared" si="4"/>
        <v>262344.55397434899</v>
      </c>
      <c r="AY2" s="85">
        <f t="shared" si="4"/>
        <v>263203.40177733806</v>
      </c>
      <c r="AZ2" s="85">
        <f t="shared" si="4"/>
        <v>264065.06122454663</v>
      </c>
      <c r="BA2" s="85">
        <f t="shared" si="4"/>
        <v>264929.54152056621</v>
      </c>
      <c r="BB2" s="85">
        <f t="shared" si="4"/>
        <v>265796.85190012184</v>
      </c>
      <c r="BC2" s="85">
        <f t="shared" si="4"/>
        <v>266667.00162817049</v>
      </c>
      <c r="BD2" s="85">
        <f t="shared" si="4"/>
        <v>267540.00000000035</v>
      </c>
      <c r="BE2" s="85">
        <f t="shared" si="4"/>
        <v>268199.82581488247</v>
      </c>
      <c r="BF2" s="85">
        <f t="shared" si="4"/>
        <v>268861.27893822681</v>
      </c>
      <c r="BG2" s="85">
        <f t="shared" si="4"/>
        <v>269524.36338341504</v>
      </c>
      <c r="BH2" s="85">
        <f t="shared" si="4"/>
        <v>270189.08317372698</v>
      </c>
      <c r="BI2" s="85">
        <f t="shared" si="4"/>
        <v>270855.44234236481</v>
      </c>
      <c r="BJ2" s="85">
        <f t="shared" si="4"/>
        <v>271523.44493247772</v>
      </c>
      <c r="BK2" s="85">
        <f t="shared" si="4"/>
        <v>272193.09499718645</v>
      </c>
      <c r="BL2" s="85">
        <f t="shared" si="4"/>
        <v>272864.39659960777</v>
      </c>
      <c r="BM2" s="85">
        <f t="shared" si="4"/>
        <v>273537.3538128793</v>
      </c>
      <c r="BN2" s="85">
        <f t="shared" si="4"/>
        <v>274211.97072018392</v>
      </c>
      <c r="BO2" s="85">
        <f t="shared" si="4"/>
        <v>274888.25141477492</v>
      </c>
      <c r="BP2" s="85">
        <f t="shared" si="4"/>
        <v>275566.20000000059</v>
      </c>
      <c r="BQ2" s="85">
        <f t="shared" si="4"/>
        <v>276245.82058932917</v>
      </c>
      <c r="BR2" s="85">
        <f t="shared" si="4"/>
        <v>276927.11730637384</v>
      </c>
      <c r="BS2" s="85">
        <f t="shared" si="4"/>
        <v>277610.09428491775</v>
      </c>
      <c r="BT2" s="85">
        <f t="shared" si="4"/>
        <v>278294.75566893903</v>
      </c>
      <c r="BU2" s="85">
        <f t="shared" si="4"/>
        <v>278981.10561263596</v>
      </c>
      <c r="BV2" s="85">
        <f t="shared" si="4"/>
        <v>279669.1482804523</v>
      </c>
      <c r="BW2" s="85">
        <f t="shared" si="4"/>
        <v>280358.88784710231</v>
      </c>
      <c r="BX2" s="85">
        <f t="shared" si="4"/>
        <v>281050.32849759632</v>
      </c>
      <c r="BY2" s="85">
        <f t="shared" si="4"/>
        <v>281743.47442726599</v>
      </c>
      <c r="BZ2" s="85">
        <f t="shared" si="4"/>
        <v>282438.32984178979</v>
      </c>
      <c r="CA2" s="85">
        <f t="shared" si="4"/>
        <v>283134.89895721851</v>
      </c>
      <c r="CB2" s="85">
        <f t="shared" si="4"/>
        <v>283833.18600000098</v>
      </c>
      <c r="CC2" s="85">
        <f t="shared" si="4"/>
        <v>284533.19520700944</v>
      </c>
      <c r="CD2" s="85">
        <f t="shared" si="4"/>
        <v>285234.93082556548</v>
      </c>
      <c r="CE2" s="85">
        <f t="shared" si="4"/>
        <v>285938.3971134657</v>
      </c>
      <c r="CF2" s="85">
        <f t="shared" si="4"/>
        <v>286643.59833900759</v>
      </c>
      <c r="CG2" s="85">
        <f t="shared" si="4"/>
        <v>287350.53878101544</v>
      </c>
      <c r="CH2" s="85">
        <f t="shared" si="4"/>
        <v>288059.22272886621</v>
      </c>
      <c r="CI2" s="85">
        <f t="shared" si="4"/>
        <v>288769.6544825157</v>
      </c>
      <c r="CJ2" s="85">
        <f t="shared" si="4"/>
        <v>289481.8383525245</v>
      </c>
      <c r="CK2" s="85">
        <f t="shared" si="4"/>
        <v>290195.77866008424</v>
      </c>
      <c r="CL2" s="85">
        <f t="shared" si="4"/>
        <v>290911.47973704373</v>
      </c>
      <c r="CM2" s="85">
        <f t="shared" si="4"/>
        <v>291628.94592593535</v>
      </c>
      <c r="CN2" s="85">
        <f t="shared" si="4"/>
        <v>292348.18158000126</v>
      </c>
      <c r="CO2" s="85">
        <f t="shared" si="4"/>
        <v>293069.19106321997</v>
      </c>
      <c r="CP2" s="85">
        <f t="shared" si="4"/>
        <v>293791.97875033267</v>
      </c>
      <c r="CQ2" s="85">
        <f t="shared" si="4"/>
        <v>294516.54902686988</v>
      </c>
      <c r="CR2" s="85">
        <f t="shared" si="4"/>
        <v>295242.90628917806</v>
      </c>
      <c r="CS2" s="85">
        <f t="shared" si="4"/>
        <v>295971.05494444614</v>
      </c>
      <c r="CT2" s="85">
        <f t="shared" ref="CT2:FE3" si="5">CS2*(1+HLOOKUP(ROUNDUP(CS$1/12,0),$S$8:$AC$9,2,0))^(1/12)</f>
        <v>296700.99941073247</v>
      </c>
      <c r="CU2" s="85">
        <f t="shared" si="5"/>
        <v>297432.74411699147</v>
      </c>
      <c r="CV2" s="85">
        <f t="shared" si="5"/>
        <v>298166.29350310052</v>
      </c>
      <c r="CW2" s="85">
        <f t="shared" si="5"/>
        <v>298901.65201988706</v>
      </c>
      <c r="CX2" s="85">
        <f t="shared" si="5"/>
        <v>299638.82412915531</v>
      </c>
      <c r="CY2" s="85">
        <f t="shared" si="5"/>
        <v>300377.81430371368</v>
      </c>
      <c r="CZ2" s="85">
        <f t="shared" si="5"/>
        <v>301118.62702740158</v>
      </c>
      <c r="DA2" s="85">
        <f t="shared" si="5"/>
        <v>301861.26679511683</v>
      </c>
      <c r="DB2" s="85">
        <f t="shared" si="5"/>
        <v>302605.7381128429</v>
      </c>
      <c r="DC2" s="85">
        <f t="shared" si="5"/>
        <v>303352.04549767624</v>
      </c>
      <c r="DD2" s="85">
        <f t="shared" si="5"/>
        <v>304100.19347785367</v>
      </c>
      <c r="DE2" s="85">
        <f t="shared" si="5"/>
        <v>304850.18659277982</v>
      </c>
      <c r="DF2" s="85">
        <f t="shared" si="5"/>
        <v>305602.02939305472</v>
      </c>
      <c r="DG2" s="85">
        <f t="shared" si="5"/>
        <v>306355.72644050146</v>
      </c>
      <c r="DH2" s="85">
        <f t="shared" si="5"/>
        <v>307111.2823081938</v>
      </c>
      <c r="DI2" s="85">
        <f t="shared" si="5"/>
        <v>307868.70158048393</v>
      </c>
      <c r="DJ2" s="85">
        <f t="shared" si="5"/>
        <v>308627.98885303026</v>
      </c>
      <c r="DK2" s="85">
        <f t="shared" si="5"/>
        <v>309389.14873282536</v>
      </c>
      <c r="DL2" s="85">
        <f t="shared" si="5"/>
        <v>310152.1858382239</v>
      </c>
      <c r="DM2" s="85">
        <f t="shared" si="5"/>
        <v>310917.10479897063</v>
      </c>
      <c r="DN2" s="85">
        <f t="shared" si="5"/>
        <v>311683.91025622853</v>
      </c>
      <c r="DO2" s="85">
        <f t="shared" si="5"/>
        <v>312452.60686260689</v>
      </c>
      <c r="DP2" s="85">
        <f t="shared" si="5"/>
        <v>313223.1992821896</v>
      </c>
      <c r="DQ2" s="85">
        <f t="shared" si="5"/>
        <v>313995.69219056354</v>
      </c>
      <c r="DR2" s="85">
        <f t="shared" si="5"/>
        <v>314770.09027484671</v>
      </c>
      <c r="DS2" s="85">
        <f t="shared" si="5"/>
        <v>315546.39823371684</v>
      </c>
      <c r="DT2" s="85">
        <f t="shared" si="5"/>
        <v>316324.62077743997</v>
      </c>
      <c r="DU2" s="85">
        <f t="shared" si="5"/>
        <v>317104.76262789877</v>
      </c>
      <c r="DV2" s="85">
        <f t="shared" si="5"/>
        <v>317886.82851862151</v>
      </c>
      <c r="DW2" s="85">
        <f t="shared" si="5"/>
        <v>318670.82319481048</v>
      </c>
      <c r="DX2" s="85">
        <f t="shared" si="5"/>
        <v>319456.75141337095</v>
      </c>
      <c r="DY2" s="85">
        <f t="shared" si="5"/>
        <v>320244.61794294009</v>
      </c>
      <c r="DZ2" s="85">
        <f t="shared" si="5"/>
        <v>321034.42756391573</v>
      </c>
      <c r="EA2" s="85">
        <f t="shared" si="5"/>
        <v>321826.18506848544</v>
      </c>
      <c r="EB2" s="85">
        <f t="shared" si="5"/>
        <v>322619.89526065567</v>
      </c>
      <c r="EC2" s="85">
        <f t="shared" si="5"/>
        <v>323415.56295628083</v>
      </c>
      <c r="ED2" s="85">
        <f t="shared" si="5"/>
        <v>324213.19298309251</v>
      </c>
      <c r="EE2" s="85">
        <f t="shared" si="5"/>
        <v>325012.79018072877</v>
      </c>
      <c r="EF2" s="85">
        <f t="shared" si="5"/>
        <v>325814.35940076358</v>
      </c>
      <c r="EG2" s="85">
        <f t="shared" si="5"/>
        <v>326617.90550673619</v>
      </c>
      <c r="EH2" s="85">
        <f t="shared" si="5"/>
        <v>327423.43337418057</v>
      </c>
      <c r="EI2" s="85">
        <f t="shared" si="5"/>
        <v>328230.9478906552</v>
      </c>
      <c r="EJ2" s="85">
        <f t="shared" si="5"/>
        <v>329040.45395577251</v>
      </c>
      <c r="EK2" s="85">
        <f t="shared" si="5"/>
        <v>329851.9564812287</v>
      </c>
      <c r="EL2" s="85">
        <f t="shared" si="5"/>
        <v>330665.46039083356</v>
      </c>
      <c r="EM2" s="85">
        <f t="shared" si="5"/>
        <v>331480.97062054038</v>
      </c>
      <c r="EN2" s="85">
        <f t="shared" si="5"/>
        <v>332298.49211847573</v>
      </c>
      <c r="EO2" s="85">
        <f t="shared" si="5"/>
        <v>333118.02984496963</v>
      </c>
      <c r="EP2" s="85">
        <f t="shared" si="5"/>
        <v>333939.58877258562</v>
      </c>
      <c r="EQ2" s="85">
        <f t="shared" si="5"/>
        <v>334763.17388615099</v>
      </c>
      <c r="ER2" s="85">
        <f t="shared" si="5"/>
        <v>335588.79018278688</v>
      </c>
      <c r="ES2" s="85">
        <f t="shared" si="5"/>
        <v>336416.44267193862</v>
      </c>
      <c r="ET2" s="85">
        <f t="shared" si="5"/>
        <v>337246.13637540635</v>
      </c>
      <c r="EU2" s="85">
        <f t="shared" si="5"/>
        <v>338077.87632737524</v>
      </c>
      <c r="EV2" s="85">
        <f t="shared" si="5"/>
        <v>338911.66757444607</v>
      </c>
      <c r="EW2" s="85">
        <f t="shared" si="5"/>
        <v>339747.51517566596</v>
      </c>
      <c r="EX2" s="85">
        <f t="shared" si="5"/>
        <v>340585.42420255899</v>
      </c>
      <c r="EY2" s="85">
        <f t="shared" si="5"/>
        <v>341425.399739157</v>
      </c>
      <c r="EZ2" s="85">
        <f t="shared" si="5"/>
        <v>342267.4468820304</v>
      </c>
      <c r="FA2" s="85">
        <f t="shared" si="5"/>
        <v>343111.57074031909</v>
      </c>
      <c r="FB2" s="85">
        <f t="shared" si="5"/>
        <v>343957.77643576358</v>
      </c>
      <c r="FC2" s="85">
        <f t="shared" si="5"/>
        <v>344806.0691027359</v>
      </c>
      <c r="FD2" s="85">
        <f t="shared" si="5"/>
        <v>345656.45388827083</v>
      </c>
      <c r="FE2" s="85">
        <f t="shared" si="5"/>
        <v>346508.93595209718</v>
      </c>
      <c r="FF2" s="85">
        <f t="shared" ref="FF2:FG3" si="6">FE2*(1+HLOOKUP(ROUNDUP(FE$1/12,0),$S$8:$AC$9,2,0))^(1/12)</f>
        <v>347363.52046666894</v>
      </c>
      <c r="FG2" s="86">
        <f t="shared" si="6"/>
        <v>348220.2126171969</v>
      </c>
    </row>
    <row r="3" spans="1:164" x14ac:dyDescent="0.35">
      <c r="A3" s="42">
        <v>50</v>
      </c>
      <c r="B3" s="43" t="s">
        <v>82</v>
      </c>
      <c r="C3" s="48">
        <v>1000</v>
      </c>
      <c r="D3" s="49">
        <v>1900</v>
      </c>
      <c r="E3" s="50">
        <f t="shared" ref="E3:E4" si="7">IFERROR(D3/C3,0)</f>
        <v>1.9</v>
      </c>
      <c r="G3" s="57">
        <f>A3</f>
        <v>50</v>
      </c>
      <c r="H3" s="58" t="str">
        <f t="shared" ref="H3:H22" si="8">B3</f>
        <v>1BR - 1BA</v>
      </c>
      <c r="I3" s="59">
        <f t="shared" ref="I3:I22" si="9">C3</f>
        <v>1000</v>
      </c>
      <c r="J3" s="49">
        <v>2000</v>
      </c>
      <c r="K3" s="50">
        <f t="shared" ref="K3:K4" si="10">IFERROR(J3/I3,0)</f>
        <v>2</v>
      </c>
      <c r="M3" s="23">
        <f>J3-D3</f>
        <v>100</v>
      </c>
      <c r="O3" s="5" t="s">
        <v>89</v>
      </c>
      <c r="P3" s="66">
        <v>10</v>
      </c>
      <c r="R3" s="5" t="s">
        <v>102</v>
      </c>
      <c r="S3" s="76">
        <v>0.01</v>
      </c>
      <c r="T3" s="76">
        <v>7.4999999999999997E-3</v>
      </c>
      <c r="U3" s="76">
        <v>5.0000000000000001E-3</v>
      </c>
      <c r="V3" s="76">
        <v>5.0000000000000001E-3</v>
      </c>
      <c r="W3" s="76">
        <v>5.0000000000000001E-3</v>
      </c>
      <c r="X3" s="76">
        <v>5.0000000000000001E-3</v>
      </c>
      <c r="Y3" s="76">
        <v>5.0000000000000001E-3</v>
      </c>
      <c r="Z3" s="76">
        <v>5.0000000000000001E-3</v>
      </c>
      <c r="AA3" s="76">
        <v>5.0000000000000001E-3</v>
      </c>
      <c r="AB3" s="76">
        <v>5.0000000000000001E-3</v>
      </c>
      <c r="AC3" s="77">
        <v>5.0000000000000001E-3</v>
      </c>
      <c r="AE3" s="5" t="s">
        <v>84</v>
      </c>
      <c r="AF3" s="83">
        <f>G23*J23</f>
        <v>256000.00000000003</v>
      </c>
      <c r="AG3" s="83">
        <f>AF3*(1+HLOOKUP(ROUNDUP(AF$1/12,0),$S$8:$AC$9,2,0))^(1/12)</f>
        <v>257042.97568861401</v>
      </c>
      <c r="AH3" s="83">
        <f t="shared" si="4"/>
        <v>258090.20058928675</v>
      </c>
      <c r="AI3" s="83">
        <f t="shared" si="4"/>
        <v>259141.69201383414</v>
      </c>
      <c r="AJ3" s="83">
        <f t="shared" si="4"/>
        <v>260197.46734460257</v>
      </c>
      <c r="AK3" s="83">
        <f t="shared" si="4"/>
        <v>261257.54403475628</v>
      </c>
      <c r="AL3" s="83">
        <f t="shared" si="4"/>
        <v>262321.93960856582</v>
      </c>
      <c r="AM3" s="83">
        <f t="shared" si="4"/>
        <v>263390.67166169785</v>
      </c>
      <c r="AN3" s="83">
        <f t="shared" si="4"/>
        <v>264463.7578615059</v>
      </c>
      <c r="AO3" s="83">
        <f t="shared" si="4"/>
        <v>265541.21594732249</v>
      </c>
      <c r="AP3" s="87">
        <f t="shared" si="4"/>
        <v>266623.06373075239</v>
      </c>
      <c r="AQ3" s="85">
        <f t="shared" si="4"/>
        <v>267709.31909596705</v>
      </c>
      <c r="AR3" s="85">
        <f t="shared" si="4"/>
        <v>268800.00000000023</v>
      </c>
      <c r="AS3" s="85">
        <f t="shared" si="4"/>
        <v>269679.98125345528</v>
      </c>
      <c r="AT3" s="85">
        <f t="shared" si="4"/>
        <v>270562.84333654738</v>
      </c>
      <c r="AU3" s="85">
        <f t="shared" si="4"/>
        <v>271448.59568036307</v>
      </c>
      <c r="AV3" s="85">
        <f t="shared" si="4"/>
        <v>272337.24774686393</v>
      </c>
      <c r="AW3" s="85">
        <f t="shared" si="4"/>
        <v>273228.80902898742</v>
      </c>
      <c r="AX3" s="85">
        <f t="shared" si="4"/>
        <v>274123.28905074846</v>
      </c>
      <c r="AY3" s="85">
        <f t="shared" si="4"/>
        <v>275020.69736734108</v>
      </c>
      <c r="AZ3" s="85">
        <f t="shared" si="4"/>
        <v>275921.04356524063</v>
      </c>
      <c r="BA3" s="85">
        <f t="shared" si="4"/>
        <v>276824.33726230601</v>
      </c>
      <c r="BB3" s="85">
        <f t="shared" si="4"/>
        <v>277730.58810788248</v>
      </c>
      <c r="BC3" s="85">
        <f t="shared" si="4"/>
        <v>278639.80578290473</v>
      </c>
      <c r="BD3" s="85">
        <f t="shared" si="4"/>
        <v>279552.00000000041</v>
      </c>
      <c r="BE3" s="85">
        <f t="shared" si="4"/>
        <v>280241.45064738742</v>
      </c>
      <c r="BF3" s="85">
        <f t="shared" si="4"/>
        <v>280932.60166606563</v>
      </c>
      <c r="BG3" s="85">
        <f t="shared" si="4"/>
        <v>281625.45724960929</v>
      </c>
      <c r="BH3" s="85">
        <f t="shared" si="4"/>
        <v>282320.02160193521</v>
      </c>
      <c r="BI3" s="85">
        <f t="shared" si="4"/>
        <v>283016.29893732816</v>
      </c>
      <c r="BJ3" s="85">
        <f t="shared" si="4"/>
        <v>283714.29348046653</v>
      </c>
      <c r="BK3" s="85">
        <f t="shared" si="4"/>
        <v>284414.00946644793</v>
      </c>
      <c r="BL3" s="85">
        <f t="shared" si="4"/>
        <v>285115.45114081469</v>
      </c>
      <c r="BM3" s="85">
        <f t="shared" si="4"/>
        <v>285818.62275958003</v>
      </c>
      <c r="BN3" s="85">
        <f t="shared" si="4"/>
        <v>286523.52858925343</v>
      </c>
      <c r="BO3" s="85">
        <f t="shared" si="4"/>
        <v>287230.17290686688</v>
      </c>
      <c r="BP3" s="85">
        <f t="shared" si="4"/>
        <v>287938.56000000064</v>
      </c>
      <c r="BQ3" s="85">
        <f t="shared" si="4"/>
        <v>288648.69416680926</v>
      </c>
      <c r="BR3" s="85">
        <f t="shared" si="4"/>
        <v>289360.5797160478</v>
      </c>
      <c r="BS3" s="85">
        <f t="shared" si="4"/>
        <v>290074.22096709773</v>
      </c>
      <c r="BT3" s="85">
        <f t="shared" si="4"/>
        <v>290789.62224999344</v>
      </c>
      <c r="BU3" s="85">
        <f t="shared" si="4"/>
        <v>291506.78790544823</v>
      </c>
      <c r="BV3" s="85">
        <f t="shared" si="4"/>
        <v>292225.72228488076</v>
      </c>
      <c r="BW3" s="85">
        <f t="shared" si="4"/>
        <v>292946.42975044157</v>
      </c>
      <c r="BX3" s="85">
        <f t="shared" si="4"/>
        <v>293668.91467503936</v>
      </c>
      <c r="BY3" s="85">
        <f t="shared" si="4"/>
        <v>294393.18144236761</v>
      </c>
      <c r="BZ3" s="85">
        <f t="shared" si="4"/>
        <v>295119.23444693122</v>
      </c>
      <c r="CA3" s="85">
        <f t="shared" si="4"/>
        <v>295847.07809407311</v>
      </c>
      <c r="CB3" s="85">
        <f t="shared" si="4"/>
        <v>296576.71680000087</v>
      </c>
      <c r="CC3" s="85">
        <f t="shared" si="4"/>
        <v>297308.15499181376</v>
      </c>
      <c r="CD3" s="85">
        <f t="shared" si="4"/>
        <v>298041.39710752945</v>
      </c>
      <c r="CE3" s="85">
        <f t="shared" si="4"/>
        <v>298776.44759611093</v>
      </c>
      <c r="CF3" s="85">
        <f t="shared" si="4"/>
        <v>299513.31091749348</v>
      </c>
      <c r="CG3" s="85">
        <f t="shared" si="4"/>
        <v>300251.99154261191</v>
      </c>
      <c r="CH3" s="85">
        <f t="shared" si="4"/>
        <v>300992.49395342742</v>
      </c>
      <c r="CI3" s="85">
        <f t="shared" si="4"/>
        <v>301734.82264295506</v>
      </c>
      <c r="CJ3" s="85">
        <f t="shared" si="4"/>
        <v>302478.98211529077</v>
      </c>
      <c r="CK3" s="85">
        <f t="shared" si="4"/>
        <v>303224.9768856389</v>
      </c>
      <c r="CL3" s="85">
        <f t="shared" si="4"/>
        <v>303972.81148033944</v>
      </c>
      <c r="CM3" s="85">
        <f t="shared" si="4"/>
        <v>304722.49043689558</v>
      </c>
      <c r="CN3" s="85">
        <f t="shared" si="4"/>
        <v>305474.01830400119</v>
      </c>
      <c r="CO3" s="85">
        <f t="shared" si="4"/>
        <v>306227.39964156848</v>
      </c>
      <c r="CP3" s="85">
        <f t="shared" si="4"/>
        <v>306982.63902075565</v>
      </c>
      <c r="CQ3" s="85">
        <f t="shared" si="4"/>
        <v>307739.74102399457</v>
      </c>
      <c r="CR3" s="85">
        <f t="shared" si="4"/>
        <v>308498.71024501859</v>
      </c>
      <c r="CS3" s="85">
        <f t="shared" si="4"/>
        <v>309259.55128889054</v>
      </c>
      <c r="CT3" s="85">
        <f t="shared" si="5"/>
        <v>310022.26877203054</v>
      </c>
      <c r="CU3" s="85">
        <f t="shared" si="5"/>
        <v>310786.86732224398</v>
      </c>
      <c r="CV3" s="85">
        <f t="shared" si="5"/>
        <v>311553.35157874977</v>
      </c>
      <c r="CW3" s="85">
        <f t="shared" si="5"/>
        <v>312321.72619220836</v>
      </c>
      <c r="CX3" s="85">
        <f t="shared" si="5"/>
        <v>313091.99582474993</v>
      </c>
      <c r="CY3" s="85">
        <f t="shared" si="5"/>
        <v>313864.16515000275</v>
      </c>
      <c r="CZ3" s="85">
        <f t="shared" si="5"/>
        <v>314638.23885312153</v>
      </c>
      <c r="DA3" s="85">
        <f t="shared" si="5"/>
        <v>315414.22163081582</v>
      </c>
      <c r="DB3" s="85">
        <f t="shared" si="5"/>
        <v>316192.1181913786</v>
      </c>
      <c r="DC3" s="85">
        <f t="shared" si="5"/>
        <v>316971.93325471465</v>
      </c>
      <c r="DD3" s="85">
        <f t="shared" si="5"/>
        <v>317753.67155236943</v>
      </c>
      <c r="DE3" s="85">
        <f t="shared" si="5"/>
        <v>318537.33782755752</v>
      </c>
      <c r="DF3" s="85">
        <f t="shared" si="5"/>
        <v>319322.93683519174</v>
      </c>
      <c r="DG3" s="85">
        <f t="shared" si="5"/>
        <v>320110.47334191162</v>
      </c>
      <c r="DH3" s="85">
        <f t="shared" si="5"/>
        <v>320899.95212611259</v>
      </c>
      <c r="DI3" s="85">
        <f t="shared" si="5"/>
        <v>321691.37797797495</v>
      </c>
      <c r="DJ3" s="85">
        <f t="shared" si="5"/>
        <v>322484.75569949276</v>
      </c>
      <c r="DK3" s="85">
        <f t="shared" si="5"/>
        <v>323280.09010450315</v>
      </c>
      <c r="DL3" s="85">
        <f t="shared" si="5"/>
        <v>324077.38601871551</v>
      </c>
      <c r="DM3" s="85">
        <f t="shared" si="5"/>
        <v>324876.64827974065</v>
      </c>
      <c r="DN3" s="85">
        <f t="shared" si="5"/>
        <v>325677.88173712033</v>
      </c>
      <c r="DO3" s="85">
        <f t="shared" si="5"/>
        <v>326481.09125235648</v>
      </c>
      <c r="DP3" s="85">
        <f t="shared" si="5"/>
        <v>327286.2816989409</v>
      </c>
      <c r="DQ3" s="85">
        <f t="shared" si="5"/>
        <v>328093.45796238468</v>
      </c>
      <c r="DR3" s="85">
        <f t="shared" si="5"/>
        <v>328902.62494024792</v>
      </c>
      <c r="DS3" s="85">
        <f t="shared" si="5"/>
        <v>329713.78754216939</v>
      </c>
      <c r="DT3" s="85">
        <f t="shared" si="5"/>
        <v>330526.95068989642</v>
      </c>
      <c r="DU3" s="85">
        <f t="shared" si="5"/>
        <v>331342.11931731465</v>
      </c>
      <c r="DV3" s="85">
        <f t="shared" si="5"/>
        <v>332159.29837047798</v>
      </c>
      <c r="DW3" s="85">
        <f t="shared" si="5"/>
        <v>332978.49280763872</v>
      </c>
      <c r="DX3" s="85">
        <f t="shared" si="5"/>
        <v>333799.70759927743</v>
      </c>
      <c r="DY3" s="85">
        <f t="shared" si="5"/>
        <v>334622.94772813335</v>
      </c>
      <c r="DZ3" s="85">
        <f t="shared" si="5"/>
        <v>335448.21818923438</v>
      </c>
      <c r="EA3" s="85">
        <f t="shared" si="5"/>
        <v>336275.52398992761</v>
      </c>
      <c r="EB3" s="85">
        <f t="shared" si="5"/>
        <v>337104.87014990952</v>
      </c>
      <c r="EC3" s="85">
        <f t="shared" si="5"/>
        <v>337936.26170125662</v>
      </c>
      <c r="ED3" s="85">
        <f t="shared" si="5"/>
        <v>338769.70368845575</v>
      </c>
      <c r="EE3" s="85">
        <f t="shared" si="5"/>
        <v>339605.20116843487</v>
      </c>
      <c r="EF3" s="85">
        <f t="shared" si="5"/>
        <v>340442.75921059371</v>
      </c>
      <c r="EG3" s="85">
        <f t="shared" si="5"/>
        <v>341282.38289683446</v>
      </c>
      <c r="EH3" s="85">
        <f t="shared" si="5"/>
        <v>342124.07732159272</v>
      </c>
      <c r="EI3" s="85">
        <f t="shared" si="5"/>
        <v>342967.84759186825</v>
      </c>
      <c r="EJ3" s="85">
        <f t="shared" si="5"/>
        <v>343813.69882725616</v>
      </c>
      <c r="EK3" s="85">
        <f t="shared" si="5"/>
        <v>344661.63615997776</v>
      </c>
      <c r="EL3" s="85">
        <f t="shared" si="5"/>
        <v>345511.66473491187</v>
      </c>
      <c r="EM3" s="85">
        <f t="shared" si="5"/>
        <v>346363.78970962588</v>
      </c>
      <c r="EN3" s="85">
        <f t="shared" si="5"/>
        <v>347218.0162544073</v>
      </c>
      <c r="EO3" s="85">
        <f t="shared" si="5"/>
        <v>348074.34955229476</v>
      </c>
      <c r="EP3" s="85">
        <f t="shared" si="5"/>
        <v>348932.79479910986</v>
      </c>
      <c r="EQ3" s="85">
        <f t="shared" si="5"/>
        <v>349793.35720348835</v>
      </c>
      <c r="ER3" s="85">
        <f t="shared" si="5"/>
        <v>350656.04198691197</v>
      </c>
      <c r="ES3" s="85">
        <f t="shared" si="5"/>
        <v>351520.85438373993</v>
      </c>
      <c r="ET3" s="85">
        <f t="shared" si="5"/>
        <v>352387.79964124091</v>
      </c>
      <c r="EU3" s="85">
        <f t="shared" si="5"/>
        <v>353256.88301962469</v>
      </c>
      <c r="EV3" s="85">
        <f t="shared" si="5"/>
        <v>354128.10979207419</v>
      </c>
      <c r="EW3" s="85">
        <f t="shared" si="5"/>
        <v>355001.4852447774</v>
      </c>
      <c r="EX3" s="85">
        <f t="shared" si="5"/>
        <v>355877.01467695949</v>
      </c>
      <c r="EY3" s="85">
        <f t="shared" si="5"/>
        <v>356754.70340091496</v>
      </c>
      <c r="EZ3" s="85">
        <f t="shared" si="5"/>
        <v>357634.5567420398</v>
      </c>
      <c r="FA3" s="85">
        <f t="shared" si="5"/>
        <v>358516.58003886393</v>
      </c>
      <c r="FB3" s="85">
        <f t="shared" si="5"/>
        <v>359400.77864308347</v>
      </c>
      <c r="FC3" s="85">
        <f t="shared" si="5"/>
        <v>360287.15791959333</v>
      </c>
      <c r="FD3" s="85">
        <f t="shared" si="5"/>
        <v>361175.72324651963</v>
      </c>
      <c r="FE3" s="85">
        <f t="shared" si="5"/>
        <v>362066.48001525243</v>
      </c>
      <c r="FF3" s="85">
        <f t="shared" si="6"/>
        <v>362959.43363047845</v>
      </c>
      <c r="FG3" s="86">
        <f t="shared" si="6"/>
        <v>363854.58951021376</v>
      </c>
    </row>
    <row r="4" spans="1:164" x14ac:dyDescent="0.35">
      <c r="A4" s="44">
        <v>60</v>
      </c>
      <c r="B4" s="45" t="s">
        <v>83</v>
      </c>
      <c r="C4" s="51">
        <v>1500</v>
      </c>
      <c r="D4" s="52">
        <v>2500</v>
      </c>
      <c r="E4" s="53">
        <f t="shared" si="7"/>
        <v>1.6666666666666667</v>
      </c>
      <c r="G4" s="60">
        <f t="shared" ref="G4:G22" si="11">A4</f>
        <v>60</v>
      </c>
      <c r="H4" s="61" t="str">
        <f t="shared" si="8"/>
        <v>2BR - 2BA</v>
      </c>
      <c r="I4" s="62">
        <f t="shared" si="9"/>
        <v>1500</v>
      </c>
      <c r="J4" s="52">
        <v>2600</v>
      </c>
      <c r="K4" s="53">
        <f t="shared" si="10"/>
        <v>1.7333333333333334</v>
      </c>
      <c r="M4" s="28">
        <f t="shared" ref="M4:M22" si="12">J4-D4</f>
        <v>100</v>
      </c>
      <c r="O4" s="5" t="s">
        <v>90</v>
      </c>
      <c r="P4" s="66">
        <v>25</v>
      </c>
      <c r="R4" s="5" t="s">
        <v>103</v>
      </c>
      <c r="S4" s="76">
        <v>0.01</v>
      </c>
      <c r="T4" s="76">
        <v>5.0000000000000001E-3</v>
      </c>
      <c r="U4" s="76">
        <v>0</v>
      </c>
      <c r="V4" s="76">
        <v>0</v>
      </c>
      <c r="W4" s="76">
        <v>0</v>
      </c>
      <c r="X4" s="76">
        <v>0</v>
      </c>
      <c r="Y4" s="76">
        <v>0</v>
      </c>
      <c r="Z4" s="76">
        <v>0</v>
      </c>
      <c r="AA4" s="76">
        <v>0</v>
      </c>
      <c r="AB4" s="76">
        <v>0</v>
      </c>
      <c r="AC4" s="77">
        <v>0</v>
      </c>
      <c r="AE4" s="5" t="s">
        <v>109</v>
      </c>
      <c r="AF4" s="88">
        <f>IF(AF1&gt;=$P$16,1,IF(AND(AF1&gt;=$P$15,AF1&lt;$P$16),(AF1-$P$15+1)/$P$17,0))</f>
        <v>0</v>
      </c>
      <c r="AG4" s="88">
        <f t="shared" ref="AG4:CR4" si="13">IF(AG1&gt;=$P$16,1,IF(AND(AG1&gt;=$P$15,AG1&lt;$P$16),(AG1-$P$15+1)/$P$17,0))</f>
        <v>0</v>
      </c>
      <c r="AH4" s="88">
        <f t="shared" si="13"/>
        <v>0</v>
      </c>
      <c r="AI4" s="88">
        <f t="shared" si="13"/>
        <v>0</v>
      </c>
      <c r="AJ4" s="88">
        <f t="shared" si="13"/>
        <v>9.0909090909090912E-2</v>
      </c>
      <c r="AK4" s="88">
        <f t="shared" si="13"/>
        <v>0.18181818181818182</v>
      </c>
      <c r="AL4" s="88">
        <f t="shared" si="13"/>
        <v>0.27272727272727271</v>
      </c>
      <c r="AM4" s="88">
        <f t="shared" si="13"/>
        <v>0.36363636363636365</v>
      </c>
      <c r="AN4" s="88">
        <f t="shared" si="13"/>
        <v>0.45454545454545453</v>
      </c>
      <c r="AO4" s="88">
        <f t="shared" si="13"/>
        <v>0.54545454545454541</v>
      </c>
      <c r="AP4" s="89">
        <f t="shared" si="13"/>
        <v>0.63636363636363635</v>
      </c>
      <c r="AQ4" s="88">
        <f t="shared" si="13"/>
        <v>0.72727272727272729</v>
      </c>
      <c r="AR4" s="88">
        <f t="shared" si="13"/>
        <v>0.81818181818181823</v>
      </c>
      <c r="AS4" s="88">
        <f t="shared" si="13"/>
        <v>0.90909090909090906</v>
      </c>
      <c r="AT4" s="88">
        <f t="shared" si="13"/>
        <v>1</v>
      </c>
      <c r="AU4" s="88">
        <f t="shared" si="13"/>
        <v>1</v>
      </c>
      <c r="AV4" s="88">
        <f t="shared" si="13"/>
        <v>1</v>
      </c>
      <c r="AW4" s="88">
        <f t="shared" si="13"/>
        <v>1</v>
      </c>
      <c r="AX4" s="88">
        <f t="shared" si="13"/>
        <v>1</v>
      </c>
      <c r="AY4" s="88">
        <f t="shared" si="13"/>
        <v>1</v>
      </c>
      <c r="AZ4" s="88">
        <f t="shared" si="13"/>
        <v>1</v>
      </c>
      <c r="BA4" s="88">
        <f t="shared" si="13"/>
        <v>1</v>
      </c>
      <c r="BB4" s="88">
        <f t="shared" si="13"/>
        <v>1</v>
      </c>
      <c r="BC4" s="88">
        <f t="shared" si="13"/>
        <v>1</v>
      </c>
      <c r="BD4" s="88">
        <f t="shared" si="13"/>
        <v>1</v>
      </c>
      <c r="BE4" s="88">
        <f t="shared" si="13"/>
        <v>1</v>
      </c>
      <c r="BF4" s="88">
        <f t="shared" si="13"/>
        <v>1</v>
      </c>
      <c r="BG4" s="88">
        <f t="shared" si="13"/>
        <v>1</v>
      </c>
      <c r="BH4" s="88">
        <f t="shared" si="13"/>
        <v>1</v>
      </c>
      <c r="BI4" s="88">
        <f t="shared" si="13"/>
        <v>1</v>
      </c>
      <c r="BJ4" s="88">
        <f t="shared" si="13"/>
        <v>1</v>
      </c>
      <c r="BK4" s="88">
        <f t="shared" si="13"/>
        <v>1</v>
      </c>
      <c r="BL4" s="88">
        <f t="shared" si="13"/>
        <v>1</v>
      </c>
      <c r="BM4" s="88">
        <f t="shared" si="13"/>
        <v>1</v>
      </c>
      <c r="BN4" s="88">
        <f t="shared" si="13"/>
        <v>1</v>
      </c>
      <c r="BO4" s="88">
        <f t="shared" si="13"/>
        <v>1</v>
      </c>
      <c r="BP4" s="88">
        <f t="shared" si="13"/>
        <v>1</v>
      </c>
      <c r="BQ4" s="88">
        <f t="shared" si="13"/>
        <v>1</v>
      </c>
      <c r="BR4" s="88">
        <f t="shared" si="13"/>
        <v>1</v>
      </c>
      <c r="BS4" s="88">
        <f t="shared" si="13"/>
        <v>1</v>
      </c>
      <c r="BT4" s="88">
        <f t="shared" si="13"/>
        <v>1</v>
      </c>
      <c r="BU4" s="88">
        <f t="shared" si="13"/>
        <v>1</v>
      </c>
      <c r="BV4" s="88">
        <f t="shared" si="13"/>
        <v>1</v>
      </c>
      <c r="BW4" s="88">
        <f t="shared" si="13"/>
        <v>1</v>
      </c>
      <c r="BX4" s="88">
        <f t="shared" si="13"/>
        <v>1</v>
      </c>
      <c r="BY4" s="88">
        <f t="shared" si="13"/>
        <v>1</v>
      </c>
      <c r="BZ4" s="88">
        <f t="shared" si="13"/>
        <v>1</v>
      </c>
      <c r="CA4" s="88">
        <f t="shared" si="13"/>
        <v>1</v>
      </c>
      <c r="CB4" s="88">
        <f t="shared" si="13"/>
        <v>1</v>
      </c>
      <c r="CC4" s="88">
        <f t="shared" si="13"/>
        <v>1</v>
      </c>
      <c r="CD4" s="88">
        <f t="shared" si="13"/>
        <v>1</v>
      </c>
      <c r="CE4" s="88">
        <f t="shared" si="13"/>
        <v>1</v>
      </c>
      <c r="CF4" s="88">
        <f t="shared" si="13"/>
        <v>1</v>
      </c>
      <c r="CG4" s="88">
        <f t="shared" si="13"/>
        <v>1</v>
      </c>
      <c r="CH4" s="88">
        <f t="shared" si="13"/>
        <v>1</v>
      </c>
      <c r="CI4" s="88">
        <f t="shared" si="13"/>
        <v>1</v>
      </c>
      <c r="CJ4" s="88">
        <f t="shared" si="13"/>
        <v>1</v>
      </c>
      <c r="CK4" s="88">
        <f t="shared" si="13"/>
        <v>1</v>
      </c>
      <c r="CL4" s="88">
        <f t="shared" si="13"/>
        <v>1</v>
      </c>
      <c r="CM4" s="88">
        <f t="shared" si="13"/>
        <v>1</v>
      </c>
      <c r="CN4" s="88">
        <f t="shared" si="13"/>
        <v>1</v>
      </c>
      <c r="CO4" s="88">
        <f t="shared" si="13"/>
        <v>1</v>
      </c>
      <c r="CP4" s="88">
        <f t="shared" si="13"/>
        <v>1</v>
      </c>
      <c r="CQ4" s="88">
        <f t="shared" si="13"/>
        <v>1</v>
      </c>
      <c r="CR4" s="88">
        <f t="shared" si="13"/>
        <v>1</v>
      </c>
      <c r="CS4" s="88">
        <f t="shared" ref="CS4:FD4" si="14">IF(CS1&gt;=$P$16,1,IF(AND(CS1&gt;=$P$15,CS1&lt;$P$16),(CS1-$P$15+1)/$P$17,0))</f>
        <v>1</v>
      </c>
      <c r="CT4" s="88">
        <f t="shared" si="14"/>
        <v>1</v>
      </c>
      <c r="CU4" s="88">
        <f t="shared" si="14"/>
        <v>1</v>
      </c>
      <c r="CV4" s="88">
        <f t="shared" si="14"/>
        <v>1</v>
      </c>
      <c r="CW4" s="88">
        <f t="shared" si="14"/>
        <v>1</v>
      </c>
      <c r="CX4" s="88">
        <f t="shared" si="14"/>
        <v>1</v>
      </c>
      <c r="CY4" s="88">
        <f t="shared" si="14"/>
        <v>1</v>
      </c>
      <c r="CZ4" s="88">
        <f t="shared" si="14"/>
        <v>1</v>
      </c>
      <c r="DA4" s="88">
        <f t="shared" si="14"/>
        <v>1</v>
      </c>
      <c r="DB4" s="88">
        <f t="shared" si="14"/>
        <v>1</v>
      </c>
      <c r="DC4" s="88">
        <f t="shared" si="14"/>
        <v>1</v>
      </c>
      <c r="DD4" s="88">
        <f t="shared" si="14"/>
        <v>1</v>
      </c>
      <c r="DE4" s="88">
        <f t="shared" si="14"/>
        <v>1</v>
      </c>
      <c r="DF4" s="88">
        <f t="shared" si="14"/>
        <v>1</v>
      </c>
      <c r="DG4" s="88">
        <f t="shared" si="14"/>
        <v>1</v>
      </c>
      <c r="DH4" s="88">
        <f t="shared" si="14"/>
        <v>1</v>
      </c>
      <c r="DI4" s="88">
        <f t="shared" si="14"/>
        <v>1</v>
      </c>
      <c r="DJ4" s="88">
        <f t="shared" si="14"/>
        <v>1</v>
      </c>
      <c r="DK4" s="88">
        <f t="shared" si="14"/>
        <v>1</v>
      </c>
      <c r="DL4" s="88">
        <f t="shared" si="14"/>
        <v>1</v>
      </c>
      <c r="DM4" s="88">
        <f t="shared" si="14"/>
        <v>1</v>
      </c>
      <c r="DN4" s="88">
        <f t="shared" si="14"/>
        <v>1</v>
      </c>
      <c r="DO4" s="88">
        <f t="shared" si="14"/>
        <v>1</v>
      </c>
      <c r="DP4" s="88">
        <f t="shared" si="14"/>
        <v>1</v>
      </c>
      <c r="DQ4" s="88">
        <f t="shared" si="14"/>
        <v>1</v>
      </c>
      <c r="DR4" s="88">
        <f t="shared" si="14"/>
        <v>1</v>
      </c>
      <c r="DS4" s="88">
        <f t="shared" si="14"/>
        <v>1</v>
      </c>
      <c r="DT4" s="88">
        <f t="shared" si="14"/>
        <v>1</v>
      </c>
      <c r="DU4" s="88">
        <f t="shared" si="14"/>
        <v>1</v>
      </c>
      <c r="DV4" s="88">
        <f t="shared" si="14"/>
        <v>1</v>
      </c>
      <c r="DW4" s="88">
        <f t="shared" si="14"/>
        <v>1</v>
      </c>
      <c r="DX4" s="88">
        <f t="shared" si="14"/>
        <v>1</v>
      </c>
      <c r="DY4" s="88">
        <f t="shared" si="14"/>
        <v>1</v>
      </c>
      <c r="DZ4" s="88">
        <f t="shared" si="14"/>
        <v>1</v>
      </c>
      <c r="EA4" s="88">
        <f t="shared" si="14"/>
        <v>1</v>
      </c>
      <c r="EB4" s="88">
        <f t="shared" si="14"/>
        <v>1</v>
      </c>
      <c r="EC4" s="88">
        <f t="shared" si="14"/>
        <v>1</v>
      </c>
      <c r="ED4" s="88">
        <f t="shared" si="14"/>
        <v>1</v>
      </c>
      <c r="EE4" s="88">
        <f t="shared" si="14"/>
        <v>1</v>
      </c>
      <c r="EF4" s="88">
        <f t="shared" si="14"/>
        <v>1</v>
      </c>
      <c r="EG4" s="88">
        <f t="shared" si="14"/>
        <v>1</v>
      </c>
      <c r="EH4" s="88">
        <f t="shared" si="14"/>
        <v>1</v>
      </c>
      <c r="EI4" s="88">
        <f t="shared" si="14"/>
        <v>1</v>
      </c>
      <c r="EJ4" s="88">
        <f t="shared" si="14"/>
        <v>1</v>
      </c>
      <c r="EK4" s="88">
        <f t="shared" si="14"/>
        <v>1</v>
      </c>
      <c r="EL4" s="88">
        <f t="shared" si="14"/>
        <v>1</v>
      </c>
      <c r="EM4" s="88">
        <f t="shared" si="14"/>
        <v>1</v>
      </c>
      <c r="EN4" s="88">
        <f t="shared" si="14"/>
        <v>1</v>
      </c>
      <c r="EO4" s="88">
        <f t="shared" si="14"/>
        <v>1</v>
      </c>
      <c r="EP4" s="88">
        <f t="shared" si="14"/>
        <v>1</v>
      </c>
      <c r="EQ4" s="88">
        <f t="shared" si="14"/>
        <v>1</v>
      </c>
      <c r="ER4" s="88">
        <f t="shared" si="14"/>
        <v>1</v>
      </c>
      <c r="ES4" s="88">
        <f t="shared" si="14"/>
        <v>1</v>
      </c>
      <c r="ET4" s="88">
        <f t="shared" si="14"/>
        <v>1</v>
      </c>
      <c r="EU4" s="88">
        <f t="shared" si="14"/>
        <v>1</v>
      </c>
      <c r="EV4" s="88">
        <f t="shared" si="14"/>
        <v>1</v>
      </c>
      <c r="EW4" s="88">
        <f t="shared" si="14"/>
        <v>1</v>
      </c>
      <c r="EX4" s="88">
        <f t="shared" si="14"/>
        <v>1</v>
      </c>
      <c r="EY4" s="88">
        <f t="shared" si="14"/>
        <v>1</v>
      </c>
      <c r="EZ4" s="88">
        <f t="shared" si="14"/>
        <v>1</v>
      </c>
      <c r="FA4" s="88">
        <f t="shared" si="14"/>
        <v>1</v>
      </c>
      <c r="FB4" s="88">
        <f t="shared" si="14"/>
        <v>1</v>
      </c>
      <c r="FC4" s="88">
        <f t="shared" si="14"/>
        <v>1</v>
      </c>
      <c r="FD4" s="88">
        <f t="shared" si="14"/>
        <v>1</v>
      </c>
      <c r="FE4" s="88">
        <f t="shared" ref="FE4:FG4" si="15">IF(FE1&gt;=$P$16,1,IF(AND(FE1&gt;=$P$15,FE1&lt;$P$16),(FE1-$P$15+1)/$P$17,0))</f>
        <v>1</v>
      </c>
      <c r="FF4" s="88">
        <f t="shared" si="15"/>
        <v>1</v>
      </c>
      <c r="FG4" s="90">
        <f t="shared" si="15"/>
        <v>1</v>
      </c>
    </row>
    <row r="5" spans="1:164" x14ac:dyDescent="0.35">
      <c r="A5" s="44">
        <v>0</v>
      </c>
      <c r="B5" s="45" t="s">
        <v>83</v>
      </c>
      <c r="C5" s="51">
        <v>0</v>
      </c>
      <c r="D5" s="52">
        <v>0</v>
      </c>
      <c r="E5" s="53">
        <f>IFERROR(D5/C5,0)</f>
        <v>0</v>
      </c>
      <c r="G5" s="60">
        <f t="shared" si="11"/>
        <v>0</v>
      </c>
      <c r="H5" s="61" t="str">
        <f t="shared" si="8"/>
        <v>2BR - 2BA</v>
      </c>
      <c r="I5" s="62">
        <f t="shared" si="9"/>
        <v>0</v>
      </c>
      <c r="J5" s="52">
        <v>0</v>
      </c>
      <c r="K5" s="53">
        <f>IFERROR(J5/I5,0)</f>
        <v>0</v>
      </c>
      <c r="M5" s="28">
        <f t="shared" si="12"/>
        <v>0</v>
      </c>
      <c r="O5" s="5" t="s">
        <v>91</v>
      </c>
      <c r="P5" s="66">
        <v>5</v>
      </c>
      <c r="R5" s="5" t="s">
        <v>104</v>
      </c>
      <c r="S5" s="76">
        <v>0</v>
      </c>
      <c r="T5" s="76">
        <v>0</v>
      </c>
      <c r="U5" s="76">
        <v>0</v>
      </c>
      <c r="V5" s="76">
        <v>0</v>
      </c>
      <c r="W5" s="76">
        <v>0</v>
      </c>
      <c r="X5" s="76">
        <v>0</v>
      </c>
      <c r="Y5" s="76">
        <v>0</v>
      </c>
      <c r="Z5" s="76">
        <v>0</v>
      </c>
      <c r="AA5" s="76">
        <v>0</v>
      </c>
      <c r="AB5" s="76">
        <v>0</v>
      </c>
      <c r="AC5" s="77">
        <v>0</v>
      </c>
      <c r="AE5" s="14" t="s">
        <v>110</v>
      </c>
      <c r="AF5" s="91">
        <f>AF3*AF4+AF2*(1-AF4)</f>
        <v>245000.00000000003</v>
      </c>
      <c r="AG5" s="91">
        <f t="shared" ref="AG5:CR5" si="16">AG3*AG4+AG2*(1-AG4)</f>
        <v>245998.16032699388</v>
      </c>
      <c r="AH5" s="91">
        <f t="shared" si="16"/>
        <v>247000.38728271582</v>
      </c>
      <c r="AI5" s="91">
        <f t="shared" si="16"/>
        <v>248006.69743511468</v>
      </c>
      <c r="AJ5" s="91">
        <f t="shared" si="16"/>
        <v>250033.50377645402</v>
      </c>
      <c r="AK5" s="91">
        <f t="shared" si="16"/>
        <v>252072.70850228437</v>
      </c>
      <c r="AL5" s="91">
        <f t="shared" si="16"/>
        <v>254124.37899579815</v>
      </c>
      <c r="AM5" s="91">
        <f t="shared" si="16"/>
        <v>256188.58298344829</v>
      </c>
      <c r="AN5" s="91">
        <f t="shared" si="16"/>
        <v>258265.38853662682</v>
      </c>
      <c r="AO5" s="91">
        <f t="shared" si="16"/>
        <v>260354.86407335135</v>
      </c>
      <c r="AP5" s="91">
        <f t="shared" si="16"/>
        <v>262457.07835995936</v>
      </c>
      <c r="AQ5" s="92">
        <f t="shared" si="16"/>
        <v>264572.10051281116</v>
      </c>
      <c r="AR5" s="92">
        <f t="shared" si="16"/>
        <v>266700.00000000023</v>
      </c>
      <c r="AS5" s="92">
        <f t="shared" si="16"/>
        <v>268626.54382668395</v>
      </c>
      <c r="AT5" s="92">
        <f t="shared" si="16"/>
        <v>270562.84333654738</v>
      </c>
      <c r="AU5" s="92">
        <f t="shared" si="16"/>
        <v>271448.59568036307</v>
      </c>
      <c r="AV5" s="92">
        <f t="shared" si="16"/>
        <v>272337.24774686393</v>
      </c>
      <c r="AW5" s="92">
        <f t="shared" si="16"/>
        <v>273228.80902898742</v>
      </c>
      <c r="AX5" s="92">
        <f t="shared" si="16"/>
        <v>274123.28905074846</v>
      </c>
      <c r="AY5" s="92">
        <f t="shared" si="16"/>
        <v>275020.69736734108</v>
      </c>
      <c r="AZ5" s="92">
        <f t="shared" si="16"/>
        <v>275921.04356524063</v>
      </c>
      <c r="BA5" s="92">
        <f t="shared" si="16"/>
        <v>276824.33726230601</v>
      </c>
      <c r="BB5" s="92">
        <f t="shared" si="16"/>
        <v>277730.58810788248</v>
      </c>
      <c r="BC5" s="92">
        <f t="shared" si="16"/>
        <v>278639.80578290473</v>
      </c>
      <c r="BD5" s="92">
        <f t="shared" si="16"/>
        <v>279552.00000000041</v>
      </c>
      <c r="BE5" s="92">
        <f t="shared" si="16"/>
        <v>280241.45064738742</v>
      </c>
      <c r="BF5" s="92">
        <f t="shared" si="16"/>
        <v>280932.60166606563</v>
      </c>
      <c r="BG5" s="92">
        <f t="shared" si="16"/>
        <v>281625.45724960929</v>
      </c>
      <c r="BH5" s="92">
        <f t="shared" si="16"/>
        <v>282320.02160193521</v>
      </c>
      <c r="BI5" s="92">
        <f t="shared" si="16"/>
        <v>283016.29893732816</v>
      </c>
      <c r="BJ5" s="92">
        <f t="shared" si="16"/>
        <v>283714.29348046653</v>
      </c>
      <c r="BK5" s="92">
        <f t="shared" si="16"/>
        <v>284414.00946644793</v>
      </c>
      <c r="BL5" s="92">
        <f t="shared" si="16"/>
        <v>285115.45114081469</v>
      </c>
      <c r="BM5" s="92">
        <f t="shared" si="16"/>
        <v>285818.62275958003</v>
      </c>
      <c r="BN5" s="92">
        <f t="shared" si="16"/>
        <v>286523.52858925343</v>
      </c>
      <c r="BO5" s="92">
        <f t="shared" si="16"/>
        <v>287230.17290686688</v>
      </c>
      <c r="BP5" s="92">
        <f t="shared" si="16"/>
        <v>287938.56000000064</v>
      </c>
      <c r="BQ5" s="92">
        <f t="shared" si="16"/>
        <v>288648.69416680926</v>
      </c>
      <c r="BR5" s="92">
        <f t="shared" si="16"/>
        <v>289360.5797160478</v>
      </c>
      <c r="BS5" s="92">
        <f t="shared" si="16"/>
        <v>290074.22096709773</v>
      </c>
      <c r="BT5" s="92">
        <f t="shared" si="16"/>
        <v>290789.62224999344</v>
      </c>
      <c r="BU5" s="92">
        <f t="shared" si="16"/>
        <v>291506.78790544823</v>
      </c>
      <c r="BV5" s="92">
        <f t="shared" si="16"/>
        <v>292225.72228488076</v>
      </c>
      <c r="BW5" s="92">
        <f t="shared" si="16"/>
        <v>292946.42975044157</v>
      </c>
      <c r="BX5" s="92">
        <f t="shared" si="16"/>
        <v>293668.91467503936</v>
      </c>
      <c r="BY5" s="92">
        <f t="shared" si="16"/>
        <v>294393.18144236761</v>
      </c>
      <c r="BZ5" s="92">
        <f t="shared" si="16"/>
        <v>295119.23444693122</v>
      </c>
      <c r="CA5" s="92">
        <f t="shared" si="16"/>
        <v>295847.07809407311</v>
      </c>
      <c r="CB5" s="92">
        <f t="shared" si="16"/>
        <v>296576.71680000087</v>
      </c>
      <c r="CC5" s="92">
        <f t="shared" si="16"/>
        <v>297308.15499181376</v>
      </c>
      <c r="CD5" s="92">
        <f t="shared" si="16"/>
        <v>298041.39710752945</v>
      </c>
      <c r="CE5" s="92">
        <f t="shared" si="16"/>
        <v>298776.44759611093</v>
      </c>
      <c r="CF5" s="92">
        <f t="shared" si="16"/>
        <v>299513.31091749348</v>
      </c>
      <c r="CG5" s="92">
        <f t="shared" si="16"/>
        <v>300251.99154261191</v>
      </c>
      <c r="CH5" s="92">
        <f t="shared" si="16"/>
        <v>300992.49395342742</v>
      </c>
      <c r="CI5" s="92">
        <f t="shared" si="16"/>
        <v>301734.82264295506</v>
      </c>
      <c r="CJ5" s="92">
        <f t="shared" si="16"/>
        <v>302478.98211529077</v>
      </c>
      <c r="CK5" s="92">
        <f t="shared" si="16"/>
        <v>303224.9768856389</v>
      </c>
      <c r="CL5" s="92">
        <f t="shared" si="16"/>
        <v>303972.81148033944</v>
      </c>
      <c r="CM5" s="92">
        <f t="shared" si="16"/>
        <v>304722.49043689558</v>
      </c>
      <c r="CN5" s="92">
        <f t="shared" si="16"/>
        <v>305474.01830400119</v>
      </c>
      <c r="CO5" s="92">
        <f t="shared" si="16"/>
        <v>306227.39964156848</v>
      </c>
      <c r="CP5" s="92">
        <f t="shared" si="16"/>
        <v>306982.63902075565</v>
      </c>
      <c r="CQ5" s="92">
        <f t="shared" si="16"/>
        <v>307739.74102399457</v>
      </c>
      <c r="CR5" s="92">
        <f t="shared" si="16"/>
        <v>308498.71024501859</v>
      </c>
      <c r="CS5" s="92">
        <f t="shared" ref="CS5:FD5" si="17">CS3*CS4+CS2*(1-CS4)</f>
        <v>309259.55128889054</v>
      </c>
      <c r="CT5" s="92">
        <f t="shared" si="17"/>
        <v>310022.26877203054</v>
      </c>
      <c r="CU5" s="92">
        <f t="shared" si="17"/>
        <v>310786.86732224398</v>
      </c>
      <c r="CV5" s="92">
        <f t="shared" si="17"/>
        <v>311553.35157874977</v>
      </c>
      <c r="CW5" s="92">
        <f t="shared" si="17"/>
        <v>312321.72619220836</v>
      </c>
      <c r="CX5" s="92">
        <f t="shared" si="17"/>
        <v>313091.99582474993</v>
      </c>
      <c r="CY5" s="92">
        <f t="shared" si="17"/>
        <v>313864.16515000275</v>
      </c>
      <c r="CZ5" s="92">
        <f t="shared" si="17"/>
        <v>314638.23885312153</v>
      </c>
      <c r="DA5" s="92">
        <f t="shared" si="17"/>
        <v>315414.22163081582</v>
      </c>
      <c r="DB5" s="92">
        <f t="shared" si="17"/>
        <v>316192.1181913786</v>
      </c>
      <c r="DC5" s="92">
        <f t="shared" si="17"/>
        <v>316971.93325471465</v>
      </c>
      <c r="DD5" s="92">
        <f t="shared" si="17"/>
        <v>317753.67155236943</v>
      </c>
      <c r="DE5" s="92">
        <f t="shared" si="17"/>
        <v>318537.33782755752</v>
      </c>
      <c r="DF5" s="92">
        <f t="shared" si="17"/>
        <v>319322.93683519174</v>
      </c>
      <c r="DG5" s="92">
        <f t="shared" si="17"/>
        <v>320110.47334191162</v>
      </c>
      <c r="DH5" s="92">
        <f t="shared" si="17"/>
        <v>320899.95212611259</v>
      </c>
      <c r="DI5" s="92">
        <f t="shared" si="17"/>
        <v>321691.37797797495</v>
      </c>
      <c r="DJ5" s="92">
        <f t="shared" si="17"/>
        <v>322484.75569949276</v>
      </c>
      <c r="DK5" s="92">
        <f t="shared" si="17"/>
        <v>323280.09010450315</v>
      </c>
      <c r="DL5" s="92">
        <f t="shared" si="17"/>
        <v>324077.38601871551</v>
      </c>
      <c r="DM5" s="92">
        <f t="shared" si="17"/>
        <v>324876.64827974065</v>
      </c>
      <c r="DN5" s="92">
        <f t="shared" si="17"/>
        <v>325677.88173712033</v>
      </c>
      <c r="DO5" s="92">
        <f t="shared" si="17"/>
        <v>326481.09125235648</v>
      </c>
      <c r="DP5" s="92">
        <f t="shared" si="17"/>
        <v>327286.2816989409</v>
      </c>
      <c r="DQ5" s="92">
        <f t="shared" si="17"/>
        <v>328093.45796238468</v>
      </c>
      <c r="DR5" s="92">
        <f t="shared" si="17"/>
        <v>328902.62494024792</v>
      </c>
      <c r="DS5" s="92">
        <f t="shared" si="17"/>
        <v>329713.78754216939</v>
      </c>
      <c r="DT5" s="92">
        <f t="shared" si="17"/>
        <v>330526.95068989642</v>
      </c>
      <c r="DU5" s="92">
        <f t="shared" si="17"/>
        <v>331342.11931731465</v>
      </c>
      <c r="DV5" s="92">
        <f t="shared" si="17"/>
        <v>332159.29837047798</v>
      </c>
      <c r="DW5" s="92">
        <f t="shared" si="17"/>
        <v>332978.49280763872</v>
      </c>
      <c r="DX5" s="92">
        <f t="shared" si="17"/>
        <v>333799.70759927743</v>
      </c>
      <c r="DY5" s="92">
        <f t="shared" si="17"/>
        <v>334622.94772813335</v>
      </c>
      <c r="DZ5" s="92">
        <f t="shared" si="17"/>
        <v>335448.21818923438</v>
      </c>
      <c r="EA5" s="92">
        <f t="shared" si="17"/>
        <v>336275.52398992761</v>
      </c>
      <c r="EB5" s="92">
        <f t="shared" si="17"/>
        <v>337104.87014990952</v>
      </c>
      <c r="EC5" s="92">
        <f t="shared" si="17"/>
        <v>337936.26170125662</v>
      </c>
      <c r="ED5" s="92">
        <f t="shared" si="17"/>
        <v>338769.70368845575</v>
      </c>
      <c r="EE5" s="92">
        <f t="shared" si="17"/>
        <v>339605.20116843487</v>
      </c>
      <c r="EF5" s="92">
        <f t="shared" si="17"/>
        <v>340442.75921059371</v>
      </c>
      <c r="EG5" s="92">
        <f t="shared" si="17"/>
        <v>341282.38289683446</v>
      </c>
      <c r="EH5" s="92">
        <f t="shared" si="17"/>
        <v>342124.07732159272</v>
      </c>
      <c r="EI5" s="92">
        <f t="shared" si="17"/>
        <v>342967.84759186825</v>
      </c>
      <c r="EJ5" s="92">
        <f t="shared" si="17"/>
        <v>343813.69882725616</v>
      </c>
      <c r="EK5" s="92">
        <f t="shared" si="17"/>
        <v>344661.63615997776</v>
      </c>
      <c r="EL5" s="92">
        <f t="shared" si="17"/>
        <v>345511.66473491187</v>
      </c>
      <c r="EM5" s="92">
        <f t="shared" si="17"/>
        <v>346363.78970962588</v>
      </c>
      <c r="EN5" s="92">
        <f t="shared" si="17"/>
        <v>347218.0162544073</v>
      </c>
      <c r="EO5" s="92">
        <f t="shared" si="17"/>
        <v>348074.34955229476</v>
      </c>
      <c r="EP5" s="92">
        <f t="shared" si="17"/>
        <v>348932.79479910986</v>
      </c>
      <c r="EQ5" s="92">
        <f t="shared" si="17"/>
        <v>349793.35720348835</v>
      </c>
      <c r="ER5" s="92">
        <f t="shared" si="17"/>
        <v>350656.04198691197</v>
      </c>
      <c r="ES5" s="92">
        <f t="shared" si="17"/>
        <v>351520.85438373993</v>
      </c>
      <c r="ET5" s="92">
        <f t="shared" si="17"/>
        <v>352387.79964124091</v>
      </c>
      <c r="EU5" s="92">
        <f t="shared" si="17"/>
        <v>353256.88301962469</v>
      </c>
      <c r="EV5" s="92">
        <f t="shared" si="17"/>
        <v>354128.10979207419</v>
      </c>
      <c r="EW5" s="92">
        <f t="shared" si="17"/>
        <v>355001.4852447774</v>
      </c>
      <c r="EX5" s="92">
        <f t="shared" si="17"/>
        <v>355877.01467695949</v>
      </c>
      <c r="EY5" s="92">
        <f t="shared" si="17"/>
        <v>356754.70340091496</v>
      </c>
      <c r="EZ5" s="92">
        <f t="shared" si="17"/>
        <v>357634.5567420398</v>
      </c>
      <c r="FA5" s="92">
        <f t="shared" si="17"/>
        <v>358516.58003886393</v>
      </c>
      <c r="FB5" s="92">
        <f t="shared" si="17"/>
        <v>359400.77864308347</v>
      </c>
      <c r="FC5" s="92">
        <f t="shared" si="17"/>
        <v>360287.15791959333</v>
      </c>
      <c r="FD5" s="92">
        <f t="shared" si="17"/>
        <v>361175.72324651963</v>
      </c>
      <c r="FE5" s="92">
        <f t="shared" ref="FE5:FG5" si="18">FE3*FE4+FE2*(1-FE4)</f>
        <v>362066.48001525243</v>
      </c>
      <c r="FF5" s="92">
        <f t="shared" si="18"/>
        <v>362959.43363047845</v>
      </c>
      <c r="FG5" s="93">
        <f t="shared" si="18"/>
        <v>363854.58951021376</v>
      </c>
    </row>
    <row r="6" spans="1:164" x14ac:dyDescent="0.35">
      <c r="A6" s="44">
        <v>0</v>
      </c>
      <c r="B6" s="45" t="s">
        <v>83</v>
      </c>
      <c r="C6" s="51">
        <v>0</v>
      </c>
      <c r="D6" s="52">
        <v>0</v>
      </c>
      <c r="E6" s="53">
        <f t="shared" ref="E6:E23" si="19">IFERROR(D6/C6,0)</f>
        <v>0</v>
      </c>
      <c r="G6" s="60">
        <f t="shared" si="11"/>
        <v>0</v>
      </c>
      <c r="H6" s="61" t="str">
        <f t="shared" si="8"/>
        <v>2BR - 2BA</v>
      </c>
      <c r="I6" s="62">
        <f t="shared" si="9"/>
        <v>0</v>
      </c>
      <c r="J6" s="52">
        <v>0</v>
      </c>
      <c r="K6" s="53">
        <f t="shared" ref="K6:K23" si="20">IFERROR(J6/I6,0)</f>
        <v>0</v>
      </c>
      <c r="M6" s="28">
        <f t="shared" si="12"/>
        <v>0</v>
      </c>
      <c r="O6" s="5" t="s">
        <v>92</v>
      </c>
      <c r="P6" s="66">
        <v>0</v>
      </c>
      <c r="R6" s="14" t="s">
        <v>105</v>
      </c>
      <c r="S6" s="74">
        <f>SUM(S2:S5)</f>
        <v>7.9999999999999988E-2</v>
      </c>
      <c r="T6" s="74">
        <f t="shared" ref="T6:AC6" si="21">SUM(T2:T5)</f>
        <v>6.7500000000000004E-2</v>
      </c>
      <c r="U6" s="74">
        <f t="shared" si="21"/>
        <v>5.5E-2</v>
      </c>
      <c r="V6" s="74">
        <f t="shared" si="21"/>
        <v>5.5E-2</v>
      </c>
      <c r="W6" s="74">
        <f t="shared" si="21"/>
        <v>5.5E-2</v>
      </c>
      <c r="X6" s="74">
        <f t="shared" si="21"/>
        <v>5.5E-2</v>
      </c>
      <c r="Y6" s="74">
        <f t="shared" si="21"/>
        <v>5.5E-2</v>
      </c>
      <c r="Z6" s="74">
        <f t="shared" si="21"/>
        <v>5.5E-2</v>
      </c>
      <c r="AA6" s="74">
        <f t="shared" si="21"/>
        <v>5.5E-2</v>
      </c>
      <c r="AB6" s="74">
        <f t="shared" si="21"/>
        <v>5.5E-2</v>
      </c>
      <c r="AC6" s="75">
        <f t="shared" si="21"/>
        <v>5.5E-2</v>
      </c>
    </row>
    <row r="7" spans="1:164" x14ac:dyDescent="0.35">
      <c r="A7" s="44">
        <v>0</v>
      </c>
      <c r="B7" s="45" t="s">
        <v>83</v>
      </c>
      <c r="C7" s="51">
        <v>0</v>
      </c>
      <c r="D7" s="52">
        <v>0</v>
      </c>
      <c r="E7" s="53">
        <f t="shared" si="19"/>
        <v>0</v>
      </c>
      <c r="G7" s="60">
        <f t="shared" si="11"/>
        <v>0</v>
      </c>
      <c r="H7" s="61" t="str">
        <f t="shared" si="8"/>
        <v>2BR - 2BA</v>
      </c>
      <c r="I7" s="62">
        <f t="shared" si="9"/>
        <v>0</v>
      </c>
      <c r="J7" s="52">
        <v>0</v>
      </c>
      <c r="K7" s="53">
        <f t="shared" si="20"/>
        <v>0</v>
      </c>
      <c r="M7" s="28">
        <f t="shared" si="12"/>
        <v>0</v>
      </c>
      <c r="O7" s="5" t="s">
        <v>93</v>
      </c>
      <c r="P7" s="66">
        <v>0</v>
      </c>
      <c r="AG7" s="73"/>
      <c r="AR7" s="73"/>
    </row>
    <row r="8" spans="1:164" x14ac:dyDescent="0.35">
      <c r="A8" s="44">
        <v>0</v>
      </c>
      <c r="B8" s="45" t="s">
        <v>83</v>
      </c>
      <c r="C8" s="51">
        <v>0</v>
      </c>
      <c r="D8" s="52">
        <v>0</v>
      </c>
      <c r="E8" s="53">
        <f t="shared" si="19"/>
        <v>0</v>
      </c>
      <c r="G8" s="60">
        <f t="shared" si="11"/>
        <v>0</v>
      </c>
      <c r="H8" s="61" t="str">
        <f t="shared" si="8"/>
        <v>2BR - 2BA</v>
      </c>
      <c r="I8" s="62">
        <f t="shared" si="9"/>
        <v>0</v>
      </c>
      <c r="J8" s="52">
        <v>0</v>
      </c>
      <c r="K8" s="53">
        <f t="shared" si="20"/>
        <v>0</v>
      </c>
      <c r="M8" s="28">
        <f t="shared" si="12"/>
        <v>0</v>
      </c>
      <c r="O8" s="5" t="s">
        <v>94</v>
      </c>
      <c r="P8" s="66">
        <v>5</v>
      </c>
      <c r="R8" s="70"/>
      <c r="S8" s="71">
        <v>1</v>
      </c>
      <c r="T8" s="71">
        <f>S8+1</f>
        <v>2</v>
      </c>
      <c r="U8" s="71">
        <f t="shared" ref="U8:AC8" si="22">T8+1</f>
        <v>3</v>
      </c>
      <c r="V8" s="71">
        <f t="shared" si="22"/>
        <v>4</v>
      </c>
      <c r="W8" s="71">
        <f t="shared" si="22"/>
        <v>5</v>
      </c>
      <c r="X8" s="71">
        <f t="shared" si="22"/>
        <v>6</v>
      </c>
      <c r="Y8" s="71">
        <f t="shared" si="22"/>
        <v>7</v>
      </c>
      <c r="Z8" s="71">
        <f t="shared" si="22"/>
        <v>8</v>
      </c>
      <c r="AA8" s="71">
        <f t="shared" si="22"/>
        <v>9</v>
      </c>
      <c r="AB8" s="71">
        <f t="shared" si="22"/>
        <v>10</v>
      </c>
      <c r="AC8" s="72">
        <f t="shared" si="22"/>
        <v>11</v>
      </c>
    </row>
    <row r="9" spans="1:164" x14ac:dyDescent="0.35">
      <c r="A9" s="44">
        <v>0</v>
      </c>
      <c r="B9" s="45" t="s">
        <v>83</v>
      </c>
      <c r="C9" s="51">
        <v>0</v>
      </c>
      <c r="D9" s="52">
        <v>0</v>
      </c>
      <c r="E9" s="53">
        <f t="shared" si="19"/>
        <v>0</v>
      </c>
      <c r="G9" s="60">
        <f t="shared" si="11"/>
        <v>0</v>
      </c>
      <c r="H9" s="61" t="str">
        <f t="shared" si="8"/>
        <v>2BR - 2BA</v>
      </c>
      <c r="I9" s="62">
        <f t="shared" si="9"/>
        <v>0</v>
      </c>
      <c r="J9" s="52">
        <v>0</v>
      </c>
      <c r="K9" s="53">
        <f t="shared" si="20"/>
        <v>0</v>
      </c>
      <c r="M9" s="28">
        <f t="shared" si="12"/>
        <v>0</v>
      </c>
      <c r="O9" s="5" t="s">
        <v>95</v>
      </c>
      <c r="P9" s="66">
        <v>0</v>
      </c>
      <c r="R9" s="4" t="s">
        <v>106</v>
      </c>
      <c r="S9" s="78">
        <v>0.05</v>
      </c>
      <c r="T9" s="78">
        <v>0.04</v>
      </c>
      <c r="U9" s="78">
        <v>0.03</v>
      </c>
      <c r="V9" s="78">
        <v>0.03</v>
      </c>
      <c r="W9" s="78">
        <v>0.03</v>
      </c>
      <c r="X9" s="78">
        <v>0.03</v>
      </c>
      <c r="Y9" s="78">
        <v>0.03</v>
      </c>
      <c r="Z9" s="78">
        <v>0.03</v>
      </c>
      <c r="AA9" s="78">
        <v>0.03</v>
      </c>
      <c r="AB9" s="78">
        <v>0.03</v>
      </c>
      <c r="AC9" s="77">
        <v>0.03</v>
      </c>
    </row>
    <row r="10" spans="1:164" x14ac:dyDescent="0.35">
      <c r="A10" s="44">
        <v>0</v>
      </c>
      <c r="B10" s="45" t="s">
        <v>83</v>
      </c>
      <c r="C10" s="51">
        <v>0</v>
      </c>
      <c r="D10" s="52">
        <v>0</v>
      </c>
      <c r="E10" s="53">
        <f t="shared" si="19"/>
        <v>0</v>
      </c>
      <c r="G10" s="60">
        <f t="shared" si="11"/>
        <v>0</v>
      </c>
      <c r="H10" s="61" t="str">
        <f t="shared" si="8"/>
        <v>2BR - 2BA</v>
      </c>
      <c r="I10" s="62">
        <f t="shared" si="9"/>
        <v>0</v>
      </c>
      <c r="J10" s="52">
        <v>0</v>
      </c>
      <c r="K10" s="53">
        <f t="shared" si="20"/>
        <v>0</v>
      </c>
      <c r="M10" s="28">
        <f t="shared" si="12"/>
        <v>0</v>
      </c>
      <c r="O10" s="5" t="s">
        <v>95</v>
      </c>
      <c r="P10" s="66">
        <v>0</v>
      </c>
      <c r="R10" s="6" t="s">
        <v>107</v>
      </c>
      <c r="S10" s="79">
        <v>0.03</v>
      </c>
      <c r="T10" s="79">
        <v>0.03</v>
      </c>
      <c r="U10" s="79">
        <v>0.03</v>
      </c>
      <c r="V10" s="79">
        <v>0.03</v>
      </c>
      <c r="W10" s="79">
        <v>0.03</v>
      </c>
      <c r="X10" s="79">
        <v>0.03</v>
      </c>
      <c r="Y10" s="79">
        <v>0.03</v>
      </c>
      <c r="Z10" s="79">
        <v>0.03</v>
      </c>
      <c r="AA10" s="79">
        <v>0.03</v>
      </c>
      <c r="AB10" s="79">
        <v>0.03</v>
      </c>
      <c r="AC10" s="80">
        <v>0.03</v>
      </c>
    </row>
    <row r="11" spans="1:164" x14ac:dyDescent="0.35">
      <c r="A11" s="44">
        <v>0</v>
      </c>
      <c r="B11" s="45" t="s">
        <v>83</v>
      </c>
      <c r="C11" s="51">
        <v>0</v>
      </c>
      <c r="D11" s="52">
        <v>0</v>
      </c>
      <c r="E11" s="53">
        <f t="shared" si="19"/>
        <v>0</v>
      </c>
      <c r="G11" s="60">
        <f t="shared" si="11"/>
        <v>0</v>
      </c>
      <c r="H11" s="61" t="str">
        <f t="shared" si="8"/>
        <v>2BR - 2BA</v>
      </c>
      <c r="I11" s="62">
        <f t="shared" si="9"/>
        <v>0</v>
      </c>
      <c r="J11" s="52">
        <v>0</v>
      </c>
      <c r="K11" s="53">
        <f t="shared" si="20"/>
        <v>0</v>
      </c>
      <c r="M11" s="28">
        <f t="shared" si="12"/>
        <v>0</v>
      </c>
      <c r="O11" s="5" t="s">
        <v>95</v>
      </c>
      <c r="P11" s="66">
        <v>0</v>
      </c>
    </row>
    <row r="12" spans="1:164" x14ac:dyDescent="0.35">
      <c r="A12" s="44">
        <v>0</v>
      </c>
      <c r="B12" s="45" t="s">
        <v>83</v>
      </c>
      <c r="C12" s="51">
        <v>0</v>
      </c>
      <c r="D12" s="52">
        <v>0</v>
      </c>
      <c r="E12" s="53">
        <f t="shared" si="19"/>
        <v>0</v>
      </c>
      <c r="G12" s="60">
        <f t="shared" si="11"/>
        <v>0</v>
      </c>
      <c r="H12" s="61" t="str">
        <f t="shared" si="8"/>
        <v>2BR - 2BA</v>
      </c>
      <c r="I12" s="62">
        <f t="shared" si="9"/>
        <v>0</v>
      </c>
      <c r="J12" s="52">
        <v>0</v>
      </c>
      <c r="K12" s="53">
        <f t="shared" si="20"/>
        <v>0</v>
      </c>
      <c r="M12" s="28">
        <f t="shared" si="12"/>
        <v>0</v>
      </c>
      <c r="O12" s="14" t="s">
        <v>96</v>
      </c>
      <c r="P12" s="35">
        <f>SUM(P2:P11)</f>
        <v>55</v>
      </c>
    </row>
    <row r="13" spans="1:164" x14ac:dyDescent="0.35">
      <c r="A13" s="44">
        <v>0</v>
      </c>
      <c r="B13" s="45" t="s">
        <v>83</v>
      </c>
      <c r="C13" s="51">
        <v>0</v>
      </c>
      <c r="D13" s="52">
        <v>0</v>
      </c>
      <c r="E13" s="53">
        <f t="shared" si="19"/>
        <v>0</v>
      </c>
      <c r="G13" s="60">
        <f t="shared" si="11"/>
        <v>0</v>
      </c>
      <c r="H13" s="61" t="str">
        <f t="shared" si="8"/>
        <v>2BR - 2BA</v>
      </c>
      <c r="I13" s="62">
        <f t="shared" si="9"/>
        <v>0</v>
      </c>
      <c r="J13" s="52">
        <v>0</v>
      </c>
      <c r="K13" s="53">
        <f t="shared" si="20"/>
        <v>0</v>
      </c>
      <c r="M13" s="28">
        <f t="shared" si="12"/>
        <v>0</v>
      </c>
    </row>
    <row r="14" spans="1:164" x14ac:dyDescent="0.35">
      <c r="A14" s="44">
        <v>0</v>
      </c>
      <c r="B14" s="45" t="s">
        <v>83</v>
      </c>
      <c r="C14" s="51">
        <v>0</v>
      </c>
      <c r="D14" s="52">
        <v>0</v>
      </c>
      <c r="E14" s="53">
        <f t="shared" si="19"/>
        <v>0</v>
      </c>
      <c r="G14" s="60">
        <f t="shared" si="11"/>
        <v>0</v>
      </c>
      <c r="H14" s="61" t="str">
        <f t="shared" si="8"/>
        <v>2BR - 2BA</v>
      </c>
      <c r="I14" s="62">
        <f t="shared" si="9"/>
        <v>0</v>
      </c>
      <c r="J14" s="52">
        <v>0</v>
      </c>
      <c r="K14" s="53">
        <f t="shared" si="20"/>
        <v>0</v>
      </c>
      <c r="M14" s="28">
        <f t="shared" si="12"/>
        <v>0</v>
      </c>
      <c r="O14" s="2" t="s">
        <v>97</v>
      </c>
      <c r="P14" s="3"/>
    </row>
    <row r="15" spans="1:164" x14ac:dyDescent="0.35">
      <c r="A15" s="44">
        <v>0</v>
      </c>
      <c r="B15" s="45" t="s">
        <v>83</v>
      </c>
      <c r="C15" s="51">
        <v>0</v>
      </c>
      <c r="D15" s="52">
        <v>0</v>
      </c>
      <c r="E15" s="53">
        <f t="shared" si="19"/>
        <v>0</v>
      </c>
      <c r="G15" s="60">
        <f t="shared" si="11"/>
        <v>0</v>
      </c>
      <c r="H15" s="61" t="str">
        <f t="shared" si="8"/>
        <v>2BR - 2BA</v>
      </c>
      <c r="I15" s="62">
        <f t="shared" si="9"/>
        <v>0</v>
      </c>
      <c r="J15" s="52">
        <v>0</v>
      </c>
      <c r="K15" s="53">
        <f t="shared" si="20"/>
        <v>0</v>
      </c>
      <c r="M15" s="28">
        <f t="shared" si="12"/>
        <v>0</v>
      </c>
      <c r="O15" s="4" t="s">
        <v>98</v>
      </c>
      <c r="P15" s="67">
        <v>5</v>
      </c>
    </row>
    <row r="16" spans="1:164" x14ac:dyDescent="0.35">
      <c r="A16" s="44">
        <v>0</v>
      </c>
      <c r="B16" s="45" t="s">
        <v>83</v>
      </c>
      <c r="C16" s="51">
        <v>0</v>
      </c>
      <c r="D16" s="52">
        <v>0</v>
      </c>
      <c r="E16" s="53">
        <f t="shared" si="19"/>
        <v>0</v>
      </c>
      <c r="G16" s="60">
        <f t="shared" si="11"/>
        <v>0</v>
      </c>
      <c r="H16" s="61" t="str">
        <f t="shared" si="8"/>
        <v>2BR - 2BA</v>
      </c>
      <c r="I16" s="62">
        <f t="shared" si="9"/>
        <v>0</v>
      </c>
      <c r="J16" s="52">
        <v>0</v>
      </c>
      <c r="K16" s="53">
        <f t="shared" si="20"/>
        <v>0</v>
      </c>
      <c r="M16" s="28">
        <f t="shared" si="12"/>
        <v>0</v>
      </c>
      <c r="O16" s="5" t="s">
        <v>99</v>
      </c>
      <c r="P16" s="68">
        <v>15</v>
      </c>
    </row>
    <row r="17" spans="1:20" x14ac:dyDescent="0.35">
      <c r="A17" s="44">
        <v>0</v>
      </c>
      <c r="B17" s="45" t="s">
        <v>83</v>
      </c>
      <c r="C17" s="51">
        <v>0</v>
      </c>
      <c r="D17" s="52">
        <v>0</v>
      </c>
      <c r="E17" s="53">
        <f t="shared" si="19"/>
        <v>0</v>
      </c>
      <c r="G17" s="60">
        <f t="shared" si="11"/>
        <v>0</v>
      </c>
      <c r="H17" s="61" t="str">
        <f t="shared" si="8"/>
        <v>2BR - 2BA</v>
      </c>
      <c r="I17" s="62">
        <f t="shared" si="9"/>
        <v>0</v>
      </c>
      <c r="J17" s="52">
        <v>0</v>
      </c>
      <c r="K17" s="53">
        <f t="shared" si="20"/>
        <v>0</v>
      </c>
      <c r="M17" s="28">
        <f t="shared" si="12"/>
        <v>0</v>
      </c>
      <c r="O17" s="6" t="s">
        <v>100</v>
      </c>
      <c r="P17" s="69">
        <f>P16-P15+1</f>
        <v>11</v>
      </c>
    </row>
    <row r="18" spans="1:20" x14ac:dyDescent="0.35">
      <c r="A18" s="44">
        <v>0</v>
      </c>
      <c r="B18" s="45" t="s">
        <v>83</v>
      </c>
      <c r="C18" s="51">
        <v>0</v>
      </c>
      <c r="D18" s="52">
        <v>0</v>
      </c>
      <c r="E18" s="53">
        <f t="shared" si="19"/>
        <v>0</v>
      </c>
      <c r="G18" s="60">
        <f t="shared" si="11"/>
        <v>0</v>
      </c>
      <c r="H18" s="61" t="str">
        <f t="shared" si="8"/>
        <v>2BR - 2BA</v>
      </c>
      <c r="I18" s="62">
        <f t="shared" si="9"/>
        <v>0</v>
      </c>
      <c r="J18" s="52">
        <v>0</v>
      </c>
      <c r="K18" s="53">
        <f t="shared" si="20"/>
        <v>0</v>
      </c>
      <c r="M18" s="28">
        <f t="shared" si="12"/>
        <v>0</v>
      </c>
    </row>
    <row r="19" spans="1:20" x14ac:dyDescent="0.35">
      <c r="A19" s="44">
        <v>0</v>
      </c>
      <c r="B19" s="45" t="s">
        <v>83</v>
      </c>
      <c r="C19" s="51">
        <v>0</v>
      </c>
      <c r="D19" s="52">
        <v>0</v>
      </c>
      <c r="E19" s="53">
        <f t="shared" si="19"/>
        <v>0</v>
      </c>
      <c r="G19" s="60">
        <f t="shared" si="11"/>
        <v>0</v>
      </c>
      <c r="H19" s="61" t="str">
        <f t="shared" si="8"/>
        <v>2BR - 2BA</v>
      </c>
      <c r="I19" s="62">
        <f t="shared" si="9"/>
        <v>0</v>
      </c>
      <c r="J19" s="52">
        <v>0</v>
      </c>
      <c r="K19" s="53">
        <f t="shared" si="20"/>
        <v>0</v>
      </c>
      <c r="M19" s="28">
        <f t="shared" si="12"/>
        <v>0</v>
      </c>
    </row>
    <row r="20" spans="1:20" x14ac:dyDescent="0.35">
      <c r="A20" s="44">
        <v>0</v>
      </c>
      <c r="B20" s="45" t="s">
        <v>83</v>
      </c>
      <c r="C20" s="51">
        <v>0</v>
      </c>
      <c r="D20" s="52">
        <v>0</v>
      </c>
      <c r="E20" s="53">
        <f t="shared" si="19"/>
        <v>0</v>
      </c>
      <c r="G20" s="60">
        <f t="shared" si="11"/>
        <v>0</v>
      </c>
      <c r="H20" s="61" t="str">
        <f t="shared" si="8"/>
        <v>2BR - 2BA</v>
      </c>
      <c r="I20" s="62">
        <f t="shared" si="9"/>
        <v>0</v>
      </c>
      <c r="J20" s="52">
        <v>0</v>
      </c>
      <c r="K20" s="53">
        <f t="shared" si="20"/>
        <v>0</v>
      </c>
      <c r="M20" s="28">
        <f t="shared" si="12"/>
        <v>0</v>
      </c>
    </row>
    <row r="21" spans="1:20" x14ac:dyDescent="0.35">
      <c r="A21" s="44">
        <v>0</v>
      </c>
      <c r="B21" s="45" t="s">
        <v>83</v>
      </c>
      <c r="C21" s="51">
        <v>0</v>
      </c>
      <c r="D21" s="52">
        <v>0</v>
      </c>
      <c r="E21" s="53">
        <f t="shared" si="19"/>
        <v>0</v>
      </c>
      <c r="G21" s="60">
        <f t="shared" si="11"/>
        <v>0</v>
      </c>
      <c r="H21" s="61" t="str">
        <f t="shared" si="8"/>
        <v>2BR - 2BA</v>
      </c>
      <c r="I21" s="62">
        <f t="shared" si="9"/>
        <v>0</v>
      </c>
      <c r="J21" s="52">
        <v>0</v>
      </c>
      <c r="K21" s="53">
        <f t="shared" si="20"/>
        <v>0</v>
      </c>
      <c r="M21" s="28">
        <f t="shared" si="12"/>
        <v>0</v>
      </c>
    </row>
    <row r="22" spans="1:20" x14ac:dyDescent="0.35">
      <c r="A22" s="44">
        <v>0</v>
      </c>
      <c r="B22" s="45" t="s">
        <v>83</v>
      </c>
      <c r="C22" s="51">
        <v>0</v>
      </c>
      <c r="D22" s="52">
        <v>0</v>
      </c>
      <c r="E22" s="53">
        <f t="shared" si="19"/>
        <v>0</v>
      </c>
      <c r="G22" s="60">
        <f t="shared" si="11"/>
        <v>0</v>
      </c>
      <c r="H22" s="61" t="str">
        <f t="shared" si="8"/>
        <v>2BR - 2BA</v>
      </c>
      <c r="I22" s="62">
        <f t="shared" si="9"/>
        <v>0</v>
      </c>
      <c r="J22" s="52">
        <v>0</v>
      </c>
      <c r="K22" s="53">
        <f t="shared" si="20"/>
        <v>0</v>
      </c>
      <c r="M22" s="28">
        <f t="shared" si="12"/>
        <v>0</v>
      </c>
    </row>
    <row r="23" spans="1:20" x14ac:dyDescent="0.35">
      <c r="A23" s="46">
        <f>SUM(A3:A22)</f>
        <v>110</v>
      </c>
      <c r="B23" s="47"/>
      <c r="C23" s="54">
        <f>SUMPRODUCT(C3:C22,$A$3:$A$22)/$A$23</f>
        <v>1272.7272727272727</v>
      </c>
      <c r="D23" s="55">
        <f>SUMPRODUCT(D3:D22,$A$3:$A$22)/$A$23</f>
        <v>2227.2727272727275</v>
      </c>
      <c r="E23" s="56">
        <f t="shared" si="19"/>
        <v>1.7500000000000002</v>
      </c>
      <c r="G23" s="46">
        <f>SUM(G3:G22)</f>
        <v>110</v>
      </c>
      <c r="H23" s="47"/>
      <c r="I23" s="54">
        <f>SUMPRODUCT(I3:I22,$G$3:$G$22)/$G$23</f>
        <v>1272.7272727272727</v>
      </c>
      <c r="J23" s="55">
        <f>SUMPRODUCT(J3:J22,$G$3:$G$22)/$G$23</f>
        <v>2327.2727272727275</v>
      </c>
      <c r="K23" s="56">
        <f t="shared" si="20"/>
        <v>1.8285714285714287</v>
      </c>
      <c r="M23" s="64">
        <f>SUMPRODUCT(M3:M22,$G$3:$G$22)/$G$23</f>
        <v>100</v>
      </c>
    </row>
    <row r="28" spans="1:20" x14ac:dyDescent="0.35">
      <c r="T28" s="175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B2D3-2386-4236-856C-A2287E9AEE7E}">
  <dimension ref="A1:T21"/>
  <sheetViews>
    <sheetView showGridLines="0" zoomScale="69" workbookViewId="0">
      <selection activeCell="E21" sqref="E21"/>
    </sheetView>
  </sheetViews>
  <sheetFormatPr defaultColWidth="8.81640625" defaultRowHeight="13.5" x14ac:dyDescent="0.35"/>
  <cols>
    <col min="1" max="1" width="21.453125" style="1" bestFit="1" customWidth="1"/>
    <col min="2" max="2" width="11.54296875" style="1" bestFit="1" customWidth="1"/>
    <col min="3" max="3" width="10.08984375" style="1" bestFit="1" customWidth="1"/>
    <col min="4" max="4" width="8.81640625" style="1"/>
    <col min="5" max="5" width="24.7265625" style="1" bestFit="1" customWidth="1"/>
    <col min="6" max="6" width="10.453125" style="1" bestFit="1" customWidth="1"/>
    <col min="7" max="7" width="10.08984375" style="1" bestFit="1" customWidth="1"/>
    <col min="8" max="8" width="8.81640625" style="1"/>
    <col min="9" max="9" width="21.453125" style="1" bestFit="1" customWidth="1"/>
    <col min="10" max="20" width="11.54296875" style="1" bestFit="1" customWidth="1"/>
    <col min="21" max="16384" width="8.81640625" style="1"/>
  </cols>
  <sheetData>
    <row r="1" spans="1:20" x14ac:dyDescent="0.35">
      <c r="A1" s="2" t="s">
        <v>111</v>
      </c>
      <c r="B1" s="38"/>
      <c r="C1" s="3"/>
      <c r="E1" s="2" t="s">
        <v>125</v>
      </c>
      <c r="F1" s="38"/>
      <c r="G1" s="3"/>
      <c r="J1" s="2" t="s">
        <v>136</v>
      </c>
      <c r="K1" s="38"/>
      <c r="L1" s="38"/>
      <c r="M1" s="38"/>
      <c r="N1" s="38"/>
      <c r="O1" s="38"/>
      <c r="P1" s="38"/>
      <c r="Q1" s="38"/>
      <c r="R1" s="38"/>
      <c r="S1" s="38"/>
      <c r="T1" s="3"/>
    </row>
    <row r="2" spans="1:20" x14ac:dyDescent="0.35">
      <c r="A2" s="94" t="s">
        <v>112</v>
      </c>
      <c r="B2" s="95" t="s">
        <v>96</v>
      </c>
      <c r="C2" s="96" t="s">
        <v>113</v>
      </c>
      <c r="E2" s="94" t="s">
        <v>112</v>
      </c>
      <c r="F2" s="95" t="s">
        <v>96</v>
      </c>
      <c r="G2" s="96" t="s">
        <v>113</v>
      </c>
      <c r="J2" s="104">
        <v>1</v>
      </c>
      <c r="K2" s="104">
        <f>J2+1</f>
        <v>2</v>
      </c>
      <c r="L2" s="104">
        <f t="shared" ref="L2:T2" si="0">K2+1</f>
        <v>3</v>
      </c>
      <c r="M2" s="104">
        <f t="shared" si="0"/>
        <v>4</v>
      </c>
      <c r="N2" s="104">
        <f t="shared" si="0"/>
        <v>5</v>
      </c>
      <c r="O2" s="104">
        <f t="shared" si="0"/>
        <v>6</v>
      </c>
      <c r="P2" s="104">
        <f t="shared" si="0"/>
        <v>7</v>
      </c>
      <c r="Q2" s="104">
        <f t="shared" si="0"/>
        <v>8</v>
      </c>
      <c r="R2" s="104">
        <f t="shared" si="0"/>
        <v>9</v>
      </c>
      <c r="S2" s="104">
        <f t="shared" si="0"/>
        <v>10</v>
      </c>
      <c r="T2" s="104">
        <f t="shared" si="0"/>
        <v>11</v>
      </c>
    </row>
    <row r="3" spans="1:20" x14ac:dyDescent="0.35">
      <c r="A3" s="4" t="s">
        <v>114</v>
      </c>
      <c r="B3" s="18">
        <v>190000</v>
      </c>
      <c r="C3" s="97">
        <f>B3/Revenue!$A$23</f>
        <v>1727.2727272727273</v>
      </c>
      <c r="E3" s="4" t="s">
        <v>114</v>
      </c>
      <c r="F3" s="23">
        <f>G3*Revenue!$A$23</f>
        <v>198000</v>
      </c>
      <c r="G3" s="18">
        <v>1800</v>
      </c>
      <c r="J3" s="105">
        <v>0.1</v>
      </c>
      <c r="K3" s="105">
        <v>0.05</v>
      </c>
      <c r="L3" s="105">
        <v>0.03</v>
      </c>
      <c r="M3" s="105">
        <v>0.03</v>
      </c>
      <c r="N3" s="105">
        <v>0.03</v>
      </c>
      <c r="O3" s="105">
        <v>0.03</v>
      </c>
      <c r="P3" s="105">
        <v>0.03</v>
      </c>
      <c r="Q3" s="105">
        <v>0.03</v>
      </c>
      <c r="R3" s="105">
        <v>0.03</v>
      </c>
      <c r="S3" s="105">
        <v>0.03</v>
      </c>
      <c r="T3" s="105">
        <v>0.03</v>
      </c>
    </row>
    <row r="4" spans="1:20" x14ac:dyDescent="0.35">
      <c r="A4" s="5" t="s">
        <v>115</v>
      </c>
      <c r="B4" s="98">
        <v>30000</v>
      </c>
      <c r="C4" s="99">
        <f>B4/Revenue!$A$23</f>
        <v>272.72727272727275</v>
      </c>
      <c r="E4" s="5" t="s">
        <v>115</v>
      </c>
      <c r="F4" s="28">
        <f>G4*Revenue!$A$23</f>
        <v>30250</v>
      </c>
      <c r="G4" s="98">
        <v>275</v>
      </c>
    </row>
    <row r="5" spans="1:20" x14ac:dyDescent="0.35">
      <c r="A5" s="5" t="s">
        <v>116</v>
      </c>
      <c r="B5" s="98">
        <v>25000</v>
      </c>
      <c r="C5" s="99">
        <f>B5/Revenue!$A$23</f>
        <v>227.27272727272728</v>
      </c>
      <c r="E5" s="5" t="s">
        <v>116</v>
      </c>
      <c r="F5" s="28">
        <f>G5*Revenue!$A$23</f>
        <v>24750</v>
      </c>
      <c r="G5" s="98">
        <v>225</v>
      </c>
      <c r="J5" s="2" t="s">
        <v>137</v>
      </c>
      <c r="K5" s="38"/>
      <c r="L5" s="38"/>
      <c r="M5" s="38"/>
      <c r="N5" s="38"/>
      <c r="O5" s="38"/>
      <c r="P5" s="38"/>
      <c r="Q5" s="38"/>
      <c r="R5" s="38"/>
      <c r="S5" s="38"/>
      <c r="T5" s="3"/>
    </row>
    <row r="6" spans="1:20" x14ac:dyDescent="0.35">
      <c r="A6" s="5" t="s">
        <v>117</v>
      </c>
      <c r="B6" s="98">
        <v>60000</v>
      </c>
      <c r="C6" s="99">
        <f>B6/Revenue!$A$23</f>
        <v>545.4545454545455</v>
      </c>
      <c r="E6" s="5" t="s">
        <v>117</v>
      </c>
      <c r="F6" s="28">
        <f>G6*Revenue!$A$23</f>
        <v>60500</v>
      </c>
      <c r="G6" s="98">
        <v>550</v>
      </c>
      <c r="J6" s="104">
        <v>1</v>
      </c>
      <c r="K6" s="104">
        <f>J6+1</f>
        <v>2</v>
      </c>
      <c r="L6" s="104">
        <f t="shared" ref="L6:T6" si="1">K6+1</f>
        <v>3</v>
      </c>
      <c r="M6" s="104">
        <f t="shared" si="1"/>
        <v>4</v>
      </c>
      <c r="N6" s="104">
        <f t="shared" si="1"/>
        <v>5</v>
      </c>
      <c r="O6" s="104">
        <f t="shared" si="1"/>
        <v>6</v>
      </c>
      <c r="P6" s="104">
        <f t="shared" si="1"/>
        <v>7</v>
      </c>
      <c r="Q6" s="104">
        <f t="shared" si="1"/>
        <v>8</v>
      </c>
      <c r="R6" s="104">
        <f t="shared" si="1"/>
        <v>9</v>
      </c>
      <c r="S6" s="104">
        <f t="shared" si="1"/>
        <v>10</v>
      </c>
      <c r="T6" s="104">
        <f t="shared" si="1"/>
        <v>11</v>
      </c>
    </row>
    <row r="7" spans="1:20" x14ac:dyDescent="0.35">
      <c r="A7" s="5" t="s">
        <v>118</v>
      </c>
      <c r="B7" s="98">
        <v>40000</v>
      </c>
      <c r="C7" s="99">
        <f>B7/Revenue!$A$23</f>
        <v>363.63636363636363</v>
      </c>
      <c r="E7" s="5" t="s">
        <v>118</v>
      </c>
      <c r="F7" s="28">
        <f>G7*Revenue!$A$23</f>
        <v>41250</v>
      </c>
      <c r="G7" s="98">
        <v>375</v>
      </c>
      <c r="I7" s="29" t="s">
        <v>138</v>
      </c>
      <c r="J7" s="106">
        <f>IF(B18="Yes",Summary!B20*Expenses!B19,Expenses!B20*(1+Expenses!J3))</f>
        <v>38500000</v>
      </c>
      <c r="K7" s="106">
        <f>J7*(1+K3)</f>
        <v>40425000</v>
      </c>
      <c r="L7" s="106">
        <f t="shared" ref="L7:T7" si="2">K7*(1+L3)</f>
        <v>41637750</v>
      </c>
      <c r="M7" s="106">
        <f t="shared" si="2"/>
        <v>42886882.5</v>
      </c>
      <c r="N7" s="106">
        <f t="shared" si="2"/>
        <v>44173488.975000001</v>
      </c>
      <c r="O7" s="106">
        <f t="shared" si="2"/>
        <v>45498693.644250005</v>
      </c>
      <c r="P7" s="106">
        <f t="shared" si="2"/>
        <v>46863654.453577504</v>
      </c>
      <c r="Q7" s="106">
        <f t="shared" si="2"/>
        <v>48269564.087184832</v>
      </c>
      <c r="R7" s="106">
        <f t="shared" si="2"/>
        <v>49717651.009800375</v>
      </c>
      <c r="S7" s="106">
        <f t="shared" si="2"/>
        <v>51209180.540094391</v>
      </c>
      <c r="T7" s="106">
        <f t="shared" si="2"/>
        <v>52745455.956297226</v>
      </c>
    </row>
    <row r="8" spans="1:20" x14ac:dyDescent="0.35">
      <c r="A8" s="5" t="s">
        <v>119</v>
      </c>
      <c r="B8" s="98">
        <v>25000</v>
      </c>
      <c r="C8" s="99">
        <f>B8/Revenue!$A$23</f>
        <v>227.27272727272728</v>
      </c>
      <c r="E8" s="5" t="s">
        <v>119</v>
      </c>
      <c r="F8" s="28">
        <f>G8*Revenue!$A$23</f>
        <v>24750</v>
      </c>
      <c r="G8" s="98">
        <v>225</v>
      </c>
      <c r="I8" s="29" t="s">
        <v>123</v>
      </c>
      <c r="J8" s="106">
        <f>J7*$B$17</f>
        <v>385000</v>
      </c>
      <c r="K8" s="106">
        <f t="shared" ref="K8:T8" si="3">K7*$B$17</f>
        <v>404250</v>
      </c>
      <c r="L8" s="106">
        <f t="shared" si="3"/>
        <v>416377.5</v>
      </c>
      <c r="M8" s="106">
        <f t="shared" si="3"/>
        <v>428868.82500000001</v>
      </c>
      <c r="N8" s="106">
        <f t="shared" si="3"/>
        <v>441734.88975000003</v>
      </c>
      <c r="O8" s="106">
        <f t="shared" si="3"/>
        <v>454986.93644250004</v>
      </c>
      <c r="P8" s="106">
        <f t="shared" si="3"/>
        <v>468636.54453577503</v>
      </c>
      <c r="Q8" s="106">
        <f t="shared" si="3"/>
        <v>482695.64087184833</v>
      </c>
      <c r="R8" s="106">
        <f t="shared" si="3"/>
        <v>497176.51009800378</v>
      </c>
      <c r="S8" s="106">
        <f t="shared" si="3"/>
        <v>512091.80540094391</v>
      </c>
      <c r="T8" s="106">
        <f t="shared" si="3"/>
        <v>527454.55956297228</v>
      </c>
    </row>
    <row r="9" spans="1:20" x14ac:dyDescent="0.35">
      <c r="A9" s="5" t="s">
        <v>120</v>
      </c>
      <c r="B9" s="98">
        <v>60000</v>
      </c>
      <c r="C9" s="99">
        <f>B9/Revenue!$A$23</f>
        <v>545.4545454545455</v>
      </c>
      <c r="E9" s="5" t="s">
        <v>120</v>
      </c>
      <c r="F9" s="28">
        <f>G9*Revenue!$A$23</f>
        <v>60500</v>
      </c>
      <c r="G9" s="98">
        <v>550</v>
      </c>
      <c r="I9" s="29" t="s">
        <v>131</v>
      </c>
      <c r="J9" s="106">
        <f>B21*(1+J3)</f>
        <v>27500.000000000004</v>
      </c>
      <c r="K9" s="106">
        <f>J9*(1+K3)</f>
        <v>28875.000000000004</v>
      </c>
      <c r="L9" s="106">
        <f t="shared" ref="L9:T9" si="4">K9*(1+L3)</f>
        <v>29741.250000000004</v>
      </c>
      <c r="M9" s="106">
        <f t="shared" si="4"/>
        <v>30633.487500000003</v>
      </c>
      <c r="N9" s="106">
        <f t="shared" si="4"/>
        <v>31552.492125000004</v>
      </c>
      <c r="O9" s="106">
        <f t="shared" si="4"/>
        <v>32499.066888750007</v>
      </c>
      <c r="P9" s="106">
        <f t="shared" si="4"/>
        <v>33474.038895412508</v>
      </c>
      <c r="Q9" s="106">
        <f t="shared" si="4"/>
        <v>34478.260062274887</v>
      </c>
      <c r="R9" s="106">
        <f t="shared" si="4"/>
        <v>35512.607864143138</v>
      </c>
      <c r="S9" s="106">
        <f t="shared" si="4"/>
        <v>36577.986100067435</v>
      </c>
      <c r="T9" s="106">
        <f t="shared" si="4"/>
        <v>37675.325683069459</v>
      </c>
    </row>
    <row r="10" spans="1:20" x14ac:dyDescent="0.35">
      <c r="A10" s="5" t="s">
        <v>121</v>
      </c>
      <c r="B10" s="98">
        <v>-50000</v>
      </c>
      <c r="C10" s="99">
        <f>B10/Revenue!$A$23</f>
        <v>-454.54545454545456</v>
      </c>
      <c r="E10" s="5" t="s">
        <v>121</v>
      </c>
      <c r="F10" s="28">
        <f>G10*Revenue!$A$23</f>
        <v>-52250</v>
      </c>
      <c r="G10" s="98">
        <v>-475</v>
      </c>
      <c r="I10" s="107" t="s">
        <v>139</v>
      </c>
      <c r="J10" s="35">
        <f>SUM(J8:J9)</f>
        <v>412500</v>
      </c>
      <c r="K10" s="35">
        <f t="shared" ref="K10:T10" si="5">SUM(K8:K9)</f>
        <v>433125</v>
      </c>
      <c r="L10" s="35">
        <f t="shared" si="5"/>
        <v>446118.75</v>
      </c>
      <c r="M10" s="35">
        <f t="shared" si="5"/>
        <v>459502.3125</v>
      </c>
      <c r="N10" s="35">
        <f t="shared" si="5"/>
        <v>473287.38187500002</v>
      </c>
      <c r="O10" s="35">
        <f t="shared" si="5"/>
        <v>487486.00333125005</v>
      </c>
      <c r="P10" s="35">
        <f t="shared" si="5"/>
        <v>502110.58343118755</v>
      </c>
      <c r="Q10" s="35">
        <f t="shared" si="5"/>
        <v>517173.9009341232</v>
      </c>
      <c r="R10" s="35">
        <f t="shared" si="5"/>
        <v>532689.11796214688</v>
      </c>
      <c r="S10" s="35">
        <f t="shared" si="5"/>
        <v>548669.79150101135</v>
      </c>
      <c r="T10" s="35">
        <f t="shared" si="5"/>
        <v>565129.8852460417</v>
      </c>
    </row>
    <row r="11" spans="1:20" x14ac:dyDescent="0.35">
      <c r="A11" s="5" t="s">
        <v>122</v>
      </c>
      <c r="B11" s="98">
        <v>120000</v>
      </c>
      <c r="C11" s="99">
        <f>B11/Revenue!$A$23</f>
        <v>1090.909090909091</v>
      </c>
      <c r="E11" s="5" t="s">
        <v>122</v>
      </c>
      <c r="F11" s="28">
        <f>G11*Revenue!$A$23</f>
        <v>0</v>
      </c>
      <c r="G11" s="28">
        <v>0</v>
      </c>
    </row>
    <row r="12" spans="1:20" x14ac:dyDescent="0.35">
      <c r="A12" s="5" t="s">
        <v>123</v>
      </c>
      <c r="B12" s="98">
        <v>275000</v>
      </c>
      <c r="C12" s="99">
        <f>B12/Revenue!$A$23</f>
        <v>2500</v>
      </c>
      <c r="E12" s="5" t="s">
        <v>123</v>
      </c>
      <c r="F12" s="28">
        <f>J10</f>
        <v>412500</v>
      </c>
      <c r="G12" s="28">
        <f>F12/Revenue!A23</f>
        <v>3750</v>
      </c>
    </row>
    <row r="13" spans="1:20" x14ac:dyDescent="0.35">
      <c r="A13" s="5" t="s">
        <v>124</v>
      </c>
      <c r="B13" s="98">
        <v>50000</v>
      </c>
      <c r="C13" s="99">
        <f>B13/Revenue!$A$23</f>
        <v>454.54545454545456</v>
      </c>
      <c r="E13" s="5" t="s">
        <v>124</v>
      </c>
      <c r="F13" s="28">
        <f>G13*Revenue!$A$23</f>
        <v>49500</v>
      </c>
      <c r="G13" s="98">
        <v>450</v>
      </c>
    </row>
    <row r="14" spans="1:20" x14ac:dyDescent="0.35">
      <c r="A14" s="14" t="s">
        <v>96</v>
      </c>
      <c r="B14" s="100">
        <f>SUM(B3:B13)</f>
        <v>825000</v>
      </c>
      <c r="C14" s="100">
        <f>B14/Revenue!$A$23</f>
        <v>7500</v>
      </c>
      <c r="E14" s="14" t="s">
        <v>96</v>
      </c>
      <c r="F14" s="100">
        <f>SUM(F3:F13)</f>
        <v>849750</v>
      </c>
      <c r="G14" s="100">
        <f>F14/Revenue!$A$23</f>
        <v>7725</v>
      </c>
    </row>
    <row r="16" spans="1:20" x14ac:dyDescent="0.35">
      <c r="A16" s="2" t="s">
        <v>126</v>
      </c>
      <c r="B16" s="3"/>
      <c r="E16" s="2" t="s">
        <v>133</v>
      </c>
      <c r="F16" s="3"/>
    </row>
    <row r="17" spans="1:6" x14ac:dyDescent="0.35">
      <c r="A17" s="4" t="s">
        <v>127</v>
      </c>
      <c r="B17" s="102">
        <v>0.01</v>
      </c>
      <c r="E17" s="4" t="s">
        <v>134</v>
      </c>
      <c r="F17" s="102">
        <v>0.03</v>
      </c>
    </row>
    <row r="18" spans="1:6" x14ac:dyDescent="0.35">
      <c r="A18" s="5" t="s">
        <v>128</v>
      </c>
      <c r="B18" s="66" t="s">
        <v>132</v>
      </c>
      <c r="E18" s="5" t="s">
        <v>135</v>
      </c>
      <c r="F18" s="66">
        <v>300</v>
      </c>
    </row>
    <row r="19" spans="1:6" x14ac:dyDescent="0.35">
      <c r="A19" s="5" t="s">
        <v>129</v>
      </c>
      <c r="B19" s="22">
        <v>1</v>
      </c>
      <c r="E19" s="6" t="s">
        <v>122</v>
      </c>
      <c r="F19" s="103">
        <v>0.04</v>
      </c>
    </row>
    <row r="20" spans="1:6" x14ac:dyDescent="0.35">
      <c r="A20" s="5" t="s">
        <v>130</v>
      </c>
      <c r="B20" s="66">
        <v>35000000</v>
      </c>
    </row>
    <row r="21" spans="1:6" x14ac:dyDescent="0.35">
      <c r="A21" s="6" t="s">
        <v>131</v>
      </c>
      <c r="B21" s="101">
        <v>25000</v>
      </c>
    </row>
  </sheetData>
  <dataValidations count="1">
    <dataValidation type="list" allowBlank="1" showInputMessage="1" showErrorMessage="1" sqref="B18" xr:uid="{01272475-0838-47B4-BDDE-68E2D0C8CAC9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BB4B-8935-41B1-818E-D6C37301BBC2}">
  <dimension ref="A1:FI49"/>
  <sheetViews>
    <sheetView showGridLines="0" zoomScale="73" workbookViewId="0">
      <selection activeCell="A5" sqref="A5"/>
    </sheetView>
  </sheetViews>
  <sheetFormatPr defaultColWidth="8.81640625" defaultRowHeight="13.5" x14ac:dyDescent="0.35"/>
  <cols>
    <col min="1" max="1" width="6.7265625" style="1" bestFit="1" customWidth="1"/>
    <col min="2" max="2" width="25.08984375" style="1" bestFit="1" customWidth="1"/>
    <col min="3" max="3" width="12.90625" style="1" bestFit="1" customWidth="1"/>
    <col min="4" max="4" width="9.81640625" style="1" bestFit="1" customWidth="1"/>
    <col min="5" max="5" width="10.6328125" style="1" bestFit="1" customWidth="1"/>
    <col min="6" max="6" width="9.90625" style="1" bestFit="1" customWidth="1"/>
    <col min="7" max="7" width="11.453125" style="1" bestFit="1" customWidth="1"/>
    <col min="8" max="8" width="7.81640625" style="1" bestFit="1" customWidth="1"/>
    <col min="9" max="16" width="10.453125" style="1" bestFit="1" customWidth="1"/>
    <col min="17" max="32" width="9.1796875" style="1" bestFit="1" customWidth="1"/>
    <col min="33" max="106" width="8.90625" style="1" bestFit="1" customWidth="1"/>
    <col min="107" max="139" width="10.08984375" style="1" bestFit="1" customWidth="1"/>
    <col min="140" max="16384" width="8.81640625" style="1"/>
  </cols>
  <sheetData>
    <row r="1" spans="1:165" x14ac:dyDescent="0.35">
      <c r="H1" s="109">
        <v>1</v>
      </c>
      <c r="I1" s="110">
        <f>H1+1</f>
        <v>2</v>
      </c>
      <c r="J1" s="110">
        <f t="shared" ref="J1:BU1" si="0">I1+1</f>
        <v>3</v>
      </c>
      <c r="K1" s="110">
        <f t="shared" si="0"/>
        <v>4</v>
      </c>
      <c r="L1" s="110">
        <f t="shared" si="0"/>
        <v>5</v>
      </c>
      <c r="M1" s="110">
        <f t="shared" si="0"/>
        <v>6</v>
      </c>
      <c r="N1" s="110">
        <f t="shared" si="0"/>
        <v>7</v>
      </c>
      <c r="O1" s="110">
        <f t="shared" si="0"/>
        <v>8</v>
      </c>
      <c r="P1" s="110">
        <f t="shared" si="0"/>
        <v>9</v>
      </c>
      <c r="Q1" s="110">
        <f t="shared" si="0"/>
        <v>10</v>
      </c>
      <c r="R1" s="110">
        <f t="shared" si="0"/>
        <v>11</v>
      </c>
      <c r="S1" s="110">
        <f t="shared" si="0"/>
        <v>12</v>
      </c>
      <c r="T1" s="110">
        <f t="shared" si="0"/>
        <v>13</v>
      </c>
      <c r="U1" s="110">
        <f t="shared" si="0"/>
        <v>14</v>
      </c>
      <c r="V1" s="110">
        <f t="shared" si="0"/>
        <v>15</v>
      </c>
      <c r="W1" s="110">
        <f t="shared" si="0"/>
        <v>16</v>
      </c>
      <c r="X1" s="110">
        <f t="shared" si="0"/>
        <v>17</v>
      </c>
      <c r="Y1" s="110">
        <f t="shared" si="0"/>
        <v>18</v>
      </c>
      <c r="Z1" s="110">
        <f t="shared" si="0"/>
        <v>19</v>
      </c>
      <c r="AA1" s="110">
        <f t="shared" si="0"/>
        <v>20</v>
      </c>
      <c r="AB1" s="110">
        <f t="shared" si="0"/>
        <v>21</v>
      </c>
      <c r="AC1" s="110">
        <f t="shared" si="0"/>
        <v>22</v>
      </c>
      <c r="AD1" s="110">
        <f t="shared" si="0"/>
        <v>23</v>
      </c>
      <c r="AE1" s="110">
        <f t="shared" si="0"/>
        <v>24</v>
      </c>
      <c r="AF1" s="110">
        <f t="shared" si="0"/>
        <v>25</v>
      </c>
      <c r="AG1" s="110">
        <f t="shared" si="0"/>
        <v>26</v>
      </c>
      <c r="AH1" s="110">
        <f t="shared" si="0"/>
        <v>27</v>
      </c>
      <c r="AI1" s="110">
        <f t="shared" si="0"/>
        <v>28</v>
      </c>
      <c r="AJ1" s="110">
        <f t="shared" si="0"/>
        <v>29</v>
      </c>
      <c r="AK1" s="110">
        <f t="shared" si="0"/>
        <v>30</v>
      </c>
      <c r="AL1" s="110">
        <f t="shared" si="0"/>
        <v>31</v>
      </c>
      <c r="AM1" s="110">
        <f t="shared" si="0"/>
        <v>32</v>
      </c>
      <c r="AN1" s="110">
        <f t="shared" si="0"/>
        <v>33</v>
      </c>
      <c r="AO1" s="110">
        <f t="shared" si="0"/>
        <v>34</v>
      </c>
      <c r="AP1" s="110">
        <f t="shared" si="0"/>
        <v>35</v>
      </c>
      <c r="AQ1" s="110">
        <f t="shared" si="0"/>
        <v>36</v>
      </c>
      <c r="AR1" s="110">
        <f t="shared" si="0"/>
        <v>37</v>
      </c>
      <c r="AS1" s="110">
        <f t="shared" si="0"/>
        <v>38</v>
      </c>
      <c r="AT1" s="110">
        <f t="shared" si="0"/>
        <v>39</v>
      </c>
      <c r="AU1" s="110">
        <f t="shared" si="0"/>
        <v>40</v>
      </c>
      <c r="AV1" s="110">
        <f t="shared" si="0"/>
        <v>41</v>
      </c>
      <c r="AW1" s="110">
        <f t="shared" si="0"/>
        <v>42</v>
      </c>
      <c r="AX1" s="110">
        <f t="shared" si="0"/>
        <v>43</v>
      </c>
      <c r="AY1" s="110">
        <f t="shared" si="0"/>
        <v>44</v>
      </c>
      <c r="AZ1" s="110">
        <f t="shared" si="0"/>
        <v>45</v>
      </c>
      <c r="BA1" s="110">
        <f t="shared" si="0"/>
        <v>46</v>
      </c>
      <c r="BB1" s="110">
        <f t="shared" si="0"/>
        <v>47</v>
      </c>
      <c r="BC1" s="110">
        <f t="shared" si="0"/>
        <v>48</v>
      </c>
      <c r="BD1" s="110">
        <f t="shared" si="0"/>
        <v>49</v>
      </c>
      <c r="BE1" s="110">
        <f t="shared" si="0"/>
        <v>50</v>
      </c>
      <c r="BF1" s="110">
        <f t="shared" si="0"/>
        <v>51</v>
      </c>
      <c r="BG1" s="110">
        <f t="shared" si="0"/>
        <v>52</v>
      </c>
      <c r="BH1" s="110">
        <f t="shared" si="0"/>
        <v>53</v>
      </c>
      <c r="BI1" s="110">
        <f t="shared" si="0"/>
        <v>54</v>
      </c>
      <c r="BJ1" s="110">
        <f t="shared" si="0"/>
        <v>55</v>
      </c>
      <c r="BK1" s="110">
        <f t="shared" si="0"/>
        <v>56</v>
      </c>
      <c r="BL1" s="110">
        <f t="shared" si="0"/>
        <v>57</v>
      </c>
      <c r="BM1" s="110">
        <f t="shared" si="0"/>
        <v>58</v>
      </c>
      <c r="BN1" s="110">
        <f t="shared" si="0"/>
        <v>59</v>
      </c>
      <c r="BO1" s="110">
        <f t="shared" si="0"/>
        <v>60</v>
      </c>
      <c r="BP1" s="110">
        <f t="shared" si="0"/>
        <v>61</v>
      </c>
      <c r="BQ1" s="110">
        <f t="shared" si="0"/>
        <v>62</v>
      </c>
      <c r="BR1" s="110">
        <f t="shared" si="0"/>
        <v>63</v>
      </c>
      <c r="BS1" s="110">
        <f t="shared" si="0"/>
        <v>64</v>
      </c>
      <c r="BT1" s="110">
        <f t="shared" si="0"/>
        <v>65</v>
      </c>
      <c r="BU1" s="110">
        <f t="shared" si="0"/>
        <v>66</v>
      </c>
      <c r="BV1" s="110">
        <f t="shared" ref="BV1:EG1" si="1">BU1+1</f>
        <v>67</v>
      </c>
      <c r="BW1" s="110">
        <f t="shared" si="1"/>
        <v>68</v>
      </c>
      <c r="BX1" s="110">
        <f t="shared" si="1"/>
        <v>69</v>
      </c>
      <c r="BY1" s="110">
        <f t="shared" si="1"/>
        <v>70</v>
      </c>
      <c r="BZ1" s="110">
        <f t="shared" si="1"/>
        <v>71</v>
      </c>
      <c r="CA1" s="110">
        <f t="shared" si="1"/>
        <v>72</v>
      </c>
      <c r="CB1" s="110">
        <f t="shared" si="1"/>
        <v>73</v>
      </c>
      <c r="CC1" s="110">
        <f t="shared" si="1"/>
        <v>74</v>
      </c>
      <c r="CD1" s="110">
        <f t="shared" si="1"/>
        <v>75</v>
      </c>
      <c r="CE1" s="110">
        <f t="shared" si="1"/>
        <v>76</v>
      </c>
      <c r="CF1" s="110">
        <f t="shared" si="1"/>
        <v>77</v>
      </c>
      <c r="CG1" s="110">
        <f t="shared" si="1"/>
        <v>78</v>
      </c>
      <c r="CH1" s="110">
        <f t="shared" si="1"/>
        <v>79</v>
      </c>
      <c r="CI1" s="110">
        <f t="shared" si="1"/>
        <v>80</v>
      </c>
      <c r="CJ1" s="110">
        <f t="shared" si="1"/>
        <v>81</v>
      </c>
      <c r="CK1" s="110">
        <f t="shared" si="1"/>
        <v>82</v>
      </c>
      <c r="CL1" s="110">
        <f t="shared" si="1"/>
        <v>83</v>
      </c>
      <c r="CM1" s="110">
        <f t="shared" si="1"/>
        <v>84</v>
      </c>
      <c r="CN1" s="110">
        <f t="shared" si="1"/>
        <v>85</v>
      </c>
      <c r="CO1" s="110">
        <f t="shared" si="1"/>
        <v>86</v>
      </c>
      <c r="CP1" s="110">
        <f t="shared" si="1"/>
        <v>87</v>
      </c>
      <c r="CQ1" s="110">
        <f t="shared" si="1"/>
        <v>88</v>
      </c>
      <c r="CR1" s="110">
        <f t="shared" si="1"/>
        <v>89</v>
      </c>
      <c r="CS1" s="110">
        <f t="shared" si="1"/>
        <v>90</v>
      </c>
      <c r="CT1" s="110">
        <f t="shared" si="1"/>
        <v>91</v>
      </c>
      <c r="CU1" s="110">
        <f t="shared" si="1"/>
        <v>92</v>
      </c>
      <c r="CV1" s="110">
        <f t="shared" si="1"/>
        <v>93</v>
      </c>
      <c r="CW1" s="110">
        <f t="shared" si="1"/>
        <v>94</v>
      </c>
      <c r="CX1" s="110">
        <f t="shared" si="1"/>
        <v>95</v>
      </c>
      <c r="CY1" s="110">
        <f t="shared" si="1"/>
        <v>96</v>
      </c>
      <c r="CZ1" s="110">
        <f t="shared" si="1"/>
        <v>97</v>
      </c>
      <c r="DA1" s="110">
        <f t="shared" si="1"/>
        <v>98</v>
      </c>
      <c r="DB1" s="110">
        <f t="shared" si="1"/>
        <v>99</v>
      </c>
      <c r="DC1" s="110">
        <f t="shared" si="1"/>
        <v>100</v>
      </c>
      <c r="DD1" s="110">
        <f t="shared" si="1"/>
        <v>101</v>
      </c>
      <c r="DE1" s="110">
        <f t="shared" si="1"/>
        <v>102</v>
      </c>
      <c r="DF1" s="110">
        <f t="shared" si="1"/>
        <v>103</v>
      </c>
      <c r="DG1" s="110">
        <f t="shared" si="1"/>
        <v>104</v>
      </c>
      <c r="DH1" s="110">
        <f t="shared" si="1"/>
        <v>105</v>
      </c>
      <c r="DI1" s="110">
        <f t="shared" si="1"/>
        <v>106</v>
      </c>
      <c r="DJ1" s="110">
        <f t="shared" si="1"/>
        <v>107</v>
      </c>
      <c r="DK1" s="110">
        <f t="shared" si="1"/>
        <v>108</v>
      </c>
      <c r="DL1" s="110">
        <f t="shared" si="1"/>
        <v>109</v>
      </c>
      <c r="DM1" s="110">
        <f t="shared" si="1"/>
        <v>110</v>
      </c>
      <c r="DN1" s="110">
        <f t="shared" si="1"/>
        <v>111</v>
      </c>
      <c r="DO1" s="110">
        <f t="shared" si="1"/>
        <v>112</v>
      </c>
      <c r="DP1" s="110">
        <f t="shared" si="1"/>
        <v>113</v>
      </c>
      <c r="DQ1" s="110">
        <f t="shared" si="1"/>
        <v>114</v>
      </c>
      <c r="DR1" s="110">
        <f t="shared" si="1"/>
        <v>115</v>
      </c>
      <c r="DS1" s="110">
        <f t="shared" si="1"/>
        <v>116</v>
      </c>
      <c r="DT1" s="110">
        <f t="shared" si="1"/>
        <v>117</v>
      </c>
      <c r="DU1" s="110">
        <f t="shared" si="1"/>
        <v>118</v>
      </c>
      <c r="DV1" s="110">
        <f t="shared" si="1"/>
        <v>119</v>
      </c>
      <c r="DW1" s="110">
        <f t="shared" si="1"/>
        <v>120</v>
      </c>
      <c r="DX1" s="110">
        <f t="shared" si="1"/>
        <v>121</v>
      </c>
      <c r="DY1" s="110">
        <f t="shared" si="1"/>
        <v>122</v>
      </c>
      <c r="DZ1" s="110">
        <f t="shared" si="1"/>
        <v>123</v>
      </c>
      <c r="EA1" s="110">
        <f t="shared" si="1"/>
        <v>124</v>
      </c>
      <c r="EB1" s="110">
        <f t="shared" si="1"/>
        <v>125</v>
      </c>
      <c r="EC1" s="110">
        <f t="shared" si="1"/>
        <v>126</v>
      </c>
      <c r="ED1" s="110">
        <f t="shared" si="1"/>
        <v>127</v>
      </c>
      <c r="EE1" s="110">
        <f t="shared" si="1"/>
        <v>128</v>
      </c>
      <c r="EF1" s="110">
        <f t="shared" si="1"/>
        <v>129</v>
      </c>
      <c r="EG1" s="110">
        <f t="shared" si="1"/>
        <v>130</v>
      </c>
      <c r="EH1" s="110">
        <f t="shared" ref="EH1:EI1" si="2">EG1+1</f>
        <v>131</v>
      </c>
      <c r="EI1" s="111">
        <f t="shared" si="2"/>
        <v>132</v>
      </c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</row>
    <row r="2" spans="1:165" x14ac:dyDescent="0.35">
      <c r="H2" s="112">
        <f>ROUNDUP(H1/12,0)</f>
        <v>1</v>
      </c>
      <c r="I2" s="113">
        <f t="shared" ref="I2:BT2" si="3">ROUNDUP(I1/12,0)</f>
        <v>1</v>
      </c>
      <c r="J2" s="113">
        <f t="shared" si="3"/>
        <v>1</v>
      </c>
      <c r="K2" s="113">
        <f t="shared" si="3"/>
        <v>1</v>
      </c>
      <c r="L2" s="113">
        <f t="shared" si="3"/>
        <v>1</v>
      </c>
      <c r="M2" s="113">
        <f t="shared" si="3"/>
        <v>1</v>
      </c>
      <c r="N2" s="113">
        <f t="shared" si="3"/>
        <v>1</v>
      </c>
      <c r="O2" s="113">
        <f t="shared" si="3"/>
        <v>1</v>
      </c>
      <c r="P2" s="113">
        <f t="shared" si="3"/>
        <v>1</v>
      </c>
      <c r="Q2" s="113">
        <f t="shared" si="3"/>
        <v>1</v>
      </c>
      <c r="R2" s="113">
        <f t="shared" si="3"/>
        <v>1</v>
      </c>
      <c r="S2" s="113">
        <f t="shared" si="3"/>
        <v>1</v>
      </c>
      <c r="T2" s="113">
        <f t="shared" si="3"/>
        <v>2</v>
      </c>
      <c r="U2" s="113">
        <f t="shared" si="3"/>
        <v>2</v>
      </c>
      <c r="V2" s="113">
        <f t="shared" si="3"/>
        <v>2</v>
      </c>
      <c r="W2" s="113">
        <f t="shared" si="3"/>
        <v>2</v>
      </c>
      <c r="X2" s="113">
        <f t="shared" si="3"/>
        <v>2</v>
      </c>
      <c r="Y2" s="113">
        <f t="shared" si="3"/>
        <v>2</v>
      </c>
      <c r="Z2" s="113">
        <f t="shared" si="3"/>
        <v>2</v>
      </c>
      <c r="AA2" s="113">
        <f t="shared" si="3"/>
        <v>2</v>
      </c>
      <c r="AB2" s="113">
        <f t="shared" si="3"/>
        <v>2</v>
      </c>
      <c r="AC2" s="113">
        <f t="shared" si="3"/>
        <v>2</v>
      </c>
      <c r="AD2" s="113">
        <f t="shared" si="3"/>
        <v>2</v>
      </c>
      <c r="AE2" s="113">
        <f t="shared" si="3"/>
        <v>2</v>
      </c>
      <c r="AF2" s="113">
        <f t="shared" si="3"/>
        <v>3</v>
      </c>
      <c r="AG2" s="113">
        <f t="shared" si="3"/>
        <v>3</v>
      </c>
      <c r="AH2" s="113">
        <f t="shared" si="3"/>
        <v>3</v>
      </c>
      <c r="AI2" s="113">
        <f t="shared" si="3"/>
        <v>3</v>
      </c>
      <c r="AJ2" s="113">
        <f t="shared" si="3"/>
        <v>3</v>
      </c>
      <c r="AK2" s="113">
        <f t="shared" si="3"/>
        <v>3</v>
      </c>
      <c r="AL2" s="113">
        <f t="shared" si="3"/>
        <v>3</v>
      </c>
      <c r="AM2" s="113">
        <f t="shared" si="3"/>
        <v>3</v>
      </c>
      <c r="AN2" s="113">
        <f t="shared" si="3"/>
        <v>3</v>
      </c>
      <c r="AO2" s="113">
        <f t="shared" si="3"/>
        <v>3</v>
      </c>
      <c r="AP2" s="113">
        <f t="shared" si="3"/>
        <v>3</v>
      </c>
      <c r="AQ2" s="113">
        <f t="shared" si="3"/>
        <v>3</v>
      </c>
      <c r="AR2" s="113">
        <f t="shared" si="3"/>
        <v>4</v>
      </c>
      <c r="AS2" s="113">
        <f t="shared" si="3"/>
        <v>4</v>
      </c>
      <c r="AT2" s="113">
        <f t="shared" si="3"/>
        <v>4</v>
      </c>
      <c r="AU2" s="113">
        <f t="shared" si="3"/>
        <v>4</v>
      </c>
      <c r="AV2" s="113">
        <f t="shared" si="3"/>
        <v>4</v>
      </c>
      <c r="AW2" s="113">
        <f t="shared" si="3"/>
        <v>4</v>
      </c>
      <c r="AX2" s="113">
        <f t="shared" si="3"/>
        <v>4</v>
      </c>
      <c r="AY2" s="113">
        <f t="shared" si="3"/>
        <v>4</v>
      </c>
      <c r="AZ2" s="113">
        <f t="shared" si="3"/>
        <v>4</v>
      </c>
      <c r="BA2" s="113">
        <f t="shared" si="3"/>
        <v>4</v>
      </c>
      <c r="BB2" s="113">
        <f t="shared" si="3"/>
        <v>4</v>
      </c>
      <c r="BC2" s="113">
        <f t="shared" si="3"/>
        <v>4</v>
      </c>
      <c r="BD2" s="113">
        <f t="shared" si="3"/>
        <v>5</v>
      </c>
      <c r="BE2" s="113">
        <f t="shared" si="3"/>
        <v>5</v>
      </c>
      <c r="BF2" s="113">
        <f t="shared" si="3"/>
        <v>5</v>
      </c>
      <c r="BG2" s="113">
        <f t="shared" si="3"/>
        <v>5</v>
      </c>
      <c r="BH2" s="113">
        <f t="shared" si="3"/>
        <v>5</v>
      </c>
      <c r="BI2" s="113">
        <f t="shared" si="3"/>
        <v>5</v>
      </c>
      <c r="BJ2" s="113">
        <f t="shared" si="3"/>
        <v>5</v>
      </c>
      <c r="BK2" s="113">
        <f t="shared" si="3"/>
        <v>5</v>
      </c>
      <c r="BL2" s="113">
        <f t="shared" si="3"/>
        <v>5</v>
      </c>
      <c r="BM2" s="113">
        <f t="shared" si="3"/>
        <v>5</v>
      </c>
      <c r="BN2" s="113">
        <f t="shared" si="3"/>
        <v>5</v>
      </c>
      <c r="BO2" s="113">
        <f t="shared" si="3"/>
        <v>5</v>
      </c>
      <c r="BP2" s="113">
        <f t="shared" si="3"/>
        <v>6</v>
      </c>
      <c r="BQ2" s="113">
        <f t="shared" si="3"/>
        <v>6</v>
      </c>
      <c r="BR2" s="113">
        <f t="shared" si="3"/>
        <v>6</v>
      </c>
      <c r="BS2" s="113">
        <f t="shared" si="3"/>
        <v>6</v>
      </c>
      <c r="BT2" s="113">
        <f t="shared" si="3"/>
        <v>6</v>
      </c>
      <c r="BU2" s="113">
        <f t="shared" ref="BU2:EF2" si="4">ROUNDUP(BU1/12,0)</f>
        <v>6</v>
      </c>
      <c r="BV2" s="113">
        <f t="shared" si="4"/>
        <v>6</v>
      </c>
      <c r="BW2" s="113">
        <f t="shared" si="4"/>
        <v>6</v>
      </c>
      <c r="BX2" s="113">
        <f t="shared" si="4"/>
        <v>6</v>
      </c>
      <c r="BY2" s="113">
        <f t="shared" si="4"/>
        <v>6</v>
      </c>
      <c r="BZ2" s="113">
        <f t="shared" si="4"/>
        <v>6</v>
      </c>
      <c r="CA2" s="113">
        <f t="shared" si="4"/>
        <v>6</v>
      </c>
      <c r="CB2" s="113">
        <f t="shared" si="4"/>
        <v>7</v>
      </c>
      <c r="CC2" s="113">
        <f t="shared" si="4"/>
        <v>7</v>
      </c>
      <c r="CD2" s="113">
        <f t="shared" si="4"/>
        <v>7</v>
      </c>
      <c r="CE2" s="113">
        <f t="shared" si="4"/>
        <v>7</v>
      </c>
      <c r="CF2" s="113">
        <f t="shared" si="4"/>
        <v>7</v>
      </c>
      <c r="CG2" s="113">
        <f t="shared" si="4"/>
        <v>7</v>
      </c>
      <c r="CH2" s="113">
        <f t="shared" si="4"/>
        <v>7</v>
      </c>
      <c r="CI2" s="113">
        <f t="shared" si="4"/>
        <v>7</v>
      </c>
      <c r="CJ2" s="113">
        <f t="shared" si="4"/>
        <v>7</v>
      </c>
      <c r="CK2" s="113">
        <f t="shared" si="4"/>
        <v>7</v>
      </c>
      <c r="CL2" s="113">
        <f t="shared" si="4"/>
        <v>7</v>
      </c>
      <c r="CM2" s="113">
        <f t="shared" si="4"/>
        <v>7</v>
      </c>
      <c r="CN2" s="113">
        <f t="shared" si="4"/>
        <v>8</v>
      </c>
      <c r="CO2" s="113">
        <f t="shared" si="4"/>
        <v>8</v>
      </c>
      <c r="CP2" s="113">
        <f t="shared" si="4"/>
        <v>8</v>
      </c>
      <c r="CQ2" s="113">
        <f t="shared" si="4"/>
        <v>8</v>
      </c>
      <c r="CR2" s="113">
        <f t="shared" si="4"/>
        <v>8</v>
      </c>
      <c r="CS2" s="113">
        <f t="shared" si="4"/>
        <v>8</v>
      </c>
      <c r="CT2" s="113">
        <f t="shared" si="4"/>
        <v>8</v>
      </c>
      <c r="CU2" s="113">
        <f t="shared" si="4"/>
        <v>8</v>
      </c>
      <c r="CV2" s="113">
        <f t="shared" si="4"/>
        <v>8</v>
      </c>
      <c r="CW2" s="113">
        <f t="shared" si="4"/>
        <v>8</v>
      </c>
      <c r="CX2" s="113">
        <f t="shared" si="4"/>
        <v>8</v>
      </c>
      <c r="CY2" s="113">
        <f t="shared" si="4"/>
        <v>8</v>
      </c>
      <c r="CZ2" s="113">
        <f t="shared" si="4"/>
        <v>9</v>
      </c>
      <c r="DA2" s="113">
        <f t="shared" si="4"/>
        <v>9</v>
      </c>
      <c r="DB2" s="113">
        <f t="shared" si="4"/>
        <v>9</v>
      </c>
      <c r="DC2" s="113">
        <f t="shared" si="4"/>
        <v>9</v>
      </c>
      <c r="DD2" s="113">
        <f t="shared" si="4"/>
        <v>9</v>
      </c>
      <c r="DE2" s="113">
        <f t="shared" si="4"/>
        <v>9</v>
      </c>
      <c r="DF2" s="113">
        <f t="shared" si="4"/>
        <v>9</v>
      </c>
      <c r="DG2" s="113">
        <f t="shared" si="4"/>
        <v>9</v>
      </c>
      <c r="DH2" s="113">
        <f t="shared" si="4"/>
        <v>9</v>
      </c>
      <c r="DI2" s="113">
        <f t="shared" si="4"/>
        <v>9</v>
      </c>
      <c r="DJ2" s="113">
        <f t="shared" si="4"/>
        <v>9</v>
      </c>
      <c r="DK2" s="113">
        <f t="shared" si="4"/>
        <v>9</v>
      </c>
      <c r="DL2" s="113">
        <f t="shared" si="4"/>
        <v>10</v>
      </c>
      <c r="DM2" s="113">
        <f t="shared" si="4"/>
        <v>10</v>
      </c>
      <c r="DN2" s="113">
        <f t="shared" si="4"/>
        <v>10</v>
      </c>
      <c r="DO2" s="113">
        <f t="shared" si="4"/>
        <v>10</v>
      </c>
      <c r="DP2" s="113">
        <f t="shared" si="4"/>
        <v>10</v>
      </c>
      <c r="DQ2" s="113">
        <f t="shared" si="4"/>
        <v>10</v>
      </c>
      <c r="DR2" s="113">
        <f t="shared" si="4"/>
        <v>10</v>
      </c>
      <c r="DS2" s="113">
        <f t="shared" si="4"/>
        <v>10</v>
      </c>
      <c r="DT2" s="113">
        <f t="shared" si="4"/>
        <v>10</v>
      </c>
      <c r="DU2" s="113">
        <f t="shared" si="4"/>
        <v>10</v>
      </c>
      <c r="DV2" s="113">
        <f t="shared" si="4"/>
        <v>10</v>
      </c>
      <c r="DW2" s="113">
        <f t="shared" si="4"/>
        <v>10</v>
      </c>
      <c r="DX2" s="113">
        <f t="shared" si="4"/>
        <v>11</v>
      </c>
      <c r="DY2" s="113">
        <f t="shared" si="4"/>
        <v>11</v>
      </c>
      <c r="DZ2" s="113">
        <f t="shared" si="4"/>
        <v>11</v>
      </c>
      <c r="EA2" s="113">
        <f t="shared" si="4"/>
        <v>11</v>
      </c>
      <c r="EB2" s="113">
        <f t="shared" si="4"/>
        <v>11</v>
      </c>
      <c r="EC2" s="113">
        <f t="shared" si="4"/>
        <v>11</v>
      </c>
      <c r="ED2" s="113">
        <f t="shared" si="4"/>
        <v>11</v>
      </c>
      <c r="EE2" s="113">
        <f t="shared" si="4"/>
        <v>11</v>
      </c>
      <c r="EF2" s="113">
        <f t="shared" si="4"/>
        <v>11</v>
      </c>
      <c r="EG2" s="113">
        <f t="shared" ref="EG2:EI2" si="5">ROUNDUP(EG1/12,0)</f>
        <v>11</v>
      </c>
      <c r="EH2" s="113">
        <f t="shared" si="5"/>
        <v>11</v>
      </c>
      <c r="EI2" s="114">
        <f t="shared" si="5"/>
        <v>11</v>
      </c>
    </row>
    <row r="3" spans="1:165" x14ac:dyDescent="0.35">
      <c r="B3" s="2" t="s">
        <v>140</v>
      </c>
      <c r="C3" s="38"/>
      <c r="D3" s="38"/>
      <c r="E3" s="38"/>
      <c r="F3" s="38"/>
      <c r="G3" s="3"/>
      <c r="EI3" s="1">
        <v>0</v>
      </c>
    </row>
    <row r="4" spans="1:165" x14ac:dyDescent="0.35">
      <c r="A4" s="2" t="s">
        <v>149</v>
      </c>
      <c r="B4" s="115" t="s">
        <v>112</v>
      </c>
      <c r="C4" s="95" t="s">
        <v>96</v>
      </c>
      <c r="D4" s="95" t="s">
        <v>141</v>
      </c>
      <c r="E4" s="95" t="s">
        <v>98</v>
      </c>
      <c r="F4" s="95" t="s">
        <v>99</v>
      </c>
      <c r="G4" s="96" t="s">
        <v>142</v>
      </c>
    </row>
    <row r="5" spans="1:165" x14ac:dyDescent="0.35">
      <c r="A5" s="126" t="str">
        <f>IF(ABS(SUM(H5:EI5)-C5)&lt;0.0001,"OK","ERROR")</f>
        <v>OK</v>
      </c>
      <c r="B5" s="16" t="s">
        <v>143</v>
      </c>
      <c r="C5" s="116">
        <v>500000</v>
      </c>
      <c r="D5" s="117">
        <f>C5/Revenue!$A$23</f>
        <v>4545.454545454545</v>
      </c>
      <c r="E5" s="118">
        <v>2</v>
      </c>
      <c r="F5" s="118">
        <v>5</v>
      </c>
      <c r="G5" s="120">
        <f>F5-E5+1</f>
        <v>4</v>
      </c>
      <c r="H5" s="122">
        <f>IF(AND(H$1&gt;=$E5,H$1&lt;=$F5),$C5/$G5,0)</f>
        <v>0</v>
      </c>
      <c r="I5" s="122">
        <f t="shared" ref="I5:BT8" si="6">IF(AND(I$1&gt;=$E5,I$1&lt;=$F5),$C5/$G5,0)</f>
        <v>125000</v>
      </c>
      <c r="J5" s="122">
        <f t="shared" si="6"/>
        <v>125000</v>
      </c>
      <c r="K5" s="122">
        <f t="shared" si="6"/>
        <v>125000</v>
      </c>
      <c r="L5" s="122">
        <f t="shared" si="6"/>
        <v>125000</v>
      </c>
      <c r="M5" s="122">
        <f t="shared" si="6"/>
        <v>0</v>
      </c>
      <c r="N5" s="122">
        <f t="shared" si="6"/>
        <v>0</v>
      </c>
      <c r="O5" s="122">
        <f t="shared" si="6"/>
        <v>0</v>
      </c>
      <c r="P5" s="122">
        <f t="shared" si="6"/>
        <v>0</v>
      </c>
      <c r="Q5" s="122">
        <f t="shared" si="6"/>
        <v>0</v>
      </c>
      <c r="R5" s="122">
        <f t="shared" si="6"/>
        <v>0</v>
      </c>
      <c r="S5" s="122">
        <f t="shared" si="6"/>
        <v>0</v>
      </c>
      <c r="T5" s="122">
        <f t="shared" si="6"/>
        <v>0</v>
      </c>
      <c r="U5" s="122">
        <f t="shared" si="6"/>
        <v>0</v>
      </c>
      <c r="V5" s="122">
        <f t="shared" si="6"/>
        <v>0</v>
      </c>
      <c r="W5" s="122">
        <f t="shared" si="6"/>
        <v>0</v>
      </c>
      <c r="X5" s="122">
        <f t="shared" si="6"/>
        <v>0</v>
      </c>
      <c r="Y5" s="122">
        <f t="shared" si="6"/>
        <v>0</v>
      </c>
      <c r="Z5" s="122">
        <f t="shared" si="6"/>
        <v>0</v>
      </c>
      <c r="AA5" s="122">
        <f t="shared" si="6"/>
        <v>0</v>
      </c>
      <c r="AB5" s="122">
        <f t="shared" si="6"/>
        <v>0</v>
      </c>
      <c r="AC5" s="122">
        <f t="shared" si="6"/>
        <v>0</v>
      </c>
      <c r="AD5" s="122">
        <f t="shared" si="6"/>
        <v>0</v>
      </c>
      <c r="AE5" s="122">
        <f t="shared" si="6"/>
        <v>0</v>
      </c>
      <c r="AF5" s="122">
        <f t="shared" si="6"/>
        <v>0</v>
      </c>
      <c r="AG5" s="122">
        <f t="shared" si="6"/>
        <v>0</v>
      </c>
      <c r="AH5" s="122">
        <f t="shared" si="6"/>
        <v>0</v>
      </c>
      <c r="AI5" s="122">
        <f t="shared" si="6"/>
        <v>0</v>
      </c>
      <c r="AJ5" s="122">
        <f t="shared" si="6"/>
        <v>0</v>
      </c>
      <c r="AK5" s="122">
        <f t="shared" si="6"/>
        <v>0</v>
      </c>
      <c r="AL5" s="122">
        <f t="shared" si="6"/>
        <v>0</v>
      </c>
      <c r="AM5" s="122">
        <f t="shared" si="6"/>
        <v>0</v>
      </c>
      <c r="AN5" s="122">
        <f t="shared" si="6"/>
        <v>0</v>
      </c>
      <c r="AO5" s="122">
        <f t="shared" si="6"/>
        <v>0</v>
      </c>
      <c r="AP5" s="122">
        <f t="shared" si="6"/>
        <v>0</v>
      </c>
      <c r="AQ5" s="122">
        <f t="shared" si="6"/>
        <v>0</v>
      </c>
      <c r="AR5" s="122">
        <f t="shared" si="6"/>
        <v>0</v>
      </c>
      <c r="AS5" s="122">
        <f t="shared" si="6"/>
        <v>0</v>
      </c>
      <c r="AT5" s="122">
        <f t="shared" si="6"/>
        <v>0</v>
      </c>
      <c r="AU5" s="122">
        <f t="shared" si="6"/>
        <v>0</v>
      </c>
      <c r="AV5" s="122">
        <f t="shared" si="6"/>
        <v>0</v>
      </c>
      <c r="AW5" s="122">
        <f t="shared" si="6"/>
        <v>0</v>
      </c>
      <c r="AX5" s="122">
        <f t="shared" si="6"/>
        <v>0</v>
      </c>
      <c r="AY5" s="122">
        <f t="shared" si="6"/>
        <v>0</v>
      </c>
      <c r="AZ5" s="122">
        <f t="shared" si="6"/>
        <v>0</v>
      </c>
      <c r="BA5" s="122">
        <f t="shared" si="6"/>
        <v>0</v>
      </c>
      <c r="BB5" s="122">
        <f t="shared" si="6"/>
        <v>0</v>
      </c>
      <c r="BC5" s="122">
        <f t="shared" si="6"/>
        <v>0</v>
      </c>
      <c r="BD5" s="122">
        <f t="shared" si="6"/>
        <v>0</v>
      </c>
      <c r="BE5" s="122">
        <f t="shared" si="6"/>
        <v>0</v>
      </c>
      <c r="BF5" s="122">
        <f t="shared" si="6"/>
        <v>0</v>
      </c>
      <c r="BG5" s="122">
        <f t="shared" si="6"/>
        <v>0</v>
      </c>
      <c r="BH5" s="122">
        <f t="shared" si="6"/>
        <v>0</v>
      </c>
      <c r="BI5" s="122">
        <f t="shared" si="6"/>
        <v>0</v>
      </c>
      <c r="BJ5" s="122">
        <f t="shared" si="6"/>
        <v>0</v>
      </c>
      <c r="BK5" s="122">
        <f t="shared" si="6"/>
        <v>0</v>
      </c>
      <c r="BL5" s="122">
        <f t="shared" si="6"/>
        <v>0</v>
      </c>
      <c r="BM5" s="122">
        <f t="shared" si="6"/>
        <v>0</v>
      </c>
      <c r="BN5" s="122">
        <f t="shared" si="6"/>
        <v>0</v>
      </c>
      <c r="BO5" s="122">
        <f t="shared" si="6"/>
        <v>0</v>
      </c>
      <c r="BP5" s="122">
        <f t="shared" si="6"/>
        <v>0</v>
      </c>
      <c r="BQ5" s="122">
        <f t="shared" si="6"/>
        <v>0</v>
      </c>
      <c r="BR5" s="122">
        <f t="shared" si="6"/>
        <v>0</v>
      </c>
      <c r="BS5" s="122">
        <f t="shared" si="6"/>
        <v>0</v>
      </c>
      <c r="BT5" s="122">
        <f t="shared" si="6"/>
        <v>0</v>
      </c>
      <c r="BU5" s="122">
        <f t="shared" ref="BU5:EF8" si="7">IF(AND(BU$1&gt;=$E5,BU$1&lt;=$F5),$C5/$G5,0)</f>
        <v>0</v>
      </c>
      <c r="BV5" s="122">
        <f t="shared" si="7"/>
        <v>0</v>
      </c>
      <c r="BW5" s="122">
        <f t="shared" si="7"/>
        <v>0</v>
      </c>
      <c r="BX5" s="122">
        <f t="shared" si="7"/>
        <v>0</v>
      </c>
      <c r="BY5" s="122">
        <f t="shared" si="7"/>
        <v>0</v>
      </c>
      <c r="BZ5" s="122">
        <f t="shared" si="7"/>
        <v>0</v>
      </c>
      <c r="CA5" s="122">
        <f t="shared" si="7"/>
        <v>0</v>
      </c>
      <c r="CB5" s="122">
        <f t="shared" si="7"/>
        <v>0</v>
      </c>
      <c r="CC5" s="122">
        <f t="shared" si="7"/>
        <v>0</v>
      </c>
      <c r="CD5" s="122">
        <f t="shared" si="7"/>
        <v>0</v>
      </c>
      <c r="CE5" s="122">
        <f t="shared" si="7"/>
        <v>0</v>
      </c>
      <c r="CF5" s="122">
        <f t="shared" si="7"/>
        <v>0</v>
      </c>
      <c r="CG5" s="122">
        <f t="shared" si="7"/>
        <v>0</v>
      </c>
      <c r="CH5" s="122">
        <f t="shared" si="7"/>
        <v>0</v>
      </c>
      <c r="CI5" s="122">
        <f t="shared" si="7"/>
        <v>0</v>
      </c>
      <c r="CJ5" s="122">
        <f t="shared" si="7"/>
        <v>0</v>
      </c>
      <c r="CK5" s="122">
        <f t="shared" si="7"/>
        <v>0</v>
      </c>
      <c r="CL5" s="122">
        <f t="shared" si="7"/>
        <v>0</v>
      </c>
      <c r="CM5" s="122">
        <f t="shared" si="7"/>
        <v>0</v>
      </c>
      <c r="CN5" s="122">
        <f t="shared" si="7"/>
        <v>0</v>
      </c>
      <c r="CO5" s="122">
        <f t="shared" si="7"/>
        <v>0</v>
      </c>
      <c r="CP5" s="122">
        <f t="shared" si="7"/>
        <v>0</v>
      </c>
      <c r="CQ5" s="122">
        <f t="shared" si="7"/>
        <v>0</v>
      </c>
      <c r="CR5" s="122">
        <f t="shared" si="7"/>
        <v>0</v>
      </c>
      <c r="CS5" s="122">
        <f t="shared" si="7"/>
        <v>0</v>
      </c>
      <c r="CT5" s="122">
        <f t="shared" si="7"/>
        <v>0</v>
      </c>
      <c r="CU5" s="122">
        <f t="shared" si="7"/>
        <v>0</v>
      </c>
      <c r="CV5" s="122">
        <f t="shared" si="7"/>
        <v>0</v>
      </c>
      <c r="CW5" s="122">
        <f t="shared" si="7"/>
        <v>0</v>
      </c>
      <c r="CX5" s="122">
        <f t="shared" si="7"/>
        <v>0</v>
      </c>
      <c r="CY5" s="122">
        <f t="shared" si="7"/>
        <v>0</v>
      </c>
      <c r="CZ5" s="122">
        <f t="shared" si="7"/>
        <v>0</v>
      </c>
      <c r="DA5" s="122">
        <f t="shared" si="7"/>
        <v>0</v>
      </c>
      <c r="DB5" s="122">
        <f t="shared" si="7"/>
        <v>0</v>
      </c>
      <c r="DC5" s="122">
        <f t="shared" si="7"/>
        <v>0</v>
      </c>
      <c r="DD5" s="122">
        <f t="shared" si="7"/>
        <v>0</v>
      </c>
      <c r="DE5" s="122">
        <f t="shared" si="7"/>
        <v>0</v>
      </c>
      <c r="DF5" s="122">
        <f t="shared" si="7"/>
        <v>0</v>
      </c>
      <c r="DG5" s="122">
        <f t="shared" si="7"/>
        <v>0</v>
      </c>
      <c r="DH5" s="122">
        <f t="shared" si="7"/>
        <v>0</v>
      </c>
      <c r="DI5" s="122">
        <f t="shared" si="7"/>
        <v>0</v>
      </c>
      <c r="DJ5" s="122">
        <f t="shared" si="7"/>
        <v>0</v>
      </c>
      <c r="DK5" s="122">
        <f t="shared" si="7"/>
        <v>0</v>
      </c>
      <c r="DL5" s="122">
        <f t="shared" si="7"/>
        <v>0</v>
      </c>
      <c r="DM5" s="122">
        <f t="shared" si="7"/>
        <v>0</v>
      </c>
      <c r="DN5" s="122">
        <f t="shared" si="7"/>
        <v>0</v>
      </c>
      <c r="DO5" s="122">
        <f t="shared" si="7"/>
        <v>0</v>
      </c>
      <c r="DP5" s="122">
        <f t="shared" si="7"/>
        <v>0</v>
      </c>
      <c r="DQ5" s="122">
        <f t="shared" si="7"/>
        <v>0</v>
      </c>
      <c r="DR5" s="122">
        <f t="shared" si="7"/>
        <v>0</v>
      </c>
      <c r="DS5" s="122">
        <f t="shared" si="7"/>
        <v>0</v>
      </c>
      <c r="DT5" s="122">
        <f t="shared" si="7"/>
        <v>0</v>
      </c>
      <c r="DU5" s="122">
        <f t="shared" si="7"/>
        <v>0</v>
      </c>
      <c r="DV5" s="122">
        <f t="shared" si="7"/>
        <v>0</v>
      </c>
      <c r="DW5" s="122">
        <f t="shared" si="7"/>
        <v>0</v>
      </c>
      <c r="DX5" s="122">
        <f t="shared" si="7"/>
        <v>0</v>
      </c>
      <c r="DY5" s="122">
        <f t="shared" si="7"/>
        <v>0</v>
      </c>
      <c r="DZ5" s="122">
        <f t="shared" si="7"/>
        <v>0</v>
      </c>
      <c r="EA5" s="122">
        <f t="shared" si="7"/>
        <v>0</v>
      </c>
      <c r="EB5" s="122">
        <f t="shared" si="7"/>
        <v>0</v>
      </c>
      <c r="EC5" s="122">
        <f t="shared" si="7"/>
        <v>0</v>
      </c>
      <c r="ED5" s="122">
        <f t="shared" si="7"/>
        <v>0</v>
      </c>
      <c r="EE5" s="122">
        <f t="shared" si="7"/>
        <v>0</v>
      </c>
      <c r="EF5" s="122">
        <f t="shared" si="7"/>
        <v>0</v>
      </c>
      <c r="EG5" s="122">
        <f t="shared" ref="EG5:EI20" si="8">IF(AND(EG$1&gt;=$E5,EG$1&lt;=$F5),$C5/$G5,0)</f>
        <v>0</v>
      </c>
      <c r="EH5" s="122">
        <f t="shared" si="8"/>
        <v>0</v>
      </c>
      <c r="EI5" s="122">
        <f t="shared" si="8"/>
        <v>0</v>
      </c>
    </row>
    <row r="6" spans="1:165" x14ac:dyDescent="0.35">
      <c r="A6" s="126" t="str">
        <f t="shared" ref="A6:A21" si="9">IF(ABS(SUM(H6:EI6)-C6)&lt;0.0001,"OK","ERROR")</f>
        <v>OK</v>
      </c>
      <c r="B6" s="16" t="s">
        <v>144</v>
      </c>
      <c r="C6" s="116">
        <v>250000</v>
      </c>
      <c r="D6" s="117">
        <f>C6/Revenue!$A$23</f>
        <v>2272.7272727272725</v>
      </c>
      <c r="E6" s="118">
        <v>3</v>
      </c>
      <c r="F6" s="118">
        <v>7</v>
      </c>
      <c r="G6" s="120">
        <f t="shared" ref="G6:G21" si="10">F6-E6+1</f>
        <v>5</v>
      </c>
      <c r="H6" s="122">
        <f t="shared" ref="H6:W20" si="11">IF(AND(H$1&gt;=$E6,H$1&lt;=$F6),$C6/$G6,0)</f>
        <v>0</v>
      </c>
      <c r="I6" s="122">
        <f t="shared" si="6"/>
        <v>0</v>
      </c>
      <c r="J6" s="122">
        <f t="shared" si="6"/>
        <v>50000</v>
      </c>
      <c r="K6" s="122">
        <f t="shared" si="6"/>
        <v>50000</v>
      </c>
      <c r="L6" s="122">
        <f t="shared" si="6"/>
        <v>50000</v>
      </c>
      <c r="M6" s="122">
        <f t="shared" si="6"/>
        <v>50000</v>
      </c>
      <c r="N6" s="122">
        <f t="shared" si="6"/>
        <v>50000</v>
      </c>
      <c r="O6" s="122">
        <f t="shared" si="6"/>
        <v>0</v>
      </c>
      <c r="P6" s="122">
        <f t="shared" si="6"/>
        <v>0</v>
      </c>
      <c r="Q6" s="122">
        <f t="shared" si="6"/>
        <v>0</v>
      </c>
      <c r="R6" s="122">
        <f t="shared" si="6"/>
        <v>0</v>
      </c>
      <c r="S6" s="122">
        <f t="shared" si="6"/>
        <v>0</v>
      </c>
      <c r="T6" s="122">
        <f t="shared" si="6"/>
        <v>0</v>
      </c>
      <c r="U6" s="122">
        <f t="shared" si="6"/>
        <v>0</v>
      </c>
      <c r="V6" s="122">
        <f t="shared" si="6"/>
        <v>0</v>
      </c>
      <c r="W6" s="122">
        <f t="shared" si="6"/>
        <v>0</v>
      </c>
      <c r="X6" s="122">
        <f t="shared" si="6"/>
        <v>0</v>
      </c>
      <c r="Y6" s="122">
        <f t="shared" si="6"/>
        <v>0</v>
      </c>
      <c r="Z6" s="122">
        <f t="shared" si="6"/>
        <v>0</v>
      </c>
      <c r="AA6" s="122">
        <f t="shared" si="6"/>
        <v>0</v>
      </c>
      <c r="AB6" s="122">
        <f t="shared" si="6"/>
        <v>0</v>
      </c>
      <c r="AC6" s="122">
        <f t="shared" si="6"/>
        <v>0</v>
      </c>
      <c r="AD6" s="122">
        <f t="shared" si="6"/>
        <v>0</v>
      </c>
      <c r="AE6" s="122">
        <f t="shared" si="6"/>
        <v>0</v>
      </c>
      <c r="AF6" s="122">
        <f t="shared" si="6"/>
        <v>0</v>
      </c>
      <c r="AG6" s="122">
        <f t="shared" si="6"/>
        <v>0</v>
      </c>
      <c r="AH6" s="122">
        <f t="shared" si="6"/>
        <v>0</v>
      </c>
      <c r="AI6" s="122">
        <f t="shared" si="6"/>
        <v>0</v>
      </c>
      <c r="AJ6" s="122">
        <f t="shared" si="6"/>
        <v>0</v>
      </c>
      <c r="AK6" s="122">
        <f t="shared" si="6"/>
        <v>0</v>
      </c>
      <c r="AL6" s="122">
        <f t="shared" si="6"/>
        <v>0</v>
      </c>
      <c r="AM6" s="122">
        <f t="shared" si="6"/>
        <v>0</v>
      </c>
      <c r="AN6" s="122">
        <f t="shared" si="6"/>
        <v>0</v>
      </c>
      <c r="AO6" s="122">
        <f t="shared" si="6"/>
        <v>0</v>
      </c>
      <c r="AP6" s="122">
        <f t="shared" si="6"/>
        <v>0</v>
      </c>
      <c r="AQ6" s="122">
        <f t="shared" si="6"/>
        <v>0</v>
      </c>
      <c r="AR6" s="122">
        <f t="shared" si="6"/>
        <v>0</v>
      </c>
      <c r="AS6" s="122">
        <f t="shared" si="6"/>
        <v>0</v>
      </c>
      <c r="AT6" s="122">
        <f t="shared" si="6"/>
        <v>0</v>
      </c>
      <c r="AU6" s="122">
        <f t="shared" si="6"/>
        <v>0</v>
      </c>
      <c r="AV6" s="122">
        <f t="shared" si="6"/>
        <v>0</v>
      </c>
      <c r="AW6" s="122">
        <f t="shared" si="6"/>
        <v>0</v>
      </c>
      <c r="AX6" s="122">
        <f t="shared" si="6"/>
        <v>0</v>
      </c>
      <c r="AY6" s="122">
        <f t="shared" si="6"/>
        <v>0</v>
      </c>
      <c r="AZ6" s="122">
        <f t="shared" si="6"/>
        <v>0</v>
      </c>
      <c r="BA6" s="122">
        <f t="shared" si="6"/>
        <v>0</v>
      </c>
      <c r="BB6" s="122">
        <f t="shared" si="6"/>
        <v>0</v>
      </c>
      <c r="BC6" s="122">
        <f t="shared" si="6"/>
        <v>0</v>
      </c>
      <c r="BD6" s="122">
        <f t="shared" si="6"/>
        <v>0</v>
      </c>
      <c r="BE6" s="122">
        <f t="shared" si="6"/>
        <v>0</v>
      </c>
      <c r="BF6" s="122">
        <f t="shared" si="6"/>
        <v>0</v>
      </c>
      <c r="BG6" s="122">
        <f t="shared" si="6"/>
        <v>0</v>
      </c>
      <c r="BH6" s="122">
        <f t="shared" si="6"/>
        <v>0</v>
      </c>
      <c r="BI6" s="122">
        <f t="shared" si="6"/>
        <v>0</v>
      </c>
      <c r="BJ6" s="122">
        <f t="shared" si="6"/>
        <v>0</v>
      </c>
      <c r="BK6" s="122">
        <f t="shared" si="6"/>
        <v>0</v>
      </c>
      <c r="BL6" s="122">
        <f t="shared" si="6"/>
        <v>0</v>
      </c>
      <c r="BM6" s="122">
        <f t="shared" si="6"/>
        <v>0</v>
      </c>
      <c r="BN6" s="122">
        <f t="shared" si="6"/>
        <v>0</v>
      </c>
      <c r="BO6" s="122">
        <f t="shared" si="6"/>
        <v>0</v>
      </c>
      <c r="BP6" s="122">
        <f t="shared" si="6"/>
        <v>0</v>
      </c>
      <c r="BQ6" s="122">
        <f t="shared" si="6"/>
        <v>0</v>
      </c>
      <c r="BR6" s="122">
        <f t="shared" si="6"/>
        <v>0</v>
      </c>
      <c r="BS6" s="122">
        <f t="shared" si="6"/>
        <v>0</v>
      </c>
      <c r="BT6" s="122">
        <f t="shared" si="6"/>
        <v>0</v>
      </c>
      <c r="BU6" s="122">
        <f t="shared" si="7"/>
        <v>0</v>
      </c>
      <c r="BV6" s="122">
        <f t="shared" si="7"/>
        <v>0</v>
      </c>
      <c r="BW6" s="122">
        <f t="shared" si="7"/>
        <v>0</v>
      </c>
      <c r="BX6" s="122">
        <f t="shared" si="7"/>
        <v>0</v>
      </c>
      <c r="BY6" s="122">
        <f t="shared" si="7"/>
        <v>0</v>
      </c>
      <c r="BZ6" s="122">
        <f t="shared" si="7"/>
        <v>0</v>
      </c>
      <c r="CA6" s="122">
        <f t="shared" si="7"/>
        <v>0</v>
      </c>
      <c r="CB6" s="122">
        <f t="shared" si="7"/>
        <v>0</v>
      </c>
      <c r="CC6" s="122">
        <f t="shared" si="7"/>
        <v>0</v>
      </c>
      <c r="CD6" s="122">
        <f t="shared" si="7"/>
        <v>0</v>
      </c>
      <c r="CE6" s="122">
        <f t="shared" si="7"/>
        <v>0</v>
      </c>
      <c r="CF6" s="122">
        <f t="shared" si="7"/>
        <v>0</v>
      </c>
      <c r="CG6" s="122">
        <f t="shared" si="7"/>
        <v>0</v>
      </c>
      <c r="CH6" s="122">
        <f t="shared" si="7"/>
        <v>0</v>
      </c>
      <c r="CI6" s="122">
        <f t="shared" si="7"/>
        <v>0</v>
      </c>
      <c r="CJ6" s="122">
        <f t="shared" si="7"/>
        <v>0</v>
      </c>
      <c r="CK6" s="122">
        <f t="shared" si="7"/>
        <v>0</v>
      </c>
      <c r="CL6" s="122">
        <f t="shared" si="7"/>
        <v>0</v>
      </c>
      <c r="CM6" s="122">
        <f t="shared" si="7"/>
        <v>0</v>
      </c>
      <c r="CN6" s="122">
        <f t="shared" si="7"/>
        <v>0</v>
      </c>
      <c r="CO6" s="122">
        <f t="shared" si="7"/>
        <v>0</v>
      </c>
      <c r="CP6" s="122">
        <f t="shared" si="7"/>
        <v>0</v>
      </c>
      <c r="CQ6" s="122">
        <f t="shared" si="7"/>
        <v>0</v>
      </c>
      <c r="CR6" s="122">
        <f t="shared" si="7"/>
        <v>0</v>
      </c>
      <c r="CS6" s="122">
        <f t="shared" si="7"/>
        <v>0</v>
      </c>
      <c r="CT6" s="122">
        <f t="shared" si="7"/>
        <v>0</v>
      </c>
      <c r="CU6" s="122">
        <f t="shared" si="7"/>
        <v>0</v>
      </c>
      <c r="CV6" s="122">
        <f t="shared" si="7"/>
        <v>0</v>
      </c>
      <c r="CW6" s="122">
        <f t="shared" si="7"/>
        <v>0</v>
      </c>
      <c r="CX6" s="122">
        <f t="shared" si="7"/>
        <v>0</v>
      </c>
      <c r="CY6" s="122">
        <f t="shared" si="7"/>
        <v>0</v>
      </c>
      <c r="CZ6" s="122">
        <f t="shared" si="7"/>
        <v>0</v>
      </c>
      <c r="DA6" s="122">
        <f t="shared" si="7"/>
        <v>0</v>
      </c>
      <c r="DB6" s="122">
        <f t="shared" si="7"/>
        <v>0</v>
      </c>
      <c r="DC6" s="122">
        <f t="shared" si="7"/>
        <v>0</v>
      </c>
      <c r="DD6" s="122">
        <f t="shared" si="7"/>
        <v>0</v>
      </c>
      <c r="DE6" s="122">
        <f t="shared" si="7"/>
        <v>0</v>
      </c>
      <c r="DF6" s="122">
        <f t="shared" si="7"/>
        <v>0</v>
      </c>
      <c r="DG6" s="122">
        <f t="shared" si="7"/>
        <v>0</v>
      </c>
      <c r="DH6" s="122">
        <f t="shared" si="7"/>
        <v>0</v>
      </c>
      <c r="DI6" s="122">
        <f t="shared" si="7"/>
        <v>0</v>
      </c>
      <c r="DJ6" s="122">
        <f t="shared" si="7"/>
        <v>0</v>
      </c>
      <c r="DK6" s="122">
        <f t="shared" si="7"/>
        <v>0</v>
      </c>
      <c r="DL6" s="122">
        <f t="shared" si="7"/>
        <v>0</v>
      </c>
      <c r="DM6" s="122">
        <f t="shared" si="7"/>
        <v>0</v>
      </c>
      <c r="DN6" s="122">
        <f t="shared" si="7"/>
        <v>0</v>
      </c>
      <c r="DO6" s="122">
        <f t="shared" si="7"/>
        <v>0</v>
      </c>
      <c r="DP6" s="122">
        <f t="shared" si="7"/>
        <v>0</v>
      </c>
      <c r="DQ6" s="122">
        <f t="shared" si="7"/>
        <v>0</v>
      </c>
      <c r="DR6" s="122">
        <f t="shared" si="7"/>
        <v>0</v>
      </c>
      <c r="DS6" s="122">
        <f t="shared" si="7"/>
        <v>0</v>
      </c>
      <c r="DT6" s="122">
        <f t="shared" si="7"/>
        <v>0</v>
      </c>
      <c r="DU6" s="122">
        <f t="shared" si="7"/>
        <v>0</v>
      </c>
      <c r="DV6" s="122">
        <f t="shared" si="7"/>
        <v>0</v>
      </c>
      <c r="DW6" s="122">
        <f t="shared" si="7"/>
        <v>0</v>
      </c>
      <c r="DX6" s="122">
        <f t="shared" si="7"/>
        <v>0</v>
      </c>
      <c r="DY6" s="122">
        <f t="shared" si="7"/>
        <v>0</v>
      </c>
      <c r="DZ6" s="122">
        <f t="shared" si="7"/>
        <v>0</v>
      </c>
      <c r="EA6" s="122">
        <f t="shared" si="7"/>
        <v>0</v>
      </c>
      <c r="EB6" s="122">
        <f t="shared" si="7"/>
        <v>0</v>
      </c>
      <c r="EC6" s="122">
        <f t="shared" si="7"/>
        <v>0</v>
      </c>
      <c r="ED6" s="122">
        <f t="shared" si="7"/>
        <v>0</v>
      </c>
      <c r="EE6" s="122">
        <f t="shared" si="7"/>
        <v>0</v>
      </c>
      <c r="EF6" s="122">
        <f t="shared" si="7"/>
        <v>0</v>
      </c>
      <c r="EG6" s="122">
        <f t="shared" si="8"/>
        <v>0</v>
      </c>
      <c r="EH6" s="122">
        <f t="shared" si="8"/>
        <v>0</v>
      </c>
      <c r="EI6" s="122">
        <f t="shared" si="8"/>
        <v>0</v>
      </c>
    </row>
    <row r="7" spans="1:165" x14ac:dyDescent="0.35">
      <c r="A7" s="126" t="str">
        <f t="shared" si="9"/>
        <v>OK</v>
      </c>
      <c r="B7" s="16" t="s">
        <v>145</v>
      </c>
      <c r="C7" s="116">
        <v>400000</v>
      </c>
      <c r="D7" s="117">
        <f>C7/Revenue!$A$23</f>
        <v>3636.3636363636365</v>
      </c>
      <c r="E7" s="118">
        <v>6</v>
      </c>
      <c r="F7" s="118">
        <v>9</v>
      </c>
      <c r="G7" s="120">
        <f t="shared" si="10"/>
        <v>4</v>
      </c>
      <c r="H7" s="122">
        <f t="shared" si="11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100000</v>
      </c>
      <c r="N7" s="122">
        <f t="shared" si="6"/>
        <v>100000</v>
      </c>
      <c r="O7" s="122">
        <f t="shared" si="6"/>
        <v>100000</v>
      </c>
      <c r="P7" s="122">
        <f t="shared" si="6"/>
        <v>100000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Z7" s="122">
        <f t="shared" si="6"/>
        <v>0</v>
      </c>
      <c r="AA7" s="122">
        <f t="shared" si="6"/>
        <v>0</v>
      </c>
      <c r="AB7" s="122">
        <f t="shared" si="6"/>
        <v>0</v>
      </c>
      <c r="AC7" s="122">
        <f t="shared" si="6"/>
        <v>0</v>
      </c>
      <c r="AD7" s="122">
        <f t="shared" si="6"/>
        <v>0</v>
      </c>
      <c r="AE7" s="122">
        <f t="shared" si="6"/>
        <v>0</v>
      </c>
      <c r="AF7" s="122">
        <f t="shared" si="6"/>
        <v>0</v>
      </c>
      <c r="AG7" s="122">
        <f t="shared" si="6"/>
        <v>0</v>
      </c>
      <c r="AH7" s="122">
        <f t="shared" si="6"/>
        <v>0</v>
      </c>
      <c r="AI7" s="122">
        <f t="shared" si="6"/>
        <v>0</v>
      </c>
      <c r="AJ7" s="122">
        <f t="shared" si="6"/>
        <v>0</v>
      </c>
      <c r="AK7" s="122">
        <f t="shared" si="6"/>
        <v>0</v>
      </c>
      <c r="AL7" s="122">
        <f t="shared" si="6"/>
        <v>0</v>
      </c>
      <c r="AM7" s="122">
        <f t="shared" si="6"/>
        <v>0</v>
      </c>
      <c r="AN7" s="122">
        <f t="shared" si="6"/>
        <v>0</v>
      </c>
      <c r="AO7" s="122">
        <f t="shared" si="6"/>
        <v>0</v>
      </c>
      <c r="AP7" s="122">
        <f t="shared" si="6"/>
        <v>0</v>
      </c>
      <c r="AQ7" s="122">
        <f t="shared" si="6"/>
        <v>0</v>
      </c>
      <c r="AR7" s="122">
        <f t="shared" si="6"/>
        <v>0</v>
      </c>
      <c r="AS7" s="122">
        <f t="shared" si="6"/>
        <v>0</v>
      </c>
      <c r="AT7" s="122">
        <f t="shared" si="6"/>
        <v>0</v>
      </c>
      <c r="AU7" s="122">
        <f t="shared" si="6"/>
        <v>0</v>
      </c>
      <c r="AV7" s="122">
        <f t="shared" si="6"/>
        <v>0</v>
      </c>
      <c r="AW7" s="122">
        <f t="shared" si="6"/>
        <v>0</v>
      </c>
      <c r="AX7" s="122">
        <f t="shared" si="6"/>
        <v>0</v>
      </c>
      <c r="AY7" s="122">
        <f t="shared" si="6"/>
        <v>0</v>
      </c>
      <c r="AZ7" s="122">
        <f t="shared" si="6"/>
        <v>0</v>
      </c>
      <c r="BA7" s="122">
        <f t="shared" si="6"/>
        <v>0</v>
      </c>
      <c r="BB7" s="122">
        <f t="shared" si="6"/>
        <v>0</v>
      </c>
      <c r="BC7" s="122">
        <f t="shared" si="6"/>
        <v>0</v>
      </c>
      <c r="BD7" s="122">
        <f t="shared" si="6"/>
        <v>0</v>
      </c>
      <c r="BE7" s="122">
        <f t="shared" si="6"/>
        <v>0</v>
      </c>
      <c r="BF7" s="122">
        <f t="shared" si="6"/>
        <v>0</v>
      </c>
      <c r="BG7" s="122">
        <f t="shared" si="6"/>
        <v>0</v>
      </c>
      <c r="BH7" s="122">
        <f t="shared" si="6"/>
        <v>0</v>
      </c>
      <c r="BI7" s="122">
        <f t="shared" si="6"/>
        <v>0</v>
      </c>
      <c r="BJ7" s="122">
        <f t="shared" si="6"/>
        <v>0</v>
      </c>
      <c r="BK7" s="122">
        <f t="shared" si="6"/>
        <v>0</v>
      </c>
      <c r="BL7" s="122">
        <f t="shared" si="6"/>
        <v>0</v>
      </c>
      <c r="BM7" s="122">
        <f t="shared" si="6"/>
        <v>0</v>
      </c>
      <c r="BN7" s="122">
        <f t="shared" si="6"/>
        <v>0</v>
      </c>
      <c r="BO7" s="122">
        <f t="shared" si="6"/>
        <v>0</v>
      </c>
      <c r="BP7" s="122">
        <f t="shared" si="6"/>
        <v>0</v>
      </c>
      <c r="BQ7" s="122">
        <f t="shared" si="6"/>
        <v>0</v>
      </c>
      <c r="BR7" s="122">
        <f t="shared" si="6"/>
        <v>0</v>
      </c>
      <c r="BS7" s="122">
        <f t="shared" si="6"/>
        <v>0</v>
      </c>
      <c r="BT7" s="122">
        <f t="shared" si="6"/>
        <v>0</v>
      </c>
      <c r="BU7" s="122">
        <f t="shared" si="7"/>
        <v>0</v>
      </c>
      <c r="BV7" s="122">
        <f t="shared" si="7"/>
        <v>0</v>
      </c>
      <c r="BW7" s="122">
        <f t="shared" si="7"/>
        <v>0</v>
      </c>
      <c r="BX7" s="122">
        <f t="shared" si="7"/>
        <v>0</v>
      </c>
      <c r="BY7" s="122">
        <f t="shared" si="7"/>
        <v>0</v>
      </c>
      <c r="BZ7" s="122">
        <f t="shared" si="7"/>
        <v>0</v>
      </c>
      <c r="CA7" s="122">
        <f t="shared" si="7"/>
        <v>0</v>
      </c>
      <c r="CB7" s="122">
        <f t="shared" si="7"/>
        <v>0</v>
      </c>
      <c r="CC7" s="122">
        <f t="shared" si="7"/>
        <v>0</v>
      </c>
      <c r="CD7" s="122">
        <f t="shared" si="7"/>
        <v>0</v>
      </c>
      <c r="CE7" s="122">
        <f t="shared" si="7"/>
        <v>0</v>
      </c>
      <c r="CF7" s="122">
        <f t="shared" si="7"/>
        <v>0</v>
      </c>
      <c r="CG7" s="122">
        <f t="shared" si="7"/>
        <v>0</v>
      </c>
      <c r="CH7" s="122">
        <f t="shared" si="7"/>
        <v>0</v>
      </c>
      <c r="CI7" s="122">
        <f t="shared" si="7"/>
        <v>0</v>
      </c>
      <c r="CJ7" s="122">
        <f t="shared" si="7"/>
        <v>0</v>
      </c>
      <c r="CK7" s="122">
        <f t="shared" si="7"/>
        <v>0</v>
      </c>
      <c r="CL7" s="122">
        <f t="shared" si="7"/>
        <v>0</v>
      </c>
      <c r="CM7" s="122">
        <f t="shared" si="7"/>
        <v>0</v>
      </c>
      <c r="CN7" s="122">
        <f t="shared" si="7"/>
        <v>0</v>
      </c>
      <c r="CO7" s="122">
        <f t="shared" si="7"/>
        <v>0</v>
      </c>
      <c r="CP7" s="122">
        <f t="shared" si="7"/>
        <v>0</v>
      </c>
      <c r="CQ7" s="122">
        <f t="shared" si="7"/>
        <v>0</v>
      </c>
      <c r="CR7" s="122">
        <f t="shared" si="7"/>
        <v>0</v>
      </c>
      <c r="CS7" s="122">
        <f t="shared" si="7"/>
        <v>0</v>
      </c>
      <c r="CT7" s="122">
        <f t="shared" si="7"/>
        <v>0</v>
      </c>
      <c r="CU7" s="122">
        <f t="shared" si="7"/>
        <v>0</v>
      </c>
      <c r="CV7" s="122">
        <f t="shared" si="7"/>
        <v>0</v>
      </c>
      <c r="CW7" s="122">
        <f t="shared" si="7"/>
        <v>0</v>
      </c>
      <c r="CX7" s="122">
        <f t="shared" si="7"/>
        <v>0</v>
      </c>
      <c r="CY7" s="122">
        <f t="shared" si="7"/>
        <v>0</v>
      </c>
      <c r="CZ7" s="122">
        <f t="shared" si="7"/>
        <v>0</v>
      </c>
      <c r="DA7" s="122">
        <f t="shared" si="7"/>
        <v>0</v>
      </c>
      <c r="DB7" s="122">
        <f t="shared" si="7"/>
        <v>0</v>
      </c>
      <c r="DC7" s="122">
        <f t="shared" si="7"/>
        <v>0</v>
      </c>
      <c r="DD7" s="122">
        <f t="shared" si="7"/>
        <v>0</v>
      </c>
      <c r="DE7" s="122">
        <f t="shared" si="7"/>
        <v>0</v>
      </c>
      <c r="DF7" s="122">
        <f t="shared" si="7"/>
        <v>0</v>
      </c>
      <c r="DG7" s="122">
        <f t="shared" si="7"/>
        <v>0</v>
      </c>
      <c r="DH7" s="122">
        <f t="shared" si="7"/>
        <v>0</v>
      </c>
      <c r="DI7" s="122">
        <f t="shared" si="7"/>
        <v>0</v>
      </c>
      <c r="DJ7" s="122">
        <f t="shared" si="7"/>
        <v>0</v>
      </c>
      <c r="DK7" s="122">
        <f t="shared" si="7"/>
        <v>0</v>
      </c>
      <c r="DL7" s="122">
        <f t="shared" si="7"/>
        <v>0</v>
      </c>
      <c r="DM7" s="122">
        <f t="shared" si="7"/>
        <v>0</v>
      </c>
      <c r="DN7" s="122">
        <f t="shared" si="7"/>
        <v>0</v>
      </c>
      <c r="DO7" s="122">
        <f t="shared" si="7"/>
        <v>0</v>
      </c>
      <c r="DP7" s="122">
        <f t="shared" si="7"/>
        <v>0</v>
      </c>
      <c r="DQ7" s="122">
        <f t="shared" si="7"/>
        <v>0</v>
      </c>
      <c r="DR7" s="122">
        <f t="shared" si="7"/>
        <v>0</v>
      </c>
      <c r="DS7" s="122">
        <f t="shared" si="7"/>
        <v>0</v>
      </c>
      <c r="DT7" s="122">
        <f t="shared" si="7"/>
        <v>0</v>
      </c>
      <c r="DU7" s="122">
        <f t="shared" si="7"/>
        <v>0</v>
      </c>
      <c r="DV7" s="122">
        <f t="shared" si="7"/>
        <v>0</v>
      </c>
      <c r="DW7" s="122">
        <f t="shared" si="7"/>
        <v>0</v>
      </c>
      <c r="DX7" s="122">
        <f t="shared" si="7"/>
        <v>0</v>
      </c>
      <c r="DY7" s="122">
        <f t="shared" si="7"/>
        <v>0</v>
      </c>
      <c r="DZ7" s="122">
        <f t="shared" si="7"/>
        <v>0</v>
      </c>
      <c r="EA7" s="122">
        <f t="shared" si="7"/>
        <v>0</v>
      </c>
      <c r="EB7" s="122">
        <f t="shared" si="7"/>
        <v>0</v>
      </c>
      <c r="EC7" s="122">
        <f t="shared" si="7"/>
        <v>0</v>
      </c>
      <c r="ED7" s="122">
        <f t="shared" si="7"/>
        <v>0</v>
      </c>
      <c r="EE7" s="122">
        <f t="shared" si="7"/>
        <v>0</v>
      </c>
      <c r="EF7" s="122">
        <f t="shared" si="7"/>
        <v>0</v>
      </c>
      <c r="EG7" s="122">
        <f t="shared" si="8"/>
        <v>0</v>
      </c>
      <c r="EH7" s="122">
        <f t="shared" si="8"/>
        <v>0</v>
      </c>
      <c r="EI7" s="122">
        <f t="shared" si="8"/>
        <v>0</v>
      </c>
    </row>
    <row r="8" spans="1:165" x14ac:dyDescent="0.35">
      <c r="A8" s="126" t="str">
        <f t="shared" si="9"/>
        <v>OK</v>
      </c>
      <c r="B8" s="16" t="s">
        <v>146</v>
      </c>
      <c r="C8" s="116">
        <v>30000</v>
      </c>
      <c r="D8" s="117">
        <f>C8/Revenue!$A$23</f>
        <v>272.72727272727275</v>
      </c>
      <c r="E8" s="118">
        <v>10</v>
      </c>
      <c r="F8" s="118">
        <v>12</v>
      </c>
      <c r="G8" s="120">
        <f t="shared" si="10"/>
        <v>3</v>
      </c>
      <c r="H8" s="122">
        <f t="shared" si="11"/>
        <v>0</v>
      </c>
      <c r="I8" s="122">
        <f t="shared" si="6"/>
        <v>0</v>
      </c>
      <c r="J8" s="122">
        <f t="shared" si="6"/>
        <v>0</v>
      </c>
      <c r="K8" s="122">
        <f t="shared" si="6"/>
        <v>0</v>
      </c>
      <c r="L8" s="122">
        <f t="shared" si="6"/>
        <v>0</v>
      </c>
      <c r="M8" s="122">
        <f t="shared" si="6"/>
        <v>0</v>
      </c>
      <c r="N8" s="122">
        <f t="shared" si="6"/>
        <v>0</v>
      </c>
      <c r="O8" s="122">
        <f t="shared" si="6"/>
        <v>0</v>
      </c>
      <c r="P8" s="122">
        <f t="shared" si="6"/>
        <v>0</v>
      </c>
      <c r="Q8" s="122">
        <f t="shared" si="6"/>
        <v>10000</v>
      </c>
      <c r="R8" s="122">
        <f t="shared" si="6"/>
        <v>10000</v>
      </c>
      <c r="S8" s="122">
        <f t="shared" si="6"/>
        <v>10000</v>
      </c>
      <c r="T8" s="122">
        <f t="shared" si="6"/>
        <v>0</v>
      </c>
      <c r="U8" s="122">
        <f t="shared" si="6"/>
        <v>0</v>
      </c>
      <c r="V8" s="122">
        <f t="shared" si="6"/>
        <v>0</v>
      </c>
      <c r="W8" s="122">
        <f t="shared" si="6"/>
        <v>0</v>
      </c>
      <c r="X8" s="122">
        <f t="shared" si="6"/>
        <v>0</v>
      </c>
      <c r="Y8" s="122">
        <f t="shared" si="6"/>
        <v>0</v>
      </c>
      <c r="Z8" s="122">
        <f t="shared" si="6"/>
        <v>0</v>
      </c>
      <c r="AA8" s="122">
        <f t="shared" si="6"/>
        <v>0</v>
      </c>
      <c r="AB8" s="122">
        <f t="shared" si="6"/>
        <v>0</v>
      </c>
      <c r="AC8" s="122">
        <f t="shared" si="6"/>
        <v>0</v>
      </c>
      <c r="AD8" s="122">
        <f t="shared" si="6"/>
        <v>0</v>
      </c>
      <c r="AE8" s="122">
        <f t="shared" si="6"/>
        <v>0</v>
      </c>
      <c r="AF8" s="122">
        <f t="shared" si="6"/>
        <v>0</v>
      </c>
      <c r="AG8" s="122">
        <f t="shared" si="6"/>
        <v>0</v>
      </c>
      <c r="AH8" s="122">
        <f t="shared" si="6"/>
        <v>0</v>
      </c>
      <c r="AI8" s="122">
        <f t="shared" si="6"/>
        <v>0</v>
      </c>
      <c r="AJ8" s="122">
        <f t="shared" si="6"/>
        <v>0</v>
      </c>
      <c r="AK8" s="122">
        <f t="shared" si="6"/>
        <v>0</v>
      </c>
      <c r="AL8" s="122">
        <f t="shared" si="6"/>
        <v>0</v>
      </c>
      <c r="AM8" s="122">
        <f t="shared" si="6"/>
        <v>0</v>
      </c>
      <c r="AN8" s="122">
        <f t="shared" si="6"/>
        <v>0</v>
      </c>
      <c r="AO8" s="122">
        <f t="shared" si="6"/>
        <v>0</v>
      </c>
      <c r="AP8" s="122">
        <f t="shared" si="6"/>
        <v>0</v>
      </c>
      <c r="AQ8" s="122">
        <f t="shared" si="6"/>
        <v>0</v>
      </c>
      <c r="AR8" s="122">
        <f t="shared" si="6"/>
        <v>0</v>
      </c>
      <c r="AS8" s="122">
        <f t="shared" si="6"/>
        <v>0</v>
      </c>
      <c r="AT8" s="122">
        <f t="shared" si="6"/>
        <v>0</v>
      </c>
      <c r="AU8" s="122">
        <f t="shared" si="6"/>
        <v>0</v>
      </c>
      <c r="AV8" s="122">
        <f t="shared" si="6"/>
        <v>0</v>
      </c>
      <c r="AW8" s="122">
        <f t="shared" si="6"/>
        <v>0</v>
      </c>
      <c r="AX8" s="122">
        <f t="shared" si="6"/>
        <v>0</v>
      </c>
      <c r="AY8" s="122">
        <f t="shared" si="6"/>
        <v>0</v>
      </c>
      <c r="AZ8" s="122">
        <f t="shared" si="6"/>
        <v>0</v>
      </c>
      <c r="BA8" s="122">
        <f t="shared" si="6"/>
        <v>0</v>
      </c>
      <c r="BB8" s="122">
        <f t="shared" si="6"/>
        <v>0</v>
      </c>
      <c r="BC8" s="122">
        <f t="shared" si="6"/>
        <v>0</v>
      </c>
      <c r="BD8" s="122">
        <f t="shared" si="6"/>
        <v>0</v>
      </c>
      <c r="BE8" s="122">
        <f t="shared" si="6"/>
        <v>0</v>
      </c>
      <c r="BF8" s="122">
        <f t="shared" si="6"/>
        <v>0</v>
      </c>
      <c r="BG8" s="122">
        <f t="shared" si="6"/>
        <v>0</v>
      </c>
      <c r="BH8" s="122">
        <f t="shared" si="6"/>
        <v>0</v>
      </c>
      <c r="BI8" s="122">
        <f t="shared" si="6"/>
        <v>0</v>
      </c>
      <c r="BJ8" s="122">
        <f t="shared" si="6"/>
        <v>0</v>
      </c>
      <c r="BK8" s="122">
        <f t="shared" si="6"/>
        <v>0</v>
      </c>
      <c r="BL8" s="122">
        <f t="shared" si="6"/>
        <v>0</v>
      </c>
      <c r="BM8" s="122">
        <f t="shared" si="6"/>
        <v>0</v>
      </c>
      <c r="BN8" s="122">
        <f t="shared" si="6"/>
        <v>0</v>
      </c>
      <c r="BO8" s="122">
        <f t="shared" si="6"/>
        <v>0</v>
      </c>
      <c r="BP8" s="122">
        <f t="shared" si="6"/>
        <v>0</v>
      </c>
      <c r="BQ8" s="122">
        <f t="shared" si="6"/>
        <v>0</v>
      </c>
      <c r="BR8" s="122">
        <f t="shared" si="6"/>
        <v>0</v>
      </c>
      <c r="BS8" s="122">
        <f t="shared" si="6"/>
        <v>0</v>
      </c>
      <c r="BT8" s="122">
        <f t="shared" ref="I8:BT12" si="12">IF(AND(BT$1&gt;=$E8,BT$1&lt;=$F8),$C8/$G8,0)</f>
        <v>0</v>
      </c>
      <c r="BU8" s="122">
        <f t="shared" si="7"/>
        <v>0</v>
      </c>
      <c r="BV8" s="122">
        <f t="shared" si="7"/>
        <v>0</v>
      </c>
      <c r="BW8" s="122">
        <f t="shared" si="7"/>
        <v>0</v>
      </c>
      <c r="BX8" s="122">
        <f t="shared" si="7"/>
        <v>0</v>
      </c>
      <c r="BY8" s="122">
        <f t="shared" si="7"/>
        <v>0</v>
      </c>
      <c r="BZ8" s="122">
        <f t="shared" si="7"/>
        <v>0</v>
      </c>
      <c r="CA8" s="122">
        <f t="shared" si="7"/>
        <v>0</v>
      </c>
      <c r="CB8" s="122">
        <f t="shared" si="7"/>
        <v>0</v>
      </c>
      <c r="CC8" s="122">
        <f t="shared" si="7"/>
        <v>0</v>
      </c>
      <c r="CD8" s="122">
        <f t="shared" si="7"/>
        <v>0</v>
      </c>
      <c r="CE8" s="122">
        <f t="shared" si="7"/>
        <v>0</v>
      </c>
      <c r="CF8" s="122">
        <f t="shared" si="7"/>
        <v>0</v>
      </c>
      <c r="CG8" s="122">
        <f t="shared" si="7"/>
        <v>0</v>
      </c>
      <c r="CH8" s="122">
        <f t="shared" si="7"/>
        <v>0</v>
      </c>
      <c r="CI8" s="122">
        <f t="shared" si="7"/>
        <v>0</v>
      </c>
      <c r="CJ8" s="122">
        <f t="shared" si="7"/>
        <v>0</v>
      </c>
      <c r="CK8" s="122">
        <f t="shared" si="7"/>
        <v>0</v>
      </c>
      <c r="CL8" s="122">
        <f t="shared" si="7"/>
        <v>0</v>
      </c>
      <c r="CM8" s="122">
        <f t="shared" si="7"/>
        <v>0</v>
      </c>
      <c r="CN8" s="122">
        <f t="shared" si="7"/>
        <v>0</v>
      </c>
      <c r="CO8" s="122">
        <f t="shared" si="7"/>
        <v>0</v>
      </c>
      <c r="CP8" s="122">
        <f t="shared" si="7"/>
        <v>0</v>
      </c>
      <c r="CQ8" s="122">
        <f t="shared" si="7"/>
        <v>0</v>
      </c>
      <c r="CR8" s="122">
        <f t="shared" si="7"/>
        <v>0</v>
      </c>
      <c r="CS8" s="122">
        <f t="shared" si="7"/>
        <v>0</v>
      </c>
      <c r="CT8" s="122">
        <f t="shared" si="7"/>
        <v>0</v>
      </c>
      <c r="CU8" s="122">
        <f t="shared" si="7"/>
        <v>0</v>
      </c>
      <c r="CV8" s="122">
        <f t="shared" si="7"/>
        <v>0</v>
      </c>
      <c r="CW8" s="122">
        <f t="shared" si="7"/>
        <v>0</v>
      </c>
      <c r="CX8" s="122">
        <f t="shared" si="7"/>
        <v>0</v>
      </c>
      <c r="CY8" s="122">
        <f t="shared" si="7"/>
        <v>0</v>
      </c>
      <c r="CZ8" s="122">
        <f t="shared" si="7"/>
        <v>0</v>
      </c>
      <c r="DA8" s="122">
        <f t="shared" si="7"/>
        <v>0</v>
      </c>
      <c r="DB8" s="122">
        <f t="shared" si="7"/>
        <v>0</v>
      </c>
      <c r="DC8" s="122">
        <f t="shared" si="7"/>
        <v>0</v>
      </c>
      <c r="DD8" s="122">
        <f t="shared" si="7"/>
        <v>0</v>
      </c>
      <c r="DE8" s="122">
        <f t="shared" si="7"/>
        <v>0</v>
      </c>
      <c r="DF8" s="122">
        <f t="shared" si="7"/>
        <v>0</v>
      </c>
      <c r="DG8" s="122">
        <f t="shared" si="7"/>
        <v>0</v>
      </c>
      <c r="DH8" s="122">
        <f t="shared" si="7"/>
        <v>0</v>
      </c>
      <c r="DI8" s="122">
        <f t="shared" si="7"/>
        <v>0</v>
      </c>
      <c r="DJ8" s="122">
        <f t="shared" si="7"/>
        <v>0</v>
      </c>
      <c r="DK8" s="122">
        <f t="shared" si="7"/>
        <v>0</v>
      </c>
      <c r="DL8" s="122">
        <f t="shared" si="7"/>
        <v>0</v>
      </c>
      <c r="DM8" s="122">
        <f t="shared" si="7"/>
        <v>0</v>
      </c>
      <c r="DN8" s="122">
        <f t="shared" si="7"/>
        <v>0</v>
      </c>
      <c r="DO8" s="122">
        <f t="shared" si="7"/>
        <v>0</v>
      </c>
      <c r="DP8" s="122">
        <f t="shared" si="7"/>
        <v>0</v>
      </c>
      <c r="DQ8" s="122">
        <f t="shared" si="7"/>
        <v>0</v>
      </c>
      <c r="DR8" s="122">
        <f t="shared" si="7"/>
        <v>0</v>
      </c>
      <c r="DS8" s="122">
        <f t="shared" si="7"/>
        <v>0</v>
      </c>
      <c r="DT8" s="122">
        <f t="shared" si="7"/>
        <v>0</v>
      </c>
      <c r="DU8" s="122">
        <f t="shared" si="7"/>
        <v>0</v>
      </c>
      <c r="DV8" s="122">
        <f t="shared" si="7"/>
        <v>0</v>
      </c>
      <c r="DW8" s="122">
        <f t="shared" si="7"/>
        <v>0</v>
      </c>
      <c r="DX8" s="122">
        <f t="shared" si="7"/>
        <v>0</v>
      </c>
      <c r="DY8" s="122">
        <f t="shared" si="7"/>
        <v>0</v>
      </c>
      <c r="DZ8" s="122">
        <f t="shared" si="7"/>
        <v>0</v>
      </c>
      <c r="EA8" s="122">
        <f t="shared" si="7"/>
        <v>0</v>
      </c>
      <c r="EB8" s="122">
        <f t="shared" si="7"/>
        <v>0</v>
      </c>
      <c r="EC8" s="122">
        <f t="shared" si="7"/>
        <v>0</v>
      </c>
      <c r="ED8" s="122">
        <f t="shared" si="7"/>
        <v>0</v>
      </c>
      <c r="EE8" s="122">
        <f t="shared" si="7"/>
        <v>0</v>
      </c>
      <c r="EF8" s="122">
        <f t="shared" ref="BU8:EF12" si="13">IF(AND(EF$1&gt;=$E8,EF$1&lt;=$F8),$C8/$G8,0)</f>
        <v>0</v>
      </c>
      <c r="EG8" s="122">
        <f t="shared" si="8"/>
        <v>0</v>
      </c>
      <c r="EH8" s="122">
        <f t="shared" si="8"/>
        <v>0</v>
      </c>
      <c r="EI8" s="122">
        <f t="shared" si="8"/>
        <v>0</v>
      </c>
    </row>
    <row r="9" spans="1:165" x14ac:dyDescent="0.35">
      <c r="A9" s="126" t="str">
        <f t="shared" si="9"/>
        <v>OK</v>
      </c>
      <c r="B9" s="16" t="s">
        <v>147</v>
      </c>
      <c r="C9" s="116">
        <v>0</v>
      </c>
      <c r="D9" s="117">
        <f>C9/Revenue!$A$23</f>
        <v>0</v>
      </c>
      <c r="E9" s="118">
        <v>1</v>
      </c>
      <c r="F9" s="118">
        <v>1</v>
      </c>
      <c r="G9" s="120">
        <f t="shared" si="10"/>
        <v>1</v>
      </c>
      <c r="H9" s="122">
        <f t="shared" si="11"/>
        <v>0</v>
      </c>
      <c r="I9" s="122">
        <f t="shared" si="12"/>
        <v>0</v>
      </c>
      <c r="J9" s="122">
        <f t="shared" si="12"/>
        <v>0</v>
      </c>
      <c r="K9" s="122">
        <f t="shared" si="12"/>
        <v>0</v>
      </c>
      <c r="L9" s="122">
        <f t="shared" si="12"/>
        <v>0</v>
      </c>
      <c r="M9" s="122">
        <f t="shared" si="12"/>
        <v>0</v>
      </c>
      <c r="N9" s="122">
        <f t="shared" si="12"/>
        <v>0</v>
      </c>
      <c r="O9" s="122">
        <f t="shared" si="12"/>
        <v>0</v>
      </c>
      <c r="P9" s="122">
        <f t="shared" si="12"/>
        <v>0</v>
      </c>
      <c r="Q9" s="122">
        <f t="shared" si="12"/>
        <v>0</v>
      </c>
      <c r="R9" s="122">
        <f t="shared" si="12"/>
        <v>0</v>
      </c>
      <c r="S9" s="122">
        <f t="shared" si="12"/>
        <v>0</v>
      </c>
      <c r="T9" s="122">
        <f t="shared" si="12"/>
        <v>0</v>
      </c>
      <c r="U9" s="122">
        <f t="shared" si="12"/>
        <v>0</v>
      </c>
      <c r="V9" s="122">
        <f t="shared" si="12"/>
        <v>0</v>
      </c>
      <c r="W9" s="122">
        <f t="shared" si="12"/>
        <v>0</v>
      </c>
      <c r="X9" s="122">
        <f t="shared" si="12"/>
        <v>0</v>
      </c>
      <c r="Y9" s="122">
        <f t="shared" si="12"/>
        <v>0</v>
      </c>
      <c r="Z9" s="122">
        <f t="shared" si="12"/>
        <v>0</v>
      </c>
      <c r="AA9" s="122">
        <f t="shared" si="12"/>
        <v>0</v>
      </c>
      <c r="AB9" s="122">
        <f t="shared" si="12"/>
        <v>0</v>
      </c>
      <c r="AC9" s="122">
        <f t="shared" si="12"/>
        <v>0</v>
      </c>
      <c r="AD9" s="122">
        <f t="shared" si="12"/>
        <v>0</v>
      </c>
      <c r="AE9" s="122">
        <f t="shared" si="12"/>
        <v>0</v>
      </c>
      <c r="AF9" s="122">
        <f t="shared" si="12"/>
        <v>0</v>
      </c>
      <c r="AG9" s="122">
        <f t="shared" si="12"/>
        <v>0</v>
      </c>
      <c r="AH9" s="122">
        <f t="shared" si="12"/>
        <v>0</v>
      </c>
      <c r="AI9" s="122">
        <f t="shared" si="12"/>
        <v>0</v>
      </c>
      <c r="AJ9" s="122">
        <f t="shared" si="12"/>
        <v>0</v>
      </c>
      <c r="AK9" s="122">
        <f t="shared" si="12"/>
        <v>0</v>
      </c>
      <c r="AL9" s="122">
        <f t="shared" si="12"/>
        <v>0</v>
      </c>
      <c r="AM9" s="122">
        <f t="shared" si="12"/>
        <v>0</v>
      </c>
      <c r="AN9" s="122">
        <f t="shared" si="12"/>
        <v>0</v>
      </c>
      <c r="AO9" s="122">
        <f t="shared" si="12"/>
        <v>0</v>
      </c>
      <c r="AP9" s="122">
        <f t="shared" si="12"/>
        <v>0</v>
      </c>
      <c r="AQ9" s="122">
        <f t="shared" si="12"/>
        <v>0</v>
      </c>
      <c r="AR9" s="122">
        <f t="shared" si="12"/>
        <v>0</v>
      </c>
      <c r="AS9" s="122">
        <f t="shared" si="12"/>
        <v>0</v>
      </c>
      <c r="AT9" s="122">
        <f t="shared" si="12"/>
        <v>0</v>
      </c>
      <c r="AU9" s="122">
        <f t="shared" si="12"/>
        <v>0</v>
      </c>
      <c r="AV9" s="122">
        <f t="shared" si="12"/>
        <v>0</v>
      </c>
      <c r="AW9" s="122">
        <f t="shared" si="12"/>
        <v>0</v>
      </c>
      <c r="AX9" s="122">
        <f t="shared" si="12"/>
        <v>0</v>
      </c>
      <c r="AY9" s="122">
        <f t="shared" si="12"/>
        <v>0</v>
      </c>
      <c r="AZ9" s="122">
        <f t="shared" si="12"/>
        <v>0</v>
      </c>
      <c r="BA9" s="122">
        <f t="shared" si="12"/>
        <v>0</v>
      </c>
      <c r="BB9" s="122">
        <f t="shared" si="12"/>
        <v>0</v>
      </c>
      <c r="BC9" s="122">
        <f t="shared" si="12"/>
        <v>0</v>
      </c>
      <c r="BD9" s="122">
        <f t="shared" si="12"/>
        <v>0</v>
      </c>
      <c r="BE9" s="122">
        <f t="shared" si="12"/>
        <v>0</v>
      </c>
      <c r="BF9" s="122">
        <f t="shared" si="12"/>
        <v>0</v>
      </c>
      <c r="BG9" s="122">
        <f t="shared" si="12"/>
        <v>0</v>
      </c>
      <c r="BH9" s="122">
        <f t="shared" si="12"/>
        <v>0</v>
      </c>
      <c r="BI9" s="122">
        <f t="shared" si="12"/>
        <v>0</v>
      </c>
      <c r="BJ9" s="122">
        <f t="shared" si="12"/>
        <v>0</v>
      </c>
      <c r="BK9" s="122">
        <f t="shared" si="12"/>
        <v>0</v>
      </c>
      <c r="BL9" s="122">
        <f t="shared" si="12"/>
        <v>0</v>
      </c>
      <c r="BM9" s="122">
        <f t="shared" si="12"/>
        <v>0</v>
      </c>
      <c r="BN9" s="122">
        <f t="shared" si="12"/>
        <v>0</v>
      </c>
      <c r="BO9" s="122">
        <f t="shared" si="12"/>
        <v>0</v>
      </c>
      <c r="BP9" s="122">
        <f t="shared" si="12"/>
        <v>0</v>
      </c>
      <c r="BQ9" s="122">
        <f t="shared" si="12"/>
        <v>0</v>
      </c>
      <c r="BR9" s="122">
        <f t="shared" si="12"/>
        <v>0</v>
      </c>
      <c r="BS9" s="122">
        <f t="shared" si="12"/>
        <v>0</v>
      </c>
      <c r="BT9" s="122">
        <f t="shared" si="12"/>
        <v>0</v>
      </c>
      <c r="BU9" s="122">
        <f t="shared" si="13"/>
        <v>0</v>
      </c>
      <c r="BV9" s="122">
        <f t="shared" si="13"/>
        <v>0</v>
      </c>
      <c r="BW9" s="122">
        <f t="shared" si="13"/>
        <v>0</v>
      </c>
      <c r="BX9" s="122">
        <f t="shared" si="13"/>
        <v>0</v>
      </c>
      <c r="BY9" s="122">
        <f t="shared" si="13"/>
        <v>0</v>
      </c>
      <c r="BZ9" s="122">
        <f t="shared" si="13"/>
        <v>0</v>
      </c>
      <c r="CA9" s="122">
        <f t="shared" si="13"/>
        <v>0</v>
      </c>
      <c r="CB9" s="122">
        <f t="shared" si="13"/>
        <v>0</v>
      </c>
      <c r="CC9" s="122">
        <f t="shared" si="13"/>
        <v>0</v>
      </c>
      <c r="CD9" s="122">
        <f t="shared" si="13"/>
        <v>0</v>
      </c>
      <c r="CE9" s="122">
        <f t="shared" si="13"/>
        <v>0</v>
      </c>
      <c r="CF9" s="122">
        <f t="shared" si="13"/>
        <v>0</v>
      </c>
      <c r="CG9" s="122">
        <f t="shared" si="13"/>
        <v>0</v>
      </c>
      <c r="CH9" s="122">
        <f t="shared" si="13"/>
        <v>0</v>
      </c>
      <c r="CI9" s="122">
        <f t="shared" si="13"/>
        <v>0</v>
      </c>
      <c r="CJ9" s="122">
        <f t="shared" si="13"/>
        <v>0</v>
      </c>
      <c r="CK9" s="122">
        <f t="shared" si="13"/>
        <v>0</v>
      </c>
      <c r="CL9" s="122">
        <f t="shared" si="13"/>
        <v>0</v>
      </c>
      <c r="CM9" s="122">
        <f t="shared" si="13"/>
        <v>0</v>
      </c>
      <c r="CN9" s="122">
        <f t="shared" si="13"/>
        <v>0</v>
      </c>
      <c r="CO9" s="122">
        <f t="shared" si="13"/>
        <v>0</v>
      </c>
      <c r="CP9" s="122">
        <f t="shared" si="13"/>
        <v>0</v>
      </c>
      <c r="CQ9" s="122">
        <f t="shared" si="13"/>
        <v>0</v>
      </c>
      <c r="CR9" s="122">
        <f t="shared" si="13"/>
        <v>0</v>
      </c>
      <c r="CS9" s="122">
        <f t="shared" si="13"/>
        <v>0</v>
      </c>
      <c r="CT9" s="122">
        <f t="shared" si="13"/>
        <v>0</v>
      </c>
      <c r="CU9" s="122">
        <f t="shared" si="13"/>
        <v>0</v>
      </c>
      <c r="CV9" s="122">
        <f t="shared" si="13"/>
        <v>0</v>
      </c>
      <c r="CW9" s="122">
        <f t="shared" si="13"/>
        <v>0</v>
      </c>
      <c r="CX9" s="122">
        <f t="shared" si="13"/>
        <v>0</v>
      </c>
      <c r="CY9" s="122">
        <f t="shared" si="13"/>
        <v>0</v>
      </c>
      <c r="CZ9" s="122">
        <f t="shared" si="13"/>
        <v>0</v>
      </c>
      <c r="DA9" s="122">
        <f t="shared" si="13"/>
        <v>0</v>
      </c>
      <c r="DB9" s="122">
        <f t="shared" si="13"/>
        <v>0</v>
      </c>
      <c r="DC9" s="122">
        <f t="shared" si="13"/>
        <v>0</v>
      </c>
      <c r="DD9" s="122">
        <f t="shared" si="13"/>
        <v>0</v>
      </c>
      <c r="DE9" s="122">
        <f t="shared" si="13"/>
        <v>0</v>
      </c>
      <c r="DF9" s="122">
        <f t="shared" si="13"/>
        <v>0</v>
      </c>
      <c r="DG9" s="122">
        <f t="shared" si="13"/>
        <v>0</v>
      </c>
      <c r="DH9" s="122">
        <f t="shared" si="13"/>
        <v>0</v>
      </c>
      <c r="DI9" s="122">
        <f t="shared" si="13"/>
        <v>0</v>
      </c>
      <c r="DJ9" s="122">
        <f t="shared" si="13"/>
        <v>0</v>
      </c>
      <c r="DK9" s="122">
        <f t="shared" si="13"/>
        <v>0</v>
      </c>
      <c r="DL9" s="122">
        <f t="shared" si="13"/>
        <v>0</v>
      </c>
      <c r="DM9" s="122">
        <f t="shared" si="13"/>
        <v>0</v>
      </c>
      <c r="DN9" s="122">
        <f t="shared" si="13"/>
        <v>0</v>
      </c>
      <c r="DO9" s="122">
        <f t="shared" si="13"/>
        <v>0</v>
      </c>
      <c r="DP9" s="122">
        <f t="shared" si="13"/>
        <v>0</v>
      </c>
      <c r="DQ9" s="122">
        <f t="shared" si="13"/>
        <v>0</v>
      </c>
      <c r="DR9" s="122">
        <f t="shared" si="13"/>
        <v>0</v>
      </c>
      <c r="DS9" s="122">
        <f t="shared" si="13"/>
        <v>0</v>
      </c>
      <c r="DT9" s="122">
        <f t="shared" si="13"/>
        <v>0</v>
      </c>
      <c r="DU9" s="122">
        <f t="shared" si="13"/>
        <v>0</v>
      </c>
      <c r="DV9" s="122">
        <f t="shared" si="13"/>
        <v>0</v>
      </c>
      <c r="DW9" s="122">
        <f t="shared" si="13"/>
        <v>0</v>
      </c>
      <c r="DX9" s="122">
        <f t="shared" si="13"/>
        <v>0</v>
      </c>
      <c r="DY9" s="122">
        <f t="shared" si="13"/>
        <v>0</v>
      </c>
      <c r="DZ9" s="122">
        <f t="shared" si="13"/>
        <v>0</v>
      </c>
      <c r="EA9" s="122">
        <f t="shared" si="13"/>
        <v>0</v>
      </c>
      <c r="EB9" s="122">
        <f t="shared" si="13"/>
        <v>0</v>
      </c>
      <c r="EC9" s="122">
        <f t="shared" si="13"/>
        <v>0</v>
      </c>
      <c r="ED9" s="122">
        <f t="shared" si="13"/>
        <v>0</v>
      </c>
      <c r="EE9" s="122">
        <f t="shared" si="13"/>
        <v>0</v>
      </c>
      <c r="EF9" s="122">
        <f t="shared" si="13"/>
        <v>0</v>
      </c>
      <c r="EG9" s="122">
        <f t="shared" si="8"/>
        <v>0</v>
      </c>
      <c r="EH9" s="122">
        <f t="shared" si="8"/>
        <v>0</v>
      </c>
      <c r="EI9" s="122">
        <f t="shared" si="8"/>
        <v>0</v>
      </c>
    </row>
    <row r="10" spans="1:165" x14ac:dyDescent="0.35">
      <c r="A10" s="126" t="str">
        <f t="shared" si="9"/>
        <v>OK</v>
      </c>
      <c r="B10" s="16" t="s">
        <v>147</v>
      </c>
      <c r="C10" s="116">
        <v>0</v>
      </c>
      <c r="D10" s="117">
        <f>C10/Revenue!$A$23</f>
        <v>0</v>
      </c>
      <c r="E10" s="118">
        <v>1</v>
      </c>
      <c r="F10" s="118">
        <v>1</v>
      </c>
      <c r="G10" s="120">
        <f t="shared" si="10"/>
        <v>1</v>
      </c>
      <c r="H10" s="122">
        <f t="shared" si="11"/>
        <v>0</v>
      </c>
      <c r="I10" s="122">
        <f t="shared" si="12"/>
        <v>0</v>
      </c>
      <c r="J10" s="122">
        <f t="shared" si="12"/>
        <v>0</v>
      </c>
      <c r="K10" s="122">
        <f t="shared" si="12"/>
        <v>0</v>
      </c>
      <c r="L10" s="122">
        <f t="shared" si="12"/>
        <v>0</v>
      </c>
      <c r="M10" s="122">
        <f t="shared" si="12"/>
        <v>0</v>
      </c>
      <c r="N10" s="122">
        <f t="shared" si="12"/>
        <v>0</v>
      </c>
      <c r="O10" s="122">
        <f t="shared" si="12"/>
        <v>0</v>
      </c>
      <c r="P10" s="122">
        <f t="shared" si="12"/>
        <v>0</v>
      </c>
      <c r="Q10" s="122">
        <f t="shared" si="12"/>
        <v>0</v>
      </c>
      <c r="R10" s="122">
        <f t="shared" si="12"/>
        <v>0</v>
      </c>
      <c r="S10" s="122">
        <f t="shared" si="12"/>
        <v>0</v>
      </c>
      <c r="T10" s="122">
        <f t="shared" si="12"/>
        <v>0</v>
      </c>
      <c r="U10" s="122">
        <f t="shared" si="12"/>
        <v>0</v>
      </c>
      <c r="V10" s="122">
        <f t="shared" si="12"/>
        <v>0</v>
      </c>
      <c r="W10" s="122">
        <f t="shared" si="12"/>
        <v>0</v>
      </c>
      <c r="X10" s="122">
        <f t="shared" si="12"/>
        <v>0</v>
      </c>
      <c r="Y10" s="122">
        <f t="shared" si="12"/>
        <v>0</v>
      </c>
      <c r="Z10" s="122">
        <f t="shared" si="12"/>
        <v>0</v>
      </c>
      <c r="AA10" s="122">
        <f t="shared" si="12"/>
        <v>0</v>
      </c>
      <c r="AB10" s="122">
        <f t="shared" si="12"/>
        <v>0</v>
      </c>
      <c r="AC10" s="122">
        <f t="shared" si="12"/>
        <v>0</v>
      </c>
      <c r="AD10" s="122">
        <f t="shared" si="12"/>
        <v>0</v>
      </c>
      <c r="AE10" s="122">
        <f t="shared" si="12"/>
        <v>0</v>
      </c>
      <c r="AF10" s="122">
        <f t="shared" si="12"/>
        <v>0</v>
      </c>
      <c r="AG10" s="122">
        <f t="shared" si="12"/>
        <v>0</v>
      </c>
      <c r="AH10" s="122">
        <f t="shared" si="12"/>
        <v>0</v>
      </c>
      <c r="AI10" s="122">
        <f t="shared" si="12"/>
        <v>0</v>
      </c>
      <c r="AJ10" s="122">
        <f t="shared" si="12"/>
        <v>0</v>
      </c>
      <c r="AK10" s="122">
        <f t="shared" si="12"/>
        <v>0</v>
      </c>
      <c r="AL10" s="122">
        <f t="shared" si="12"/>
        <v>0</v>
      </c>
      <c r="AM10" s="122">
        <f t="shared" si="12"/>
        <v>0</v>
      </c>
      <c r="AN10" s="122">
        <f t="shared" si="12"/>
        <v>0</v>
      </c>
      <c r="AO10" s="122">
        <f t="shared" si="12"/>
        <v>0</v>
      </c>
      <c r="AP10" s="122">
        <f t="shared" si="12"/>
        <v>0</v>
      </c>
      <c r="AQ10" s="122">
        <f t="shared" si="12"/>
        <v>0</v>
      </c>
      <c r="AR10" s="122">
        <f t="shared" si="12"/>
        <v>0</v>
      </c>
      <c r="AS10" s="122">
        <f t="shared" si="12"/>
        <v>0</v>
      </c>
      <c r="AT10" s="122">
        <f t="shared" si="12"/>
        <v>0</v>
      </c>
      <c r="AU10" s="122">
        <f t="shared" si="12"/>
        <v>0</v>
      </c>
      <c r="AV10" s="122">
        <f t="shared" si="12"/>
        <v>0</v>
      </c>
      <c r="AW10" s="122">
        <f t="shared" si="12"/>
        <v>0</v>
      </c>
      <c r="AX10" s="122">
        <f t="shared" si="12"/>
        <v>0</v>
      </c>
      <c r="AY10" s="122">
        <f t="shared" si="12"/>
        <v>0</v>
      </c>
      <c r="AZ10" s="122">
        <f t="shared" si="12"/>
        <v>0</v>
      </c>
      <c r="BA10" s="122">
        <f t="shared" si="12"/>
        <v>0</v>
      </c>
      <c r="BB10" s="122">
        <f t="shared" si="12"/>
        <v>0</v>
      </c>
      <c r="BC10" s="122">
        <f t="shared" si="12"/>
        <v>0</v>
      </c>
      <c r="BD10" s="122">
        <f t="shared" si="12"/>
        <v>0</v>
      </c>
      <c r="BE10" s="122">
        <f t="shared" si="12"/>
        <v>0</v>
      </c>
      <c r="BF10" s="122">
        <f t="shared" si="12"/>
        <v>0</v>
      </c>
      <c r="BG10" s="122">
        <f t="shared" si="12"/>
        <v>0</v>
      </c>
      <c r="BH10" s="122">
        <f t="shared" si="12"/>
        <v>0</v>
      </c>
      <c r="BI10" s="122">
        <f t="shared" si="12"/>
        <v>0</v>
      </c>
      <c r="BJ10" s="122">
        <f t="shared" si="12"/>
        <v>0</v>
      </c>
      <c r="BK10" s="122">
        <f t="shared" si="12"/>
        <v>0</v>
      </c>
      <c r="BL10" s="122">
        <f t="shared" si="12"/>
        <v>0</v>
      </c>
      <c r="BM10" s="122">
        <f t="shared" si="12"/>
        <v>0</v>
      </c>
      <c r="BN10" s="122">
        <f t="shared" si="12"/>
        <v>0</v>
      </c>
      <c r="BO10" s="122">
        <f t="shared" si="12"/>
        <v>0</v>
      </c>
      <c r="BP10" s="122">
        <f t="shared" si="12"/>
        <v>0</v>
      </c>
      <c r="BQ10" s="122">
        <f t="shared" si="12"/>
        <v>0</v>
      </c>
      <c r="BR10" s="122">
        <f t="shared" si="12"/>
        <v>0</v>
      </c>
      <c r="BS10" s="122">
        <f t="shared" si="12"/>
        <v>0</v>
      </c>
      <c r="BT10" s="122">
        <f t="shared" si="12"/>
        <v>0</v>
      </c>
      <c r="BU10" s="122">
        <f t="shared" si="13"/>
        <v>0</v>
      </c>
      <c r="BV10" s="122">
        <f t="shared" si="13"/>
        <v>0</v>
      </c>
      <c r="BW10" s="122">
        <f t="shared" si="13"/>
        <v>0</v>
      </c>
      <c r="BX10" s="122">
        <f t="shared" si="13"/>
        <v>0</v>
      </c>
      <c r="BY10" s="122">
        <f t="shared" si="13"/>
        <v>0</v>
      </c>
      <c r="BZ10" s="122">
        <f t="shared" si="13"/>
        <v>0</v>
      </c>
      <c r="CA10" s="122">
        <f t="shared" si="13"/>
        <v>0</v>
      </c>
      <c r="CB10" s="122">
        <f t="shared" si="13"/>
        <v>0</v>
      </c>
      <c r="CC10" s="122">
        <f t="shared" si="13"/>
        <v>0</v>
      </c>
      <c r="CD10" s="122">
        <f t="shared" si="13"/>
        <v>0</v>
      </c>
      <c r="CE10" s="122">
        <f t="shared" si="13"/>
        <v>0</v>
      </c>
      <c r="CF10" s="122">
        <f t="shared" si="13"/>
        <v>0</v>
      </c>
      <c r="CG10" s="122">
        <f t="shared" si="13"/>
        <v>0</v>
      </c>
      <c r="CH10" s="122">
        <f t="shared" si="13"/>
        <v>0</v>
      </c>
      <c r="CI10" s="122">
        <f t="shared" si="13"/>
        <v>0</v>
      </c>
      <c r="CJ10" s="122">
        <f t="shared" si="13"/>
        <v>0</v>
      </c>
      <c r="CK10" s="122">
        <f t="shared" si="13"/>
        <v>0</v>
      </c>
      <c r="CL10" s="122">
        <f t="shared" si="13"/>
        <v>0</v>
      </c>
      <c r="CM10" s="122">
        <f t="shared" si="13"/>
        <v>0</v>
      </c>
      <c r="CN10" s="122">
        <f t="shared" si="13"/>
        <v>0</v>
      </c>
      <c r="CO10" s="122">
        <f t="shared" si="13"/>
        <v>0</v>
      </c>
      <c r="CP10" s="122">
        <f t="shared" si="13"/>
        <v>0</v>
      </c>
      <c r="CQ10" s="122">
        <f t="shared" si="13"/>
        <v>0</v>
      </c>
      <c r="CR10" s="122">
        <f t="shared" si="13"/>
        <v>0</v>
      </c>
      <c r="CS10" s="122">
        <f t="shared" si="13"/>
        <v>0</v>
      </c>
      <c r="CT10" s="122">
        <f t="shared" si="13"/>
        <v>0</v>
      </c>
      <c r="CU10" s="122">
        <f t="shared" si="13"/>
        <v>0</v>
      </c>
      <c r="CV10" s="122">
        <f t="shared" si="13"/>
        <v>0</v>
      </c>
      <c r="CW10" s="122">
        <f t="shared" si="13"/>
        <v>0</v>
      </c>
      <c r="CX10" s="122">
        <f t="shared" si="13"/>
        <v>0</v>
      </c>
      <c r="CY10" s="122">
        <f t="shared" si="13"/>
        <v>0</v>
      </c>
      <c r="CZ10" s="122">
        <f t="shared" si="13"/>
        <v>0</v>
      </c>
      <c r="DA10" s="122">
        <f t="shared" si="13"/>
        <v>0</v>
      </c>
      <c r="DB10" s="122">
        <f t="shared" si="13"/>
        <v>0</v>
      </c>
      <c r="DC10" s="122">
        <f t="shared" si="13"/>
        <v>0</v>
      </c>
      <c r="DD10" s="122">
        <f t="shared" si="13"/>
        <v>0</v>
      </c>
      <c r="DE10" s="122">
        <f t="shared" si="13"/>
        <v>0</v>
      </c>
      <c r="DF10" s="122">
        <f t="shared" si="13"/>
        <v>0</v>
      </c>
      <c r="DG10" s="122">
        <f t="shared" si="13"/>
        <v>0</v>
      </c>
      <c r="DH10" s="122">
        <f t="shared" si="13"/>
        <v>0</v>
      </c>
      <c r="DI10" s="122">
        <f t="shared" si="13"/>
        <v>0</v>
      </c>
      <c r="DJ10" s="122">
        <f t="shared" si="13"/>
        <v>0</v>
      </c>
      <c r="DK10" s="122">
        <f t="shared" si="13"/>
        <v>0</v>
      </c>
      <c r="DL10" s="122">
        <f t="shared" si="13"/>
        <v>0</v>
      </c>
      <c r="DM10" s="122">
        <f t="shared" si="13"/>
        <v>0</v>
      </c>
      <c r="DN10" s="122">
        <f t="shared" si="13"/>
        <v>0</v>
      </c>
      <c r="DO10" s="122">
        <f t="shared" si="13"/>
        <v>0</v>
      </c>
      <c r="DP10" s="122">
        <f t="shared" si="13"/>
        <v>0</v>
      </c>
      <c r="DQ10" s="122">
        <f t="shared" si="13"/>
        <v>0</v>
      </c>
      <c r="DR10" s="122">
        <f t="shared" si="13"/>
        <v>0</v>
      </c>
      <c r="DS10" s="122">
        <f t="shared" si="13"/>
        <v>0</v>
      </c>
      <c r="DT10" s="122">
        <f t="shared" si="13"/>
        <v>0</v>
      </c>
      <c r="DU10" s="122">
        <f t="shared" si="13"/>
        <v>0</v>
      </c>
      <c r="DV10" s="122">
        <f t="shared" si="13"/>
        <v>0</v>
      </c>
      <c r="DW10" s="122">
        <f t="shared" si="13"/>
        <v>0</v>
      </c>
      <c r="DX10" s="122">
        <f t="shared" si="13"/>
        <v>0</v>
      </c>
      <c r="DY10" s="122">
        <f t="shared" si="13"/>
        <v>0</v>
      </c>
      <c r="DZ10" s="122">
        <f t="shared" si="13"/>
        <v>0</v>
      </c>
      <c r="EA10" s="122">
        <f t="shared" si="13"/>
        <v>0</v>
      </c>
      <c r="EB10" s="122">
        <f t="shared" si="13"/>
        <v>0</v>
      </c>
      <c r="EC10" s="122">
        <f t="shared" si="13"/>
        <v>0</v>
      </c>
      <c r="ED10" s="122">
        <f t="shared" si="13"/>
        <v>0</v>
      </c>
      <c r="EE10" s="122">
        <f t="shared" si="13"/>
        <v>0</v>
      </c>
      <c r="EF10" s="122">
        <f t="shared" si="13"/>
        <v>0</v>
      </c>
      <c r="EG10" s="122">
        <f t="shared" si="8"/>
        <v>0</v>
      </c>
      <c r="EH10" s="122">
        <f t="shared" si="8"/>
        <v>0</v>
      </c>
      <c r="EI10" s="122">
        <f t="shared" si="8"/>
        <v>0</v>
      </c>
    </row>
    <row r="11" spans="1:165" x14ac:dyDescent="0.35">
      <c r="A11" s="126" t="str">
        <f t="shared" si="9"/>
        <v>OK</v>
      </c>
      <c r="B11" s="16" t="s">
        <v>147</v>
      </c>
      <c r="C11" s="116">
        <v>0</v>
      </c>
      <c r="D11" s="117">
        <f>C11/Revenue!$A$23</f>
        <v>0</v>
      </c>
      <c r="E11" s="118">
        <v>1</v>
      </c>
      <c r="F11" s="118">
        <v>1</v>
      </c>
      <c r="G11" s="120">
        <f t="shared" si="10"/>
        <v>1</v>
      </c>
      <c r="H11" s="122">
        <f t="shared" si="11"/>
        <v>0</v>
      </c>
      <c r="I11" s="122">
        <f t="shared" si="12"/>
        <v>0</v>
      </c>
      <c r="J11" s="122">
        <f t="shared" si="12"/>
        <v>0</v>
      </c>
      <c r="K11" s="122">
        <f t="shared" si="12"/>
        <v>0</v>
      </c>
      <c r="L11" s="122">
        <f t="shared" si="12"/>
        <v>0</v>
      </c>
      <c r="M11" s="122">
        <f t="shared" si="12"/>
        <v>0</v>
      </c>
      <c r="N11" s="122">
        <f t="shared" si="12"/>
        <v>0</v>
      </c>
      <c r="O11" s="122">
        <f t="shared" si="12"/>
        <v>0</v>
      </c>
      <c r="P11" s="122">
        <f t="shared" si="12"/>
        <v>0</v>
      </c>
      <c r="Q11" s="122">
        <f t="shared" si="12"/>
        <v>0</v>
      </c>
      <c r="R11" s="122">
        <f t="shared" si="12"/>
        <v>0</v>
      </c>
      <c r="S11" s="122">
        <f t="shared" si="12"/>
        <v>0</v>
      </c>
      <c r="T11" s="122">
        <f t="shared" si="12"/>
        <v>0</v>
      </c>
      <c r="U11" s="122">
        <f t="shared" si="12"/>
        <v>0</v>
      </c>
      <c r="V11" s="122">
        <f t="shared" si="12"/>
        <v>0</v>
      </c>
      <c r="W11" s="122">
        <f t="shared" si="12"/>
        <v>0</v>
      </c>
      <c r="X11" s="122">
        <f t="shared" si="12"/>
        <v>0</v>
      </c>
      <c r="Y11" s="122">
        <f t="shared" si="12"/>
        <v>0</v>
      </c>
      <c r="Z11" s="122">
        <f t="shared" si="12"/>
        <v>0</v>
      </c>
      <c r="AA11" s="122">
        <f t="shared" si="12"/>
        <v>0</v>
      </c>
      <c r="AB11" s="122">
        <f t="shared" si="12"/>
        <v>0</v>
      </c>
      <c r="AC11" s="122">
        <f t="shared" si="12"/>
        <v>0</v>
      </c>
      <c r="AD11" s="122">
        <f t="shared" si="12"/>
        <v>0</v>
      </c>
      <c r="AE11" s="122">
        <f t="shared" si="12"/>
        <v>0</v>
      </c>
      <c r="AF11" s="122">
        <f t="shared" si="12"/>
        <v>0</v>
      </c>
      <c r="AG11" s="122">
        <f t="shared" si="12"/>
        <v>0</v>
      </c>
      <c r="AH11" s="122">
        <f t="shared" si="12"/>
        <v>0</v>
      </c>
      <c r="AI11" s="122">
        <f t="shared" si="12"/>
        <v>0</v>
      </c>
      <c r="AJ11" s="122">
        <f t="shared" si="12"/>
        <v>0</v>
      </c>
      <c r="AK11" s="122">
        <f t="shared" si="12"/>
        <v>0</v>
      </c>
      <c r="AL11" s="122">
        <f t="shared" si="12"/>
        <v>0</v>
      </c>
      <c r="AM11" s="122">
        <f t="shared" si="12"/>
        <v>0</v>
      </c>
      <c r="AN11" s="122">
        <f t="shared" si="12"/>
        <v>0</v>
      </c>
      <c r="AO11" s="122">
        <f t="shared" si="12"/>
        <v>0</v>
      </c>
      <c r="AP11" s="122">
        <f t="shared" si="12"/>
        <v>0</v>
      </c>
      <c r="AQ11" s="122">
        <f t="shared" si="12"/>
        <v>0</v>
      </c>
      <c r="AR11" s="122">
        <f t="shared" si="12"/>
        <v>0</v>
      </c>
      <c r="AS11" s="122">
        <f t="shared" si="12"/>
        <v>0</v>
      </c>
      <c r="AT11" s="122">
        <f t="shared" si="12"/>
        <v>0</v>
      </c>
      <c r="AU11" s="122">
        <f t="shared" si="12"/>
        <v>0</v>
      </c>
      <c r="AV11" s="122">
        <f t="shared" si="12"/>
        <v>0</v>
      </c>
      <c r="AW11" s="122">
        <f t="shared" si="12"/>
        <v>0</v>
      </c>
      <c r="AX11" s="122">
        <f t="shared" si="12"/>
        <v>0</v>
      </c>
      <c r="AY11" s="122">
        <f t="shared" si="12"/>
        <v>0</v>
      </c>
      <c r="AZ11" s="122">
        <f t="shared" si="12"/>
        <v>0</v>
      </c>
      <c r="BA11" s="122">
        <f t="shared" si="12"/>
        <v>0</v>
      </c>
      <c r="BB11" s="122">
        <f t="shared" si="12"/>
        <v>0</v>
      </c>
      <c r="BC11" s="122">
        <f t="shared" si="12"/>
        <v>0</v>
      </c>
      <c r="BD11" s="122">
        <f t="shared" si="12"/>
        <v>0</v>
      </c>
      <c r="BE11" s="122">
        <f t="shared" si="12"/>
        <v>0</v>
      </c>
      <c r="BF11" s="122">
        <f t="shared" si="12"/>
        <v>0</v>
      </c>
      <c r="BG11" s="122">
        <f t="shared" si="12"/>
        <v>0</v>
      </c>
      <c r="BH11" s="122">
        <f t="shared" si="12"/>
        <v>0</v>
      </c>
      <c r="BI11" s="122">
        <f t="shared" si="12"/>
        <v>0</v>
      </c>
      <c r="BJ11" s="122">
        <f t="shared" si="12"/>
        <v>0</v>
      </c>
      <c r="BK11" s="122">
        <f t="shared" si="12"/>
        <v>0</v>
      </c>
      <c r="BL11" s="122">
        <f t="shared" si="12"/>
        <v>0</v>
      </c>
      <c r="BM11" s="122">
        <f t="shared" si="12"/>
        <v>0</v>
      </c>
      <c r="BN11" s="122">
        <f t="shared" si="12"/>
        <v>0</v>
      </c>
      <c r="BO11" s="122">
        <f t="shared" si="12"/>
        <v>0</v>
      </c>
      <c r="BP11" s="122">
        <f t="shared" si="12"/>
        <v>0</v>
      </c>
      <c r="BQ11" s="122">
        <f t="shared" si="12"/>
        <v>0</v>
      </c>
      <c r="BR11" s="122">
        <f t="shared" si="12"/>
        <v>0</v>
      </c>
      <c r="BS11" s="122">
        <f t="shared" si="12"/>
        <v>0</v>
      </c>
      <c r="BT11" s="122">
        <f t="shared" si="12"/>
        <v>0</v>
      </c>
      <c r="BU11" s="122">
        <f t="shared" si="13"/>
        <v>0</v>
      </c>
      <c r="BV11" s="122">
        <f t="shared" si="13"/>
        <v>0</v>
      </c>
      <c r="BW11" s="122">
        <f t="shared" si="13"/>
        <v>0</v>
      </c>
      <c r="BX11" s="122">
        <f t="shared" si="13"/>
        <v>0</v>
      </c>
      <c r="BY11" s="122">
        <f t="shared" si="13"/>
        <v>0</v>
      </c>
      <c r="BZ11" s="122">
        <f t="shared" si="13"/>
        <v>0</v>
      </c>
      <c r="CA11" s="122">
        <f t="shared" si="13"/>
        <v>0</v>
      </c>
      <c r="CB11" s="122">
        <f t="shared" si="13"/>
        <v>0</v>
      </c>
      <c r="CC11" s="122">
        <f t="shared" si="13"/>
        <v>0</v>
      </c>
      <c r="CD11" s="122">
        <f t="shared" si="13"/>
        <v>0</v>
      </c>
      <c r="CE11" s="122">
        <f t="shared" si="13"/>
        <v>0</v>
      </c>
      <c r="CF11" s="122">
        <f t="shared" si="13"/>
        <v>0</v>
      </c>
      <c r="CG11" s="122">
        <f t="shared" si="13"/>
        <v>0</v>
      </c>
      <c r="CH11" s="122">
        <f t="shared" si="13"/>
        <v>0</v>
      </c>
      <c r="CI11" s="122">
        <f t="shared" si="13"/>
        <v>0</v>
      </c>
      <c r="CJ11" s="122">
        <f t="shared" si="13"/>
        <v>0</v>
      </c>
      <c r="CK11" s="122">
        <f t="shared" si="13"/>
        <v>0</v>
      </c>
      <c r="CL11" s="122">
        <f t="shared" si="13"/>
        <v>0</v>
      </c>
      <c r="CM11" s="122">
        <f t="shared" si="13"/>
        <v>0</v>
      </c>
      <c r="CN11" s="122">
        <f t="shared" si="13"/>
        <v>0</v>
      </c>
      <c r="CO11" s="122">
        <f t="shared" si="13"/>
        <v>0</v>
      </c>
      <c r="CP11" s="122">
        <f t="shared" si="13"/>
        <v>0</v>
      </c>
      <c r="CQ11" s="122">
        <f t="shared" si="13"/>
        <v>0</v>
      </c>
      <c r="CR11" s="122">
        <f t="shared" si="13"/>
        <v>0</v>
      </c>
      <c r="CS11" s="122">
        <f t="shared" si="13"/>
        <v>0</v>
      </c>
      <c r="CT11" s="122">
        <f t="shared" si="13"/>
        <v>0</v>
      </c>
      <c r="CU11" s="122">
        <f t="shared" si="13"/>
        <v>0</v>
      </c>
      <c r="CV11" s="122">
        <f t="shared" si="13"/>
        <v>0</v>
      </c>
      <c r="CW11" s="122">
        <f t="shared" si="13"/>
        <v>0</v>
      </c>
      <c r="CX11" s="122">
        <f t="shared" si="13"/>
        <v>0</v>
      </c>
      <c r="CY11" s="122">
        <f t="shared" si="13"/>
        <v>0</v>
      </c>
      <c r="CZ11" s="122">
        <f t="shared" si="13"/>
        <v>0</v>
      </c>
      <c r="DA11" s="122">
        <f t="shared" si="13"/>
        <v>0</v>
      </c>
      <c r="DB11" s="122">
        <f t="shared" si="13"/>
        <v>0</v>
      </c>
      <c r="DC11" s="122">
        <f t="shared" si="13"/>
        <v>0</v>
      </c>
      <c r="DD11" s="122">
        <f t="shared" si="13"/>
        <v>0</v>
      </c>
      <c r="DE11" s="122">
        <f t="shared" si="13"/>
        <v>0</v>
      </c>
      <c r="DF11" s="122">
        <f t="shared" si="13"/>
        <v>0</v>
      </c>
      <c r="DG11" s="122">
        <f t="shared" si="13"/>
        <v>0</v>
      </c>
      <c r="DH11" s="122">
        <f t="shared" si="13"/>
        <v>0</v>
      </c>
      <c r="DI11" s="122">
        <f t="shared" si="13"/>
        <v>0</v>
      </c>
      <c r="DJ11" s="122">
        <f t="shared" si="13"/>
        <v>0</v>
      </c>
      <c r="DK11" s="122">
        <f t="shared" si="13"/>
        <v>0</v>
      </c>
      <c r="DL11" s="122">
        <f t="shared" si="13"/>
        <v>0</v>
      </c>
      <c r="DM11" s="122">
        <f t="shared" si="13"/>
        <v>0</v>
      </c>
      <c r="DN11" s="122">
        <f t="shared" si="13"/>
        <v>0</v>
      </c>
      <c r="DO11" s="122">
        <f t="shared" si="13"/>
        <v>0</v>
      </c>
      <c r="DP11" s="122">
        <f t="shared" si="13"/>
        <v>0</v>
      </c>
      <c r="DQ11" s="122">
        <f t="shared" si="13"/>
        <v>0</v>
      </c>
      <c r="DR11" s="122">
        <f t="shared" si="13"/>
        <v>0</v>
      </c>
      <c r="DS11" s="122">
        <f t="shared" si="13"/>
        <v>0</v>
      </c>
      <c r="DT11" s="122">
        <f t="shared" si="13"/>
        <v>0</v>
      </c>
      <c r="DU11" s="122">
        <f t="shared" si="13"/>
        <v>0</v>
      </c>
      <c r="DV11" s="122">
        <f t="shared" si="13"/>
        <v>0</v>
      </c>
      <c r="DW11" s="122">
        <f t="shared" si="13"/>
        <v>0</v>
      </c>
      <c r="DX11" s="122">
        <f t="shared" si="13"/>
        <v>0</v>
      </c>
      <c r="DY11" s="122">
        <f t="shared" si="13"/>
        <v>0</v>
      </c>
      <c r="DZ11" s="122">
        <f t="shared" si="13"/>
        <v>0</v>
      </c>
      <c r="EA11" s="122">
        <f t="shared" si="13"/>
        <v>0</v>
      </c>
      <c r="EB11" s="122">
        <f t="shared" si="13"/>
        <v>0</v>
      </c>
      <c r="EC11" s="122">
        <f t="shared" si="13"/>
        <v>0</v>
      </c>
      <c r="ED11" s="122">
        <f t="shared" si="13"/>
        <v>0</v>
      </c>
      <c r="EE11" s="122">
        <f t="shared" si="13"/>
        <v>0</v>
      </c>
      <c r="EF11" s="122">
        <f t="shared" si="13"/>
        <v>0</v>
      </c>
      <c r="EG11" s="122">
        <f t="shared" si="8"/>
        <v>0</v>
      </c>
      <c r="EH11" s="122">
        <f t="shared" si="8"/>
        <v>0</v>
      </c>
      <c r="EI11" s="122">
        <f t="shared" si="8"/>
        <v>0</v>
      </c>
    </row>
    <row r="12" spans="1:165" x14ac:dyDescent="0.35">
      <c r="A12" s="126" t="str">
        <f t="shared" si="9"/>
        <v>OK</v>
      </c>
      <c r="B12" s="16" t="s">
        <v>147</v>
      </c>
      <c r="C12" s="116">
        <v>0</v>
      </c>
      <c r="D12" s="117">
        <f>C12/Revenue!$A$23</f>
        <v>0</v>
      </c>
      <c r="E12" s="118">
        <v>1</v>
      </c>
      <c r="F12" s="118">
        <v>1</v>
      </c>
      <c r="G12" s="120">
        <f t="shared" si="10"/>
        <v>1</v>
      </c>
      <c r="H12" s="122">
        <f t="shared" si="11"/>
        <v>0</v>
      </c>
      <c r="I12" s="122">
        <f t="shared" si="12"/>
        <v>0</v>
      </c>
      <c r="J12" s="122">
        <f t="shared" si="12"/>
        <v>0</v>
      </c>
      <c r="K12" s="122">
        <f t="shared" si="12"/>
        <v>0</v>
      </c>
      <c r="L12" s="122">
        <f t="shared" si="12"/>
        <v>0</v>
      </c>
      <c r="M12" s="122">
        <f t="shared" si="12"/>
        <v>0</v>
      </c>
      <c r="N12" s="122">
        <f t="shared" si="12"/>
        <v>0</v>
      </c>
      <c r="O12" s="122">
        <f t="shared" si="12"/>
        <v>0</v>
      </c>
      <c r="P12" s="122">
        <f t="shared" si="12"/>
        <v>0</v>
      </c>
      <c r="Q12" s="122">
        <f t="shared" si="12"/>
        <v>0</v>
      </c>
      <c r="R12" s="122">
        <f t="shared" si="12"/>
        <v>0</v>
      </c>
      <c r="S12" s="122">
        <f t="shared" si="12"/>
        <v>0</v>
      </c>
      <c r="T12" s="122">
        <f t="shared" si="12"/>
        <v>0</v>
      </c>
      <c r="U12" s="122">
        <f t="shared" si="12"/>
        <v>0</v>
      </c>
      <c r="V12" s="122">
        <f t="shared" si="12"/>
        <v>0</v>
      </c>
      <c r="W12" s="122">
        <f t="shared" si="12"/>
        <v>0</v>
      </c>
      <c r="X12" s="122">
        <f t="shared" si="12"/>
        <v>0</v>
      </c>
      <c r="Y12" s="122">
        <f t="shared" si="12"/>
        <v>0</v>
      </c>
      <c r="Z12" s="122">
        <f t="shared" si="12"/>
        <v>0</v>
      </c>
      <c r="AA12" s="122">
        <f t="shared" si="12"/>
        <v>0</v>
      </c>
      <c r="AB12" s="122">
        <f t="shared" si="12"/>
        <v>0</v>
      </c>
      <c r="AC12" s="122">
        <f t="shared" si="12"/>
        <v>0</v>
      </c>
      <c r="AD12" s="122">
        <f t="shared" si="12"/>
        <v>0</v>
      </c>
      <c r="AE12" s="122">
        <f t="shared" si="12"/>
        <v>0</v>
      </c>
      <c r="AF12" s="122">
        <f t="shared" si="12"/>
        <v>0</v>
      </c>
      <c r="AG12" s="122">
        <f t="shared" si="12"/>
        <v>0</v>
      </c>
      <c r="AH12" s="122">
        <f t="shared" si="12"/>
        <v>0</v>
      </c>
      <c r="AI12" s="122">
        <f t="shared" si="12"/>
        <v>0</v>
      </c>
      <c r="AJ12" s="122">
        <f t="shared" si="12"/>
        <v>0</v>
      </c>
      <c r="AK12" s="122">
        <f t="shared" si="12"/>
        <v>0</v>
      </c>
      <c r="AL12" s="122">
        <f t="shared" si="12"/>
        <v>0</v>
      </c>
      <c r="AM12" s="122">
        <f t="shared" si="12"/>
        <v>0</v>
      </c>
      <c r="AN12" s="122">
        <f t="shared" si="12"/>
        <v>0</v>
      </c>
      <c r="AO12" s="122">
        <f t="shared" si="12"/>
        <v>0</v>
      </c>
      <c r="AP12" s="122">
        <f t="shared" si="12"/>
        <v>0</v>
      </c>
      <c r="AQ12" s="122">
        <f t="shared" si="12"/>
        <v>0</v>
      </c>
      <c r="AR12" s="122">
        <f t="shared" si="12"/>
        <v>0</v>
      </c>
      <c r="AS12" s="122">
        <f t="shared" si="12"/>
        <v>0</v>
      </c>
      <c r="AT12" s="122">
        <f t="shared" si="12"/>
        <v>0</v>
      </c>
      <c r="AU12" s="122">
        <f t="shared" si="12"/>
        <v>0</v>
      </c>
      <c r="AV12" s="122">
        <f t="shared" si="12"/>
        <v>0</v>
      </c>
      <c r="AW12" s="122">
        <f t="shared" si="12"/>
        <v>0</v>
      </c>
      <c r="AX12" s="122">
        <f t="shared" si="12"/>
        <v>0</v>
      </c>
      <c r="AY12" s="122">
        <f t="shared" si="12"/>
        <v>0</v>
      </c>
      <c r="AZ12" s="122">
        <f t="shared" si="12"/>
        <v>0</v>
      </c>
      <c r="BA12" s="122">
        <f t="shared" si="12"/>
        <v>0</v>
      </c>
      <c r="BB12" s="122">
        <f t="shared" si="12"/>
        <v>0</v>
      </c>
      <c r="BC12" s="122">
        <f t="shared" si="12"/>
        <v>0</v>
      </c>
      <c r="BD12" s="122">
        <f t="shared" si="12"/>
        <v>0</v>
      </c>
      <c r="BE12" s="122">
        <f t="shared" si="12"/>
        <v>0</v>
      </c>
      <c r="BF12" s="122">
        <f t="shared" si="12"/>
        <v>0</v>
      </c>
      <c r="BG12" s="122">
        <f t="shared" si="12"/>
        <v>0</v>
      </c>
      <c r="BH12" s="122">
        <f t="shared" si="12"/>
        <v>0</v>
      </c>
      <c r="BI12" s="122">
        <f t="shared" si="12"/>
        <v>0</v>
      </c>
      <c r="BJ12" s="122">
        <f t="shared" si="12"/>
        <v>0</v>
      </c>
      <c r="BK12" s="122">
        <f t="shared" si="12"/>
        <v>0</v>
      </c>
      <c r="BL12" s="122">
        <f t="shared" si="12"/>
        <v>0</v>
      </c>
      <c r="BM12" s="122">
        <f t="shared" si="12"/>
        <v>0</v>
      </c>
      <c r="BN12" s="122">
        <f t="shared" si="12"/>
        <v>0</v>
      </c>
      <c r="BO12" s="122">
        <f t="shared" si="12"/>
        <v>0</v>
      </c>
      <c r="BP12" s="122">
        <f t="shared" si="12"/>
        <v>0</v>
      </c>
      <c r="BQ12" s="122">
        <f t="shared" si="12"/>
        <v>0</v>
      </c>
      <c r="BR12" s="122">
        <f t="shared" si="12"/>
        <v>0</v>
      </c>
      <c r="BS12" s="122">
        <f t="shared" ref="BS12:CH20" si="14">IF(AND(BS$1&gt;=$E12,BS$1&lt;=$F12),$C12/$G12,0)</f>
        <v>0</v>
      </c>
      <c r="BT12" s="122">
        <f t="shared" si="14"/>
        <v>0</v>
      </c>
      <c r="BU12" s="122">
        <f t="shared" si="13"/>
        <v>0</v>
      </c>
      <c r="BV12" s="122">
        <f t="shared" si="13"/>
        <v>0</v>
      </c>
      <c r="BW12" s="122">
        <f t="shared" si="13"/>
        <v>0</v>
      </c>
      <c r="BX12" s="122">
        <f t="shared" si="13"/>
        <v>0</v>
      </c>
      <c r="BY12" s="122">
        <f t="shared" si="13"/>
        <v>0</v>
      </c>
      <c r="BZ12" s="122">
        <f t="shared" si="13"/>
        <v>0</v>
      </c>
      <c r="CA12" s="122">
        <f t="shared" si="13"/>
        <v>0</v>
      </c>
      <c r="CB12" s="122">
        <f t="shared" si="13"/>
        <v>0</v>
      </c>
      <c r="CC12" s="122">
        <f t="shared" si="13"/>
        <v>0</v>
      </c>
      <c r="CD12" s="122">
        <f t="shared" si="13"/>
        <v>0</v>
      </c>
      <c r="CE12" s="122">
        <f t="shared" si="13"/>
        <v>0</v>
      </c>
      <c r="CF12" s="122">
        <f t="shared" si="13"/>
        <v>0</v>
      </c>
      <c r="CG12" s="122">
        <f t="shared" si="13"/>
        <v>0</v>
      </c>
      <c r="CH12" s="122">
        <f t="shared" si="13"/>
        <v>0</v>
      </c>
      <c r="CI12" s="122">
        <f t="shared" si="13"/>
        <v>0</v>
      </c>
      <c r="CJ12" s="122">
        <f t="shared" si="13"/>
        <v>0</v>
      </c>
      <c r="CK12" s="122">
        <f t="shared" si="13"/>
        <v>0</v>
      </c>
      <c r="CL12" s="122">
        <f t="shared" si="13"/>
        <v>0</v>
      </c>
      <c r="CM12" s="122">
        <f t="shared" si="13"/>
        <v>0</v>
      </c>
      <c r="CN12" s="122">
        <f t="shared" si="13"/>
        <v>0</v>
      </c>
      <c r="CO12" s="122">
        <f t="shared" si="13"/>
        <v>0</v>
      </c>
      <c r="CP12" s="122">
        <f t="shared" si="13"/>
        <v>0</v>
      </c>
      <c r="CQ12" s="122">
        <f t="shared" si="13"/>
        <v>0</v>
      </c>
      <c r="CR12" s="122">
        <f t="shared" si="13"/>
        <v>0</v>
      </c>
      <c r="CS12" s="122">
        <f t="shared" si="13"/>
        <v>0</v>
      </c>
      <c r="CT12" s="122">
        <f t="shared" si="13"/>
        <v>0</v>
      </c>
      <c r="CU12" s="122">
        <f t="shared" si="13"/>
        <v>0</v>
      </c>
      <c r="CV12" s="122">
        <f t="shared" si="13"/>
        <v>0</v>
      </c>
      <c r="CW12" s="122">
        <f t="shared" si="13"/>
        <v>0</v>
      </c>
      <c r="CX12" s="122">
        <f t="shared" si="13"/>
        <v>0</v>
      </c>
      <c r="CY12" s="122">
        <f t="shared" si="13"/>
        <v>0</v>
      </c>
      <c r="CZ12" s="122">
        <f t="shared" si="13"/>
        <v>0</v>
      </c>
      <c r="DA12" s="122">
        <f t="shared" si="13"/>
        <v>0</v>
      </c>
      <c r="DB12" s="122">
        <f t="shared" si="13"/>
        <v>0</v>
      </c>
      <c r="DC12" s="122">
        <f t="shared" si="13"/>
        <v>0</v>
      </c>
      <c r="DD12" s="122">
        <f t="shared" si="13"/>
        <v>0</v>
      </c>
      <c r="DE12" s="122">
        <f t="shared" si="13"/>
        <v>0</v>
      </c>
      <c r="DF12" s="122">
        <f t="shared" si="13"/>
        <v>0</v>
      </c>
      <c r="DG12" s="122">
        <f t="shared" si="13"/>
        <v>0</v>
      </c>
      <c r="DH12" s="122">
        <f t="shared" si="13"/>
        <v>0</v>
      </c>
      <c r="DI12" s="122">
        <f t="shared" si="13"/>
        <v>0</v>
      </c>
      <c r="DJ12" s="122">
        <f t="shared" si="13"/>
        <v>0</v>
      </c>
      <c r="DK12" s="122">
        <f t="shared" si="13"/>
        <v>0</v>
      </c>
      <c r="DL12" s="122">
        <f t="shared" si="13"/>
        <v>0</v>
      </c>
      <c r="DM12" s="122">
        <f t="shared" si="13"/>
        <v>0</v>
      </c>
      <c r="DN12" s="122">
        <f t="shared" si="13"/>
        <v>0</v>
      </c>
      <c r="DO12" s="122">
        <f t="shared" si="13"/>
        <v>0</v>
      </c>
      <c r="DP12" s="122">
        <f t="shared" si="13"/>
        <v>0</v>
      </c>
      <c r="DQ12" s="122">
        <f t="shared" si="13"/>
        <v>0</v>
      </c>
      <c r="DR12" s="122">
        <f t="shared" si="13"/>
        <v>0</v>
      </c>
      <c r="DS12" s="122">
        <f t="shared" si="13"/>
        <v>0</v>
      </c>
      <c r="DT12" s="122">
        <f t="shared" si="13"/>
        <v>0</v>
      </c>
      <c r="DU12" s="122">
        <f t="shared" si="13"/>
        <v>0</v>
      </c>
      <c r="DV12" s="122">
        <f t="shared" si="13"/>
        <v>0</v>
      </c>
      <c r="DW12" s="122">
        <f t="shared" si="13"/>
        <v>0</v>
      </c>
      <c r="DX12" s="122">
        <f t="shared" si="13"/>
        <v>0</v>
      </c>
      <c r="DY12" s="122">
        <f t="shared" si="13"/>
        <v>0</v>
      </c>
      <c r="DZ12" s="122">
        <f t="shared" si="13"/>
        <v>0</v>
      </c>
      <c r="EA12" s="122">
        <f t="shared" si="13"/>
        <v>0</v>
      </c>
      <c r="EB12" s="122">
        <f t="shared" si="13"/>
        <v>0</v>
      </c>
      <c r="EC12" s="122">
        <f t="shared" si="13"/>
        <v>0</v>
      </c>
      <c r="ED12" s="122">
        <f t="shared" si="13"/>
        <v>0</v>
      </c>
      <c r="EE12" s="122">
        <f t="shared" ref="EE12:EF20" si="15">IF(AND(EE$1&gt;=$E12,EE$1&lt;=$F12),$C12/$G12,0)</f>
        <v>0</v>
      </c>
      <c r="EF12" s="122">
        <f t="shared" si="15"/>
        <v>0</v>
      </c>
      <c r="EG12" s="122">
        <f t="shared" si="8"/>
        <v>0</v>
      </c>
      <c r="EH12" s="122">
        <f t="shared" si="8"/>
        <v>0</v>
      </c>
      <c r="EI12" s="122">
        <f t="shared" si="8"/>
        <v>0</v>
      </c>
    </row>
    <row r="13" spans="1:165" x14ac:dyDescent="0.35">
      <c r="A13" s="126" t="str">
        <f t="shared" si="9"/>
        <v>OK</v>
      </c>
      <c r="B13" s="16" t="s">
        <v>147</v>
      </c>
      <c r="C13" s="116">
        <v>0</v>
      </c>
      <c r="D13" s="117">
        <f>C13/Revenue!$A$23</f>
        <v>0</v>
      </c>
      <c r="E13" s="118">
        <v>1</v>
      </c>
      <c r="F13" s="118">
        <v>1</v>
      </c>
      <c r="G13" s="120">
        <f t="shared" si="10"/>
        <v>1</v>
      </c>
      <c r="H13" s="122">
        <f t="shared" si="11"/>
        <v>0</v>
      </c>
      <c r="I13" s="122">
        <f t="shared" si="11"/>
        <v>0</v>
      </c>
      <c r="J13" s="122">
        <f t="shared" si="11"/>
        <v>0</v>
      </c>
      <c r="K13" s="122">
        <f t="shared" si="11"/>
        <v>0</v>
      </c>
      <c r="L13" s="122">
        <f t="shared" si="11"/>
        <v>0</v>
      </c>
      <c r="M13" s="122">
        <f t="shared" si="11"/>
        <v>0</v>
      </c>
      <c r="N13" s="122">
        <f t="shared" si="11"/>
        <v>0</v>
      </c>
      <c r="O13" s="122">
        <f t="shared" si="11"/>
        <v>0</v>
      </c>
      <c r="P13" s="122">
        <f t="shared" si="11"/>
        <v>0</v>
      </c>
      <c r="Q13" s="122">
        <f t="shared" si="11"/>
        <v>0</v>
      </c>
      <c r="R13" s="122">
        <f t="shared" si="11"/>
        <v>0</v>
      </c>
      <c r="S13" s="122">
        <f t="shared" si="11"/>
        <v>0</v>
      </c>
      <c r="T13" s="122">
        <f t="shared" si="11"/>
        <v>0</v>
      </c>
      <c r="U13" s="122">
        <f t="shared" si="11"/>
        <v>0</v>
      </c>
      <c r="V13" s="122">
        <f t="shared" si="11"/>
        <v>0</v>
      </c>
      <c r="W13" s="122">
        <f t="shared" si="11"/>
        <v>0</v>
      </c>
      <c r="X13" s="122">
        <f t="shared" ref="X13:AM20" si="16">IF(AND(X$1&gt;=$E13,X$1&lt;=$F13),$C13/$G13,0)</f>
        <v>0</v>
      </c>
      <c r="Y13" s="122">
        <f t="shared" si="16"/>
        <v>0</v>
      </c>
      <c r="Z13" s="122">
        <f t="shared" si="16"/>
        <v>0</v>
      </c>
      <c r="AA13" s="122">
        <f t="shared" si="16"/>
        <v>0</v>
      </c>
      <c r="AB13" s="122">
        <f t="shared" si="16"/>
        <v>0</v>
      </c>
      <c r="AC13" s="122">
        <f t="shared" si="16"/>
        <v>0</v>
      </c>
      <c r="AD13" s="122">
        <f t="shared" si="16"/>
        <v>0</v>
      </c>
      <c r="AE13" s="122">
        <f t="shared" si="16"/>
        <v>0</v>
      </c>
      <c r="AF13" s="122">
        <f t="shared" si="16"/>
        <v>0</v>
      </c>
      <c r="AG13" s="122">
        <f t="shared" si="16"/>
        <v>0</v>
      </c>
      <c r="AH13" s="122">
        <f t="shared" si="16"/>
        <v>0</v>
      </c>
      <c r="AI13" s="122">
        <f t="shared" si="16"/>
        <v>0</v>
      </c>
      <c r="AJ13" s="122">
        <f t="shared" si="16"/>
        <v>0</v>
      </c>
      <c r="AK13" s="122">
        <f t="shared" si="16"/>
        <v>0</v>
      </c>
      <c r="AL13" s="122">
        <f t="shared" si="16"/>
        <v>0</v>
      </c>
      <c r="AM13" s="122">
        <f t="shared" si="16"/>
        <v>0</v>
      </c>
      <c r="AN13" s="122">
        <f t="shared" ref="AN13:BC20" si="17">IF(AND(AN$1&gt;=$E13,AN$1&lt;=$F13),$C13/$G13,0)</f>
        <v>0</v>
      </c>
      <c r="AO13" s="122">
        <f t="shared" si="17"/>
        <v>0</v>
      </c>
      <c r="AP13" s="122">
        <f t="shared" si="17"/>
        <v>0</v>
      </c>
      <c r="AQ13" s="122">
        <f t="shared" si="17"/>
        <v>0</v>
      </c>
      <c r="AR13" s="122">
        <f t="shared" si="17"/>
        <v>0</v>
      </c>
      <c r="AS13" s="122">
        <f t="shared" si="17"/>
        <v>0</v>
      </c>
      <c r="AT13" s="122">
        <f t="shared" si="17"/>
        <v>0</v>
      </c>
      <c r="AU13" s="122">
        <f t="shared" si="17"/>
        <v>0</v>
      </c>
      <c r="AV13" s="122">
        <f t="shared" si="17"/>
        <v>0</v>
      </c>
      <c r="AW13" s="122">
        <f t="shared" si="17"/>
        <v>0</v>
      </c>
      <c r="AX13" s="122">
        <f t="shared" si="17"/>
        <v>0</v>
      </c>
      <c r="AY13" s="122">
        <f t="shared" si="17"/>
        <v>0</v>
      </c>
      <c r="AZ13" s="122">
        <f t="shared" si="17"/>
        <v>0</v>
      </c>
      <c r="BA13" s="122">
        <f t="shared" si="17"/>
        <v>0</v>
      </c>
      <c r="BB13" s="122">
        <f t="shared" si="17"/>
        <v>0</v>
      </c>
      <c r="BC13" s="122">
        <f t="shared" si="17"/>
        <v>0</v>
      </c>
      <c r="BD13" s="122">
        <f t="shared" ref="BD13:BS20" si="18">IF(AND(BD$1&gt;=$E13,BD$1&lt;=$F13),$C13/$G13,0)</f>
        <v>0</v>
      </c>
      <c r="BE13" s="122">
        <f t="shared" si="18"/>
        <v>0</v>
      </c>
      <c r="BF13" s="122">
        <f t="shared" si="18"/>
        <v>0</v>
      </c>
      <c r="BG13" s="122">
        <f t="shared" si="18"/>
        <v>0</v>
      </c>
      <c r="BH13" s="122">
        <f t="shared" si="18"/>
        <v>0</v>
      </c>
      <c r="BI13" s="122">
        <f t="shared" si="18"/>
        <v>0</v>
      </c>
      <c r="BJ13" s="122">
        <f t="shared" si="18"/>
        <v>0</v>
      </c>
      <c r="BK13" s="122">
        <f t="shared" si="18"/>
        <v>0</v>
      </c>
      <c r="BL13" s="122">
        <f t="shared" si="18"/>
        <v>0</v>
      </c>
      <c r="BM13" s="122">
        <f t="shared" si="18"/>
        <v>0</v>
      </c>
      <c r="BN13" s="122">
        <f t="shared" si="18"/>
        <v>0</v>
      </c>
      <c r="BO13" s="122">
        <f t="shared" si="18"/>
        <v>0</v>
      </c>
      <c r="BP13" s="122">
        <f t="shared" si="18"/>
        <v>0</v>
      </c>
      <c r="BQ13" s="122">
        <f t="shared" si="18"/>
        <v>0</v>
      </c>
      <c r="BR13" s="122">
        <f t="shared" si="18"/>
        <v>0</v>
      </c>
      <c r="BS13" s="122">
        <f t="shared" si="18"/>
        <v>0</v>
      </c>
      <c r="BT13" s="122">
        <f t="shared" si="14"/>
        <v>0</v>
      </c>
      <c r="BU13" s="122">
        <f t="shared" si="14"/>
        <v>0</v>
      </c>
      <c r="BV13" s="122">
        <f t="shared" si="14"/>
        <v>0</v>
      </c>
      <c r="BW13" s="122">
        <f t="shared" si="14"/>
        <v>0</v>
      </c>
      <c r="BX13" s="122">
        <f t="shared" si="14"/>
        <v>0</v>
      </c>
      <c r="BY13" s="122">
        <f t="shared" si="14"/>
        <v>0</v>
      </c>
      <c r="BZ13" s="122">
        <f t="shared" si="14"/>
        <v>0</v>
      </c>
      <c r="CA13" s="122">
        <f t="shared" si="14"/>
        <v>0</v>
      </c>
      <c r="CB13" s="122">
        <f t="shared" si="14"/>
        <v>0</v>
      </c>
      <c r="CC13" s="122">
        <f t="shared" si="14"/>
        <v>0</v>
      </c>
      <c r="CD13" s="122">
        <f t="shared" si="14"/>
        <v>0</v>
      </c>
      <c r="CE13" s="122">
        <f t="shared" si="14"/>
        <v>0</v>
      </c>
      <c r="CF13" s="122">
        <f t="shared" si="14"/>
        <v>0</v>
      </c>
      <c r="CG13" s="122">
        <f t="shared" si="14"/>
        <v>0</v>
      </c>
      <c r="CH13" s="122">
        <f t="shared" si="14"/>
        <v>0</v>
      </c>
      <c r="CI13" s="122">
        <f t="shared" ref="CI13:CX20" si="19">IF(AND(CI$1&gt;=$E13,CI$1&lt;=$F13),$C13/$G13,0)</f>
        <v>0</v>
      </c>
      <c r="CJ13" s="122">
        <f t="shared" si="19"/>
        <v>0</v>
      </c>
      <c r="CK13" s="122">
        <f t="shared" si="19"/>
        <v>0</v>
      </c>
      <c r="CL13" s="122">
        <f t="shared" si="19"/>
        <v>0</v>
      </c>
      <c r="CM13" s="122">
        <f t="shared" si="19"/>
        <v>0</v>
      </c>
      <c r="CN13" s="122">
        <f t="shared" si="19"/>
        <v>0</v>
      </c>
      <c r="CO13" s="122">
        <f t="shared" si="19"/>
        <v>0</v>
      </c>
      <c r="CP13" s="122">
        <f t="shared" si="19"/>
        <v>0</v>
      </c>
      <c r="CQ13" s="122">
        <f t="shared" si="19"/>
        <v>0</v>
      </c>
      <c r="CR13" s="122">
        <f t="shared" si="19"/>
        <v>0</v>
      </c>
      <c r="CS13" s="122">
        <f t="shared" si="19"/>
        <v>0</v>
      </c>
      <c r="CT13" s="122">
        <f t="shared" si="19"/>
        <v>0</v>
      </c>
      <c r="CU13" s="122">
        <f t="shared" si="19"/>
        <v>0</v>
      </c>
      <c r="CV13" s="122">
        <f t="shared" si="19"/>
        <v>0</v>
      </c>
      <c r="CW13" s="122">
        <f t="shared" si="19"/>
        <v>0</v>
      </c>
      <c r="CX13" s="122">
        <f t="shared" si="19"/>
        <v>0</v>
      </c>
      <c r="CY13" s="122">
        <f t="shared" ref="CY13:DN20" si="20">IF(AND(CY$1&gt;=$E13,CY$1&lt;=$F13),$C13/$G13,0)</f>
        <v>0</v>
      </c>
      <c r="CZ13" s="122">
        <f t="shared" si="20"/>
        <v>0</v>
      </c>
      <c r="DA13" s="122">
        <f t="shared" si="20"/>
        <v>0</v>
      </c>
      <c r="DB13" s="122">
        <f t="shared" si="20"/>
        <v>0</v>
      </c>
      <c r="DC13" s="122">
        <f t="shared" si="20"/>
        <v>0</v>
      </c>
      <c r="DD13" s="122">
        <f t="shared" si="20"/>
        <v>0</v>
      </c>
      <c r="DE13" s="122">
        <f t="shared" si="20"/>
        <v>0</v>
      </c>
      <c r="DF13" s="122">
        <f t="shared" si="20"/>
        <v>0</v>
      </c>
      <c r="DG13" s="122">
        <f t="shared" si="20"/>
        <v>0</v>
      </c>
      <c r="DH13" s="122">
        <f t="shared" si="20"/>
        <v>0</v>
      </c>
      <c r="DI13" s="122">
        <f t="shared" si="20"/>
        <v>0</v>
      </c>
      <c r="DJ13" s="122">
        <f t="shared" si="20"/>
        <v>0</v>
      </c>
      <c r="DK13" s="122">
        <f t="shared" si="20"/>
        <v>0</v>
      </c>
      <c r="DL13" s="122">
        <f t="shared" si="20"/>
        <v>0</v>
      </c>
      <c r="DM13" s="122">
        <f t="shared" si="20"/>
        <v>0</v>
      </c>
      <c r="DN13" s="122">
        <f t="shared" si="20"/>
        <v>0</v>
      </c>
      <c r="DO13" s="122">
        <f t="shared" ref="DO13:ED20" si="21">IF(AND(DO$1&gt;=$E13,DO$1&lt;=$F13),$C13/$G13,0)</f>
        <v>0</v>
      </c>
      <c r="DP13" s="122">
        <f t="shared" si="21"/>
        <v>0</v>
      </c>
      <c r="DQ13" s="122">
        <f t="shared" si="21"/>
        <v>0</v>
      </c>
      <c r="DR13" s="122">
        <f t="shared" si="21"/>
        <v>0</v>
      </c>
      <c r="DS13" s="122">
        <f t="shared" si="21"/>
        <v>0</v>
      </c>
      <c r="DT13" s="122">
        <f t="shared" si="21"/>
        <v>0</v>
      </c>
      <c r="DU13" s="122">
        <f t="shared" si="21"/>
        <v>0</v>
      </c>
      <c r="DV13" s="122">
        <f t="shared" si="21"/>
        <v>0</v>
      </c>
      <c r="DW13" s="122">
        <f t="shared" si="21"/>
        <v>0</v>
      </c>
      <c r="DX13" s="122">
        <f t="shared" si="21"/>
        <v>0</v>
      </c>
      <c r="DY13" s="122">
        <f t="shared" si="21"/>
        <v>0</v>
      </c>
      <c r="DZ13" s="122">
        <f t="shared" si="21"/>
        <v>0</v>
      </c>
      <c r="EA13" s="122">
        <f t="shared" si="21"/>
        <v>0</v>
      </c>
      <c r="EB13" s="122">
        <f t="shared" si="21"/>
        <v>0</v>
      </c>
      <c r="EC13" s="122">
        <f t="shared" si="21"/>
        <v>0</v>
      </c>
      <c r="ED13" s="122">
        <f t="shared" si="21"/>
        <v>0</v>
      </c>
      <c r="EE13" s="122">
        <f t="shared" si="15"/>
        <v>0</v>
      </c>
      <c r="EF13" s="122">
        <f t="shared" si="15"/>
        <v>0</v>
      </c>
      <c r="EG13" s="122">
        <f t="shared" si="8"/>
        <v>0</v>
      </c>
      <c r="EH13" s="122">
        <f t="shared" si="8"/>
        <v>0</v>
      </c>
      <c r="EI13" s="122">
        <f t="shared" si="8"/>
        <v>0</v>
      </c>
    </row>
    <row r="14" spans="1:165" x14ac:dyDescent="0.35">
      <c r="A14" s="126" t="str">
        <f t="shared" si="9"/>
        <v>OK</v>
      </c>
      <c r="B14" s="16" t="s">
        <v>147</v>
      </c>
      <c r="C14" s="116">
        <v>0</v>
      </c>
      <c r="D14" s="117">
        <f>C14/Revenue!$A$23</f>
        <v>0</v>
      </c>
      <c r="E14" s="118">
        <v>1</v>
      </c>
      <c r="F14" s="118">
        <v>1</v>
      </c>
      <c r="G14" s="120">
        <f t="shared" si="10"/>
        <v>1</v>
      </c>
      <c r="H14" s="122">
        <f t="shared" si="11"/>
        <v>0</v>
      </c>
      <c r="I14" s="122">
        <f t="shared" si="11"/>
        <v>0</v>
      </c>
      <c r="J14" s="122">
        <f t="shared" si="11"/>
        <v>0</v>
      </c>
      <c r="K14" s="122">
        <f t="shared" si="11"/>
        <v>0</v>
      </c>
      <c r="L14" s="122">
        <f t="shared" si="11"/>
        <v>0</v>
      </c>
      <c r="M14" s="122">
        <f t="shared" si="11"/>
        <v>0</v>
      </c>
      <c r="N14" s="122">
        <f t="shared" si="11"/>
        <v>0</v>
      </c>
      <c r="O14" s="122">
        <f t="shared" si="11"/>
        <v>0</v>
      </c>
      <c r="P14" s="122">
        <f t="shared" si="11"/>
        <v>0</v>
      </c>
      <c r="Q14" s="122">
        <f t="shared" si="11"/>
        <v>0</v>
      </c>
      <c r="R14" s="122">
        <f t="shared" si="11"/>
        <v>0</v>
      </c>
      <c r="S14" s="122">
        <f t="shared" si="11"/>
        <v>0</v>
      </c>
      <c r="T14" s="122">
        <f t="shared" si="11"/>
        <v>0</v>
      </c>
      <c r="U14" s="122">
        <f t="shared" si="11"/>
        <v>0</v>
      </c>
      <c r="V14" s="122">
        <f t="shared" si="11"/>
        <v>0</v>
      </c>
      <c r="W14" s="122">
        <f t="shared" si="11"/>
        <v>0</v>
      </c>
      <c r="X14" s="122">
        <f t="shared" si="16"/>
        <v>0</v>
      </c>
      <c r="Y14" s="122">
        <f t="shared" si="16"/>
        <v>0</v>
      </c>
      <c r="Z14" s="122">
        <f t="shared" si="16"/>
        <v>0</v>
      </c>
      <c r="AA14" s="122">
        <f t="shared" si="16"/>
        <v>0</v>
      </c>
      <c r="AB14" s="122">
        <f t="shared" si="16"/>
        <v>0</v>
      </c>
      <c r="AC14" s="122">
        <f t="shared" si="16"/>
        <v>0</v>
      </c>
      <c r="AD14" s="122">
        <f t="shared" si="16"/>
        <v>0</v>
      </c>
      <c r="AE14" s="122">
        <f t="shared" si="16"/>
        <v>0</v>
      </c>
      <c r="AF14" s="122">
        <f t="shared" si="16"/>
        <v>0</v>
      </c>
      <c r="AG14" s="122">
        <f t="shared" si="16"/>
        <v>0</v>
      </c>
      <c r="AH14" s="122">
        <f t="shared" si="16"/>
        <v>0</v>
      </c>
      <c r="AI14" s="122">
        <f t="shared" si="16"/>
        <v>0</v>
      </c>
      <c r="AJ14" s="122">
        <f t="shared" si="16"/>
        <v>0</v>
      </c>
      <c r="AK14" s="122">
        <f t="shared" si="16"/>
        <v>0</v>
      </c>
      <c r="AL14" s="122">
        <f t="shared" si="16"/>
        <v>0</v>
      </c>
      <c r="AM14" s="122">
        <f t="shared" si="16"/>
        <v>0</v>
      </c>
      <c r="AN14" s="122">
        <f t="shared" si="17"/>
        <v>0</v>
      </c>
      <c r="AO14" s="122">
        <f t="shared" si="17"/>
        <v>0</v>
      </c>
      <c r="AP14" s="122">
        <f t="shared" si="17"/>
        <v>0</v>
      </c>
      <c r="AQ14" s="122">
        <f t="shared" si="17"/>
        <v>0</v>
      </c>
      <c r="AR14" s="122">
        <f t="shared" si="17"/>
        <v>0</v>
      </c>
      <c r="AS14" s="122">
        <f t="shared" si="17"/>
        <v>0</v>
      </c>
      <c r="AT14" s="122">
        <f t="shared" si="17"/>
        <v>0</v>
      </c>
      <c r="AU14" s="122">
        <f t="shared" si="17"/>
        <v>0</v>
      </c>
      <c r="AV14" s="122">
        <f t="shared" si="17"/>
        <v>0</v>
      </c>
      <c r="AW14" s="122">
        <f t="shared" si="17"/>
        <v>0</v>
      </c>
      <c r="AX14" s="122">
        <f t="shared" si="17"/>
        <v>0</v>
      </c>
      <c r="AY14" s="122">
        <f t="shared" si="17"/>
        <v>0</v>
      </c>
      <c r="AZ14" s="122">
        <f t="shared" si="17"/>
        <v>0</v>
      </c>
      <c r="BA14" s="122">
        <f t="shared" si="17"/>
        <v>0</v>
      </c>
      <c r="BB14" s="122">
        <f t="shared" si="17"/>
        <v>0</v>
      </c>
      <c r="BC14" s="122">
        <f t="shared" si="17"/>
        <v>0</v>
      </c>
      <c r="BD14" s="122">
        <f t="shared" si="18"/>
        <v>0</v>
      </c>
      <c r="BE14" s="122">
        <f t="shared" si="18"/>
        <v>0</v>
      </c>
      <c r="BF14" s="122">
        <f t="shared" si="18"/>
        <v>0</v>
      </c>
      <c r="BG14" s="122">
        <f t="shared" si="18"/>
        <v>0</v>
      </c>
      <c r="BH14" s="122">
        <f t="shared" si="18"/>
        <v>0</v>
      </c>
      <c r="BI14" s="122">
        <f t="shared" si="18"/>
        <v>0</v>
      </c>
      <c r="BJ14" s="122">
        <f t="shared" si="18"/>
        <v>0</v>
      </c>
      <c r="BK14" s="122">
        <f t="shared" si="18"/>
        <v>0</v>
      </c>
      <c r="BL14" s="122">
        <f t="shared" si="18"/>
        <v>0</v>
      </c>
      <c r="BM14" s="122">
        <f t="shared" si="18"/>
        <v>0</v>
      </c>
      <c r="BN14" s="122">
        <f t="shared" si="18"/>
        <v>0</v>
      </c>
      <c r="BO14" s="122">
        <f t="shared" si="18"/>
        <v>0</v>
      </c>
      <c r="BP14" s="122">
        <f t="shared" si="18"/>
        <v>0</v>
      </c>
      <c r="BQ14" s="122">
        <f t="shared" si="18"/>
        <v>0</v>
      </c>
      <c r="BR14" s="122">
        <f t="shared" si="18"/>
        <v>0</v>
      </c>
      <c r="BS14" s="122">
        <f t="shared" si="18"/>
        <v>0</v>
      </c>
      <c r="BT14" s="122">
        <f t="shared" si="14"/>
        <v>0</v>
      </c>
      <c r="BU14" s="122">
        <f t="shared" si="14"/>
        <v>0</v>
      </c>
      <c r="BV14" s="122">
        <f t="shared" si="14"/>
        <v>0</v>
      </c>
      <c r="BW14" s="122">
        <f t="shared" si="14"/>
        <v>0</v>
      </c>
      <c r="BX14" s="122">
        <f t="shared" si="14"/>
        <v>0</v>
      </c>
      <c r="BY14" s="122">
        <f t="shared" si="14"/>
        <v>0</v>
      </c>
      <c r="BZ14" s="122">
        <f t="shared" si="14"/>
        <v>0</v>
      </c>
      <c r="CA14" s="122">
        <f t="shared" si="14"/>
        <v>0</v>
      </c>
      <c r="CB14" s="122">
        <f t="shared" si="14"/>
        <v>0</v>
      </c>
      <c r="CC14" s="122">
        <f t="shared" si="14"/>
        <v>0</v>
      </c>
      <c r="CD14" s="122">
        <f t="shared" si="14"/>
        <v>0</v>
      </c>
      <c r="CE14" s="122">
        <f t="shared" si="14"/>
        <v>0</v>
      </c>
      <c r="CF14" s="122">
        <f t="shared" si="14"/>
        <v>0</v>
      </c>
      <c r="CG14" s="122">
        <f t="shared" si="14"/>
        <v>0</v>
      </c>
      <c r="CH14" s="122">
        <f t="shared" si="14"/>
        <v>0</v>
      </c>
      <c r="CI14" s="122">
        <f t="shared" si="19"/>
        <v>0</v>
      </c>
      <c r="CJ14" s="122">
        <f t="shared" si="19"/>
        <v>0</v>
      </c>
      <c r="CK14" s="122">
        <f t="shared" si="19"/>
        <v>0</v>
      </c>
      <c r="CL14" s="122">
        <f t="shared" si="19"/>
        <v>0</v>
      </c>
      <c r="CM14" s="122">
        <f t="shared" si="19"/>
        <v>0</v>
      </c>
      <c r="CN14" s="122">
        <f t="shared" si="19"/>
        <v>0</v>
      </c>
      <c r="CO14" s="122">
        <f t="shared" si="19"/>
        <v>0</v>
      </c>
      <c r="CP14" s="122">
        <f t="shared" si="19"/>
        <v>0</v>
      </c>
      <c r="CQ14" s="122">
        <f t="shared" si="19"/>
        <v>0</v>
      </c>
      <c r="CR14" s="122">
        <f t="shared" si="19"/>
        <v>0</v>
      </c>
      <c r="CS14" s="122">
        <f t="shared" si="19"/>
        <v>0</v>
      </c>
      <c r="CT14" s="122">
        <f t="shared" si="19"/>
        <v>0</v>
      </c>
      <c r="CU14" s="122">
        <f t="shared" si="19"/>
        <v>0</v>
      </c>
      <c r="CV14" s="122">
        <f t="shared" si="19"/>
        <v>0</v>
      </c>
      <c r="CW14" s="122">
        <f t="shared" si="19"/>
        <v>0</v>
      </c>
      <c r="CX14" s="122">
        <f t="shared" si="19"/>
        <v>0</v>
      </c>
      <c r="CY14" s="122">
        <f t="shared" si="20"/>
        <v>0</v>
      </c>
      <c r="CZ14" s="122">
        <f t="shared" si="20"/>
        <v>0</v>
      </c>
      <c r="DA14" s="122">
        <f t="shared" si="20"/>
        <v>0</v>
      </c>
      <c r="DB14" s="122">
        <f t="shared" si="20"/>
        <v>0</v>
      </c>
      <c r="DC14" s="122">
        <f t="shared" si="20"/>
        <v>0</v>
      </c>
      <c r="DD14" s="122">
        <f t="shared" si="20"/>
        <v>0</v>
      </c>
      <c r="DE14" s="122">
        <f t="shared" si="20"/>
        <v>0</v>
      </c>
      <c r="DF14" s="122">
        <f t="shared" si="20"/>
        <v>0</v>
      </c>
      <c r="DG14" s="122">
        <f t="shared" si="20"/>
        <v>0</v>
      </c>
      <c r="DH14" s="122">
        <f t="shared" si="20"/>
        <v>0</v>
      </c>
      <c r="DI14" s="122">
        <f t="shared" si="20"/>
        <v>0</v>
      </c>
      <c r="DJ14" s="122">
        <f t="shared" si="20"/>
        <v>0</v>
      </c>
      <c r="DK14" s="122">
        <f t="shared" si="20"/>
        <v>0</v>
      </c>
      <c r="DL14" s="122">
        <f t="shared" si="20"/>
        <v>0</v>
      </c>
      <c r="DM14" s="122">
        <f t="shared" si="20"/>
        <v>0</v>
      </c>
      <c r="DN14" s="122">
        <f t="shared" si="20"/>
        <v>0</v>
      </c>
      <c r="DO14" s="122">
        <f t="shared" si="21"/>
        <v>0</v>
      </c>
      <c r="DP14" s="122">
        <f t="shared" si="21"/>
        <v>0</v>
      </c>
      <c r="DQ14" s="122">
        <f t="shared" si="21"/>
        <v>0</v>
      </c>
      <c r="DR14" s="122">
        <f t="shared" si="21"/>
        <v>0</v>
      </c>
      <c r="DS14" s="122">
        <f t="shared" si="21"/>
        <v>0</v>
      </c>
      <c r="DT14" s="122">
        <f t="shared" si="21"/>
        <v>0</v>
      </c>
      <c r="DU14" s="122">
        <f t="shared" si="21"/>
        <v>0</v>
      </c>
      <c r="DV14" s="122">
        <f t="shared" si="21"/>
        <v>0</v>
      </c>
      <c r="DW14" s="122">
        <f t="shared" si="21"/>
        <v>0</v>
      </c>
      <c r="DX14" s="122">
        <f t="shared" si="21"/>
        <v>0</v>
      </c>
      <c r="DY14" s="122">
        <f t="shared" si="21"/>
        <v>0</v>
      </c>
      <c r="DZ14" s="122">
        <f t="shared" si="21"/>
        <v>0</v>
      </c>
      <c r="EA14" s="122">
        <f t="shared" si="21"/>
        <v>0</v>
      </c>
      <c r="EB14" s="122">
        <f t="shared" si="21"/>
        <v>0</v>
      </c>
      <c r="EC14" s="122">
        <f t="shared" si="21"/>
        <v>0</v>
      </c>
      <c r="ED14" s="122">
        <f t="shared" si="21"/>
        <v>0</v>
      </c>
      <c r="EE14" s="122">
        <f t="shared" si="15"/>
        <v>0</v>
      </c>
      <c r="EF14" s="122">
        <f t="shared" si="15"/>
        <v>0</v>
      </c>
      <c r="EG14" s="122">
        <f t="shared" si="8"/>
        <v>0</v>
      </c>
      <c r="EH14" s="122">
        <f t="shared" si="8"/>
        <v>0</v>
      </c>
      <c r="EI14" s="122">
        <f t="shared" si="8"/>
        <v>0</v>
      </c>
    </row>
    <row r="15" spans="1:165" x14ac:dyDescent="0.35">
      <c r="A15" s="126" t="str">
        <f t="shared" si="9"/>
        <v>OK</v>
      </c>
      <c r="B15" s="16" t="s">
        <v>147</v>
      </c>
      <c r="C15" s="116">
        <v>0</v>
      </c>
      <c r="D15" s="117">
        <f>C15/Revenue!$A$23</f>
        <v>0</v>
      </c>
      <c r="E15" s="118">
        <v>1</v>
      </c>
      <c r="F15" s="118">
        <v>1</v>
      </c>
      <c r="G15" s="120">
        <f t="shared" si="10"/>
        <v>1</v>
      </c>
      <c r="H15" s="122">
        <f t="shared" si="11"/>
        <v>0</v>
      </c>
      <c r="I15" s="122">
        <f t="shared" si="11"/>
        <v>0</v>
      </c>
      <c r="J15" s="122">
        <f t="shared" si="11"/>
        <v>0</v>
      </c>
      <c r="K15" s="122">
        <f t="shared" si="11"/>
        <v>0</v>
      </c>
      <c r="L15" s="122">
        <f t="shared" si="11"/>
        <v>0</v>
      </c>
      <c r="M15" s="122">
        <f t="shared" si="11"/>
        <v>0</v>
      </c>
      <c r="N15" s="122">
        <f t="shared" si="11"/>
        <v>0</v>
      </c>
      <c r="O15" s="122">
        <f t="shared" si="11"/>
        <v>0</v>
      </c>
      <c r="P15" s="122">
        <f t="shared" si="11"/>
        <v>0</v>
      </c>
      <c r="Q15" s="122">
        <f t="shared" si="11"/>
        <v>0</v>
      </c>
      <c r="R15" s="122">
        <f t="shared" si="11"/>
        <v>0</v>
      </c>
      <c r="S15" s="122">
        <f t="shared" si="11"/>
        <v>0</v>
      </c>
      <c r="T15" s="122">
        <f t="shared" si="11"/>
        <v>0</v>
      </c>
      <c r="U15" s="122">
        <f t="shared" si="11"/>
        <v>0</v>
      </c>
      <c r="V15" s="122">
        <f t="shared" si="11"/>
        <v>0</v>
      </c>
      <c r="W15" s="122">
        <f t="shared" si="11"/>
        <v>0</v>
      </c>
      <c r="X15" s="122">
        <f t="shared" si="16"/>
        <v>0</v>
      </c>
      <c r="Y15" s="122">
        <f t="shared" si="16"/>
        <v>0</v>
      </c>
      <c r="Z15" s="122">
        <f t="shared" si="16"/>
        <v>0</v>
      </c>
      <c r="AA15" s="122">
        <f t="shared" si="16"/>
        <v>0</v>
      </c>
      <c r="AB15" s="122">
        <f t="shared" si="16"/>
        <v>0</v>
      </c>
      <c r="AC15" s="122">
        <f t="shared" si="16"/>
        <v>0</v>
      </c>
      <c r="AD15" s="122">
        <f t="shared" si="16"/>
        <v>0</v>
      </c>
      <c r="AE15" s="122">
        <f t="shared" si="16"/>
        <v>0</v>
      </c>
      <c r="AF15" s="122">
        <f t="shared" si="16"/>
        <v>0</v>
      </c>
      <c r="AG15" s="122">
        <f t="shared" si="16"/>
        <v>0</v>
      </c>
      <c r="AH15" s="122">
        <f t="shared" si="16"/>
        <v>0</v>
      </c>
      <c r="AI15" s="122">
        <f t="shared" si="16"/>
        <v>0</v>
      </c>
      <c r="AJ15" s="122">
        <f t="shared" si="16"/>
        <v>0</v>
      </c>
      <c r="AK15" s="122">
        <f t="shared" si="16"/>
        <v>0</v>
      </c>
      <c r="AL15" s="122">
        <f t="shared" si="16"/>
        <v>0</v>
      </c>
      <c r="AM15" s="122">
        <f t="shared" si="16"/>
        <v>0</v>
      </c>
      <c r="AN15" s="122">
        <f t="shared" si="17"/>
        <v>0</v>
      </c>
      <c r="AO15" s="122">
        <f t="shared" si="17"/>
        <v>0</v>
      </c>
      <c r="AP15" s="122">
        <f t="shared" si="17"/>
        <v>0</v>
      </c>
      <c r="AQ15" s="122">
        <f t="shared" si="17"/>
        <v>0</v>
      </c>
      <c r="AR15" s="122">
        <f t="shared" si="17"/>
        <v>0</v>
      </c>
      <c r="AS15" s="122">
        <f t="shared" si="17"/>
        <v>0</v>
      </c>
      <c r="AT15" s="122">
        <f t="shared" si="17"/>
        <v>0</v>
      </c>
      <c r="AU15" s="122">
        <f t="shared" si="17"/>
        <v>0</v>
      </c>
      <c r="AV15" s="122">
        <f t="shared" si="17"/>
        <v>0</v>
      </c>
      <c r="AW15" s="122">
        <f t="shared" si="17"/>
        <v>0</v>
      </c>
      <c r="AX15" s="122">
        <f t="shared" si="17"/>
        <v>0</v>
      </c>
      <c r="AY15" s="122">
        <f t="shared" si="17"/>
        <v>0</v>
      </c>
      <c r="AZ15" s="122">
        <f t="shared" si="17"/>
        <v>0</v>
      </c>
      <c r="BA15" s="122">
        <f t="shared" si="17"/>
        <v>0</v>
      </c>
      <c r="BB15" s="122">
        <f t="shared" si="17"/>
        <v>0</v>
      </c>
      <c r="BC15" s="122">
        <f t="shared" si="17"/>
        <v>0</v>
      </c>
      <c r="BD15" s="122">
        <f t="shared" si="18"/>
        <v>0</v>
      </c>
      <c r="BE15" s="122">
        <f t="shared" si="18"/>
        <v>0</v>
      </c>
      <c r="BF15" s="122">
        <f t="shared" si="18"/>
        <v>0</v>
      </c>
      <c r="BG15" s="122">
        <f t="shared" si="18"/>
        <v>0</v>
      </c>
      <c r="BH15" s="122">
        <f t="shared" si="18"/>
        <v>0</v>
      </c>
      <c r="BI15" s="122">
        <f t="shared" si="18"/>
        <v>0</v>
      </c>
      <c r="BJ15" s="122">
        <f t="shared" si="18"/>
        <v>0</v>
      </c>
      <c r="BK15" s="122">
        <f t="shared" si="18"/>
        <v>0</v>
      </c>
      <c r="BL15" s="122">
        <f t="shared" si="18"/>
        <v>0</v>
      </c>
      <c r="BM15" s="122">
        <f t="shared" si="18"/>
        <v>0</v>
      </c>
      <c r="BN15" s="122">
        <f t="shared" si="18"/>
        <v>0</v>
      </c>
      <c r="BO15" s="122">
        <f t="shared" si="18"/>
        <v>0</v>
      </c>
      <c r="BP15" s="122">
        <f t="shared" si="18"/>
        <v>0</v>
      </c>
      <c r="BQ15" s="122">
        <f t="shared" si="18"/>
        <v>0</v>
      </c>
      <c r="BR15" s="122">
        <f t="shared" si="18"/>
        <v>0</v>
      </c>
      <c r="BS15" s="122">
        <f t="shared" si="18"/>
        <v>0</v>
      </c>
      <c r="BT15" s="122">
        <f t="shared" si="14"/>
        <v>0</v>
      </c>
      <c r="BU15" s="122">
        <f t="shared" si="14"/>
        <v>0</v>
      </c>
      <c r="BV15" s="122">
        <f t="shared" si="14"/>
        <v>0</v>
      </c>
      <c r="BW15" s="122">
        <f t="shared" si="14"/>
        <v>0</v>
      </c>
      <c r="BX15" s="122">
        <f t="shared" si="14"/>
        <v>0</v>
      </c>
      <c r="BY15" s="122">
        <f t="shared" si="14"/>
        <v>0</v>
      </c>
      <c r="BZ15" s="122">
        <f t="shared" si="14"/>
        <v>0</v>
      </c>
      <c r="CA15" s="122">
        <f t="shared" si="14"/>
        <v>0</v>
      </c>
      <c r="CB15" s="122">
        <f t="shared" si="14"/>
        <v>0</v>
      </c>
      <c r="CC15" s="122">
        <f t="shared" si="14"/>
        <v>0</v>
      </c>
      <c r="CD15" s="122">
        <f t="shared" si="14"/>
        <v>0</v>
      </c>
      <c r="CE15" s="122">
        <f t="shared" si="14"/>
        <v>0</v>
      </c>
      <c r="CF15" s="122">
        <f t="shared" si="14"/>
        <v>0</v>
      </c>
      <c r="CG15" s="122">
        <f t="shared" si="14"/>
        <v>0</v>
      </c>
      <c r="CH15" s="122">
        <f t="shared" si="14"/>
        <v>0</v>
      </c>
      <c r="CI15" s="122">
        <f t="shared" si="19"/>
        <v>0</v>
      </c>
      <c r="CJ15" s="122">
        <f t="shared" si="19"/>
        <v>0</v>
      </c>
      <c r="CK15" s="122">
        <f t="shared" si="19"/>
        <v>0</v>
      </c>
      <c r="CL15" s="122">
        <f t="shared" si="19"/>
        <v>0</v>
      </c>
      <c r="CM15" s="122">
        <f t="shared" si="19"/>
        <v>0</v>
      </c>
      <c r="CN15" s="122">
        <f t="shared" si="19"/>
        <v>0</v>
      </c>
      <c r="CO15" s="122">
        <f t="shared" si="19"/>
        <v>0</v>
      </c>
      <c r="CP15" s="122">
        <f t="shared" si="19"/>
        <v>0</v>
      </c>
      <c r="CQ15" s="122">
        <f t="shared" si="19"/>
        <v>0</v>
      </c>
      <c r="CR15" s="122">
        <f t="shared" si="19"/>
        <v>0</v>
      </c>
      <c r="CS15" s="122">
        <f t="shared" si="19"/>
        <v>0</v>
      </c>
      <c r="CT15" s="122">
        <f t="shared" si="19"/>
        <v>0</v>
      </c>
      <c r="CU15" s="122">
        <f t="shared" si="19"/>
        <v>0</v>
      </c>
      <c r="CV15" s="122">
        <f t="shared" si="19"/>
        <v>0</v>
      </c>
      <c r="CW15" s="122">
        <f t="shared" si="19"/>
        <v>0</v>
      </c>
      <c r="CX15" s="122">
        <f t="shared" si="19"/>
        <v>0</v>
      </c>
      <c r="CY15" s="122">
        <f t="shared" si="20"/>
        <v>0</v>
      </c>
      <c r="CZ15" s="122">
        <f t="shared" si="20"/>
        <v>0</v>
      </c>
      <c r="DA15" s="122">
        <f t="shared" si="20"/>
        <v>0</v>
      </c>
      <c r="DB15" s="122">
        <f t="shared" si="20"/>
        <v>0</v>
      </c>
      <c r="DC15" s="122">
        <f t="shared" si="20"/>
        <v>0</v>
      </c>
      <c r="DD15" s="122">
        <f t="shared" si="20"/>
        <v>0</v>
      </c>
      <c r="DE15" s="122">
        <f t="shared" si="20"/>
        <v>0</v>
      </c>
      <c r="DF15" s="122">
        <f t="shared" si="20"/>
        <v>0</v>
      </c>
      <c r="DG15" s="122">
        <f t="shared" si="20"/>
        <v>0</v>
      </c>
      <c r="DH15" s="122">
        <f t="shared" si="20"/>
        <v>0</v>
      </c>
      <c r="DI15" s="122">
        <f t="shared" si="20"/>
        <v>0</v>
      </c>
      <c r="DJ15" s="122">
        <f t="shared" si="20"/>
        <v>0</v>
      </c>
      <c r="DK15" s="122">
        <f t="shared" si="20"/>
        <v>0</v>
      </c>
      <c r="DL15" s="122">
        <f t="shared" si="20"/>
        <v>0</v>
      </c>
      <c r="DM15" s="122">
        <f t="shared" si="20"/>
        <v>0</v>
      </c>
      <c r="DN15" s="122">
        <f t="shared" si="20"/>
        <v>0</v>
      </c>
      <c r="DO15" s="122">
        <f t="shared" si="21"/>
        <v>0</v>
      </c>
      <c r="DP15" s="122">
        <f t="shared" si="21"/>
        <v>0</v>
      </c>
      <c r="DQ15" s="122">
        <f t="shared" si="21"/>
        <v>0</v>
      </c>
      <c r="DR15" s="122">
        <f t="shared" si="21"/>
        <v>0</v>
      </c>
      <c r="DS15" s="122">
        <f t="shared" si="21"/>
        <v>0</v>
      </c>
      <c r="DT15" s="122">
        <f t="shared" si="21"/>
        <v>0</v>
      </c>
      <c r="DU15" s="122">
        <f t="shared" si="21"/>
        <v>0</v>
      </c>
      <c r="DV15" s="122">
        <f t="shared" si="21"/>
        <v>0</v>
      </c>
      <c r="DW15" s="122">
        <f t="shared" si="21"/>
        <v>0</v>
      </c>
      <c r="DX15" s="122">
        <f t="shared" si="21"/>
        <v>0</v>
      </c>
      <c r="DY15" s="122">
        <f t="shared" si="21"/>
        <v>0</v>
      </c>
      <c r="DZ15" s="122">
        <f t="shared" si="21"/>
        <v>0</v>
      </c>
      <c r="EA15" s="122">
        <f t="shared" si="21"/>
        <v>0</v>
      </c>
      <c r="EB15" s="122">
        <f t="shared" si="21"/>
        <v>0</v>
      </c>
      <c r="EC15" s="122">
        <f t="shared" si="21"/>
        <v>0</v>
      </c>
      <c r="ED15" s="122">
        <f t="shared" si="21"/>
        <v>0</v>
      </c>
      <c r="EE15" s="122">
        <f t="shared" si="15"/>
        <v>0</v>
      </c>
      <c r="EF15" s="122">
        <f t="shared" si="15"/>
        <v>0</v>
      </c>
      <c r="EG15" s="122">
        <f t="shared" si="8"/>
        <v>0</v>
      </c>
      <c r="EH15" s="122">
        <f t="shared" si="8"/>
        <v>0</v>
      </c>
      <c r="EI15" s="122">
        <f t="shared" si="8"/>
        <v>0</v>
      </c>
    </row>
    <row r="16" spans="1:165" x14ac:dyDescent="0.35">
      <c r="A16" s="126" t="str">
        <f t="shared" si="9"/>
        <v>OK</v>
      </c>
      <c r="B16" s="16" t="s">
        <v>147</v>
      </c>
      <c r="C16" s="116">
        <v>0</v>
      </c>
      <c r="D16" s="117">
        <f>C16/Revenue!$A$23</f>
        <v>0</v>
      </c>
      <c r="E16" s="118">
        <v>1</v>
      </c>
      <c r="F16" s="118">
        <v>1</v>
      </c>
      <c r="G16" s="120">
        <f t="shared" si="10"/>
        <v>1</v>
      </c>
      <c r="H16" s="122">
        <f t="shared" si="11"/>
        <v>0</v>
      </c>
      <c r="I16" s="122">
        <f t="shared" si="11"/>
        <v>0</v>
      </c>
      <c r="J16" s="122">
        <f t="shared" si="11"/>
        <v>0</v>
      </c>
      <c r="K16" s="122">
        <f t="shared" si="11"/>
        <v>0</v>
      </c>
      <c r="L16" s="122">
        <f t="shared" si="11"/>
        <v>0</v>
      </c>
      <c r="M16" s="122">
        <f t="shared" si="11"/>
        <v>0</v>
      </c>
      <c r="N16" s="122">
        <f t="shared" si="11"/>
        <v>0</v>
      </c>
      <c r="O16" s="122">
        <f t="shared" si="11"/>
        <v>0</v>
      </c>
      <c r="P16" s="122">
        <f t="shared" si="11"/>
        <v>0</v>
      </c>
      <c r="Q16" s="122">
        <f t="shared" si="11"/>
        <v>0</v>
      </c>
      <c r="R16" s="122">
        <f t="shared" si="11"/>
        <v>0</v>
      </c>
      <c r="S16" s="122">
        <f t="shared" si="11"/>
        <v>0</v>
      </c>
      <c r="T16" s="122">
        <f t="shared" si="11"/>
        <v>0</v>
      </c>
      <c r="U16" s="122">
        <f t="shared" si="11"/>
        <v>0</v>
      </c>
      <c r="V16" s="122">
        <f t="shared" si="11"/>
        <v>0</v>
      </c>
      <c r="W16" s="122">
        <f t="shared" si="11"/>
        <v>0</v>
      </c>
      <c r="X16" s="122">
        <f t="shared" si="16"/>
        <v>0</v>
      </c>
      <c r="Y16" s="122">
        <f t="shared" si="16"/>
        <v>0</v>
      </c>
      <c r="Z16" s="122">
        <f t="shared" si="16"/>
        <v>0</v>
      </c>
      <c r="AA16" s="122">
        <f t="shared" si="16"/>
        <v>0</v>
      </c>
      <c r="AB16" s="122">
        <f t="shared" si="16"/>
        <v>0</v>
      </c>
      <c r="AC16" s="122">
        <f t="shared" si="16"/>
        <v>0</v>
      </c>
      <c r="AD16" s="122">
        <f t="shared" si="16"/>
        <v>0</v>
      </c>
      <c r="AE16" s="122">
        <f t="shared" si="16"/>
        <v>0</v>
      </c>
      <c r="AF16" s="122">
        <f t="shared" si="16"/>
        <v>0</v>
      </c>
      <c r="AG16" s="122">
        <f t="shared" si="16"/>
        <v>0</v>
      </c>
      <c r="AH16" s="122">
        <f t="shared" si="16"/>
        <v>0</v>
      </c>
      <c r="AI16" s="122">
        <f t="shared" si="16"/>
        <v>0</v>
      </c>
      <c r="AJ16" s="122">
        <f t="shared" si="16"/>
        <v>0</v>
      </c>
      <c r="AK16" s="122">
        <f t="shared" si="16"/>
        <v>0</v>
      </c>
      <c r="AL16" s="122">
        <f t="shared" si="16"/>
        <v>0</v>
      </c>
      <c r="AM16" s="122">
        <f t="shared" si="16"/>
        <v>0</v>
      </c>
      <c r="AN16" s="122">
        <f t="shared" si="17"/>
        <v>0</v>
      </c>
      <c r="AO16" s="122">
        <f t="shared" si="17"/>
        <v>0</v>
      </c>
      <c r="AP16" s="122">
        <f t="shared" si="17"/>
        <v>0</v>
      </c>
      <c r="AQ16" s="122">
        <f t="shared" si="17"/>
        <v>0</v>
      </c>
      <c r="AR16" s="122">
        <f t="shared" si="17"/>
        <v>0</v>
      </c>
      <c r="AS16" s="122">
        <f t="shared" si="17"/>
        <v>0</v>
      </c>
      <c r="AT16" s="122">
        <f t="shared" si="17"/>
        <v>0</v>
      </c>
      <c r="AU16" s="122">
        <f t="shared" si="17"/>
        <v>0</v>
      </c>
      <c r="AV16" s="122">
        <f t="shared" si="17"/>
        <v>0</v>
      </c>
      <c r="AW16" s="122">
        <f t="shared" si="17"/>
        <v>0</v>
      </c>
      <c r="AX16" s="122">
        <f t="shared" si="17"/>
        <v>0</v>
      </c>
      <c r="AY16" s="122">
        <f t="shared" si="17"/>
        <v>0</v>
      </c>
      <c r="AZ16" s="122">
        <f t="shared" si="17"/>
        <v>0</v>
      </c>
      <c r="BA16" s="122">
        <f t="shared" si="17"/>
        <v>0</v>
      </c>
      <c r="BB16" s="122">
        <f t="shared" si="17"/>
        <v>0</v>
      </c>
      <c r="BC16" s="122">
        <f t="shared" si="17"/>
        <v>0</v>
      </c>
      <c r="BD16" s="122">
        <f t="shared" si="18"/>
        <v>0</v>
      </c>
      <c r="BE16" s="122">
        <f t="shared" si="18"/>
        <v>0</v>
      </c>
      <c r="BF16" s="122">
        <f t="shared" si="18"/>
        <v>0</v>
      </c>
      <c r="BG16" s="122">
        <f t="shared" si="18"/>
        <v>0</v>
      </c>
      <c r="BH16" s="122">
        <f t="shared" si="18"/>
        <v>0</v>
      </c>
      <c r="BI16" s="122">
        <f t="shared" si="18"/>
        <v>0</v>
      </c>
      <c r="BJ16" s="122">
        <f t="shared" si="18"/>
        <v>0</v>
      </c>
      <c r="BK16" s="122">
        <f t="shared" si="18"/>
        <v>0</v>
      </c>
      <c r="BL16" s="122">
        <f t="shared" si="18"/>
        <v>0</v>
      </c>
      <c r="BM16" s="122">
        <f t="shared" si="18"/>
        <v>0</v>
      </c>
      <c r="BN16" s="122">
        <f t="shared" si="18"/>
        <v>0</v>
      </c>
      <c r="BO16" s="122">
        <f t="shared" si="18"/>
        <v>0</v>
      </c>
      <c r="BP16" s="122">
        <f t="shared" si="18"/>
        <v>0</v>
      </c>
      <c r="BQ16" s="122">
        <f t="shared" si="18"/>
        <v>0</v>
      </c>
      <c r="BR16" s="122">
        <f t="shared" si="18"/>
        <v>0</v>
      </c>
      <c r="BS16" s="122">
        <f t="shared" si="18"/>
        <v>0</v>
      </c>
      <c r="BT16" s="122">
        <f t="shared" si="14"/>
        <v>0</v>
      </c>
      <c r="BU16" s="122">
        <f t="shared" si="14"/>
        <v>0</v>
      </c>
      <c r="BV16" s="122">
        <f t="shared" si="14"/>
        <v>0</v>
      </c>
      <c r="BW16" s="122">
        <f t="shared" si="14"/>
        <v>0</v>
      </c>
      <c r="BX16" s="122">
        <f t="shared" si="14"/>
        <v>0</v>
      </c>
      <c r="BY16" s="122">
        <f t="shared" si="14"/>
        <v>0</v>
      </c>
      <c r="BZ16" s="122">
        <f t="shared" si="14"/>
        <v>0</v>
      </c>
      <c r="CA16" s="122">
        <f t="shared" si="14"/>
        <v>0</v>
      </c>
      <c r="CB16" s="122">
        <f t="shared" si="14"/>
        <v>0</v>
      </c>
      <c r="CC16" s="122">
        <f t="shared" si="14"/>
        <v>0</v>
      </c>
      <c r="CD16" s="122">
        <f t="shared" si="14"/>
        <v>0</v>
      </c>
      <c r="CE16" s="122">
        <f t="shared" si="14"/>
        <v>0</v>
      </c>
      <c r="CF16" s="122">
        <f t="shared" si="14"/>
        <v>0</v>
      </c>
      <c r="CG16" s="122">
        <f t="shared" si="14"/>
        <v>0</v>
      </c>
      <c r="CH16" s="122">
        <f t="shared" si="14"/>
        <v>0</v>
      </c>
      <c r="CI16" s="122">
        <f t="shared" si="19"/>
        <v>0</v>
      </c>
      <c r="CJ16" s="122">
        <f t="shared" si="19"/>
        <v>0</v>
      </c>
      <c r="CK16" s="122">
        <f t="shared" si="19"/>
        <v>0</v>
      </c>
      <c r="CL16" s="122">
        <f t="shared" si="19"/>
        <v>0</v>
      </c>
      <c r="CM16" s="122">
        <f t="shared" si="19"/>
        <v>0</v>
      </c>
      <c r="CN16" s="122">
        <f t="shared" si="19"/>
        <v>0</v>
      </c>
      <c r="CO16" s="122">
        <f t="shared" si="19"/>
        <v>0</v>
      </c>
      <c r="CP16" s="122">
        <f t="shared" si="19"/>
        <v>0</v>
      </c>
      <c r="CQ16" s="122">
        <f t="shared" si="19"/>
        <v>0</v>
      </c>
      <c r="CR16" s="122">
        <f t="shared" si="19"/>
        <v>0</v>
      </c>
      <c r="CS16" s="122">
        <f t="shared" si="19"/>
        <v>0</v>
      </c>
      <c r="CT16" s="122">
        <f t="shared" si="19"/>
        <v>0</v>
      </c>
      <c r="CU16" s="122">
        <f t="shared" si="19"/>
        <v>0</v>
      </c>
      <c r="CV16" s="122">
        <f t="shared" si="19"/>
        <v>0</v>
      </c>
      <c r="CW16" s="122">
        <f t="shared" si="19"/>
        <v>0</v>
      </c>
      <c r="CX16" s="122">
        <f t="shared" si="19"/>
        <v>0</v>
      </c>
      <c r="CY16" s="122">
        <f t="shared" si="20"/>
        <v>0</v>
      </c>
      <c r="CZ16" s="122">
        <f t="shared" si="20"/>
        <v>0</v>
      </c>
      <c r="DA16" s="122">
        <f t="shared" si="20"/>
        <v>0</v>
      </c>
      <c r="DB16" s="122">
        <f t="shared" si="20"/>
        <v>0</v>
      </c>
      <c r="DC16" s="122">
        <f t="shared" si="20"/>
        <v>0</v>
      </c>
      <c r="DD16" s="122">
        <f t="shared" si="20"/>
        <v>0</v>
      </c>
      <c r="DE16" s="122">
        <f t="shared" si="20"/>
        <v>0</v>
      </c>
      <c r="DF16" s="122">
        <f t="shared" si="20"/>
        <v>0</v>
      </c>
      <c r="DG16" s="122">
        <f t="shared" si="20"/>
        <v>0</v>
      </c>
      <c r="DH16" s="122">
        <f t="shared" si="20"/>
        <v>0</v>
      </c>
      <c r="DI16" s="122">
        <f t="shared" si="20"/>
        <v>0</v>
      </c>
      <c r="DJ16" s="122">
        <f t="shared" si="20"/>
        <v>0</v>
      </c>
      <c r="DK16" s="122">
        <f t="shared" si="20"/>
        <v>0</v>
      </c>
      <c r="DL16" s="122">
        <f t="shared" si="20"/>
        <v>0</v>
      </c>
      <c r="DM16" s="122">
        <f t="shared" si="20"/>
        <v>0</v>
      </c>
      <c r="DN16" s="122">
        <f t="shared" si="20"/>
        <v>0</v>
      </c>
      <c r="DO16" s="122">
        <f t="shared" si="21"/>
        <v>0</v>
      </c>
      <c r="DP16" s="122">
        <f t="shared" si="21"/>
        <v>0</v>
      </c>
      <c r="DQ16" s="122">
        <f t="shared" si="21"/>
        <v>0</v>
      </c>
      <c r="DR16" s="122">
        <f t="shared" si="21"/>
        <v>0</v>
      </c>
      <c r="DS16" s="122">
        <f t="shared" si="21"/>
        <v>0</v>
      </c>
      <c r="DT16" s="122">
        <f t="shared" si="21"/>
        <v>0</v>
      </c>
      <c r="DU16" s="122">
        <f t="shared" si="21"/>
        <v>0</v>
      </c>
      <c r="DV16" s="122">
        <f t="shared" si="21"/>
        <v>0</v>
      </c>
      <c r="DW16" s="122">
        <f t="shared" si="21"/>
        <v>0</v>
      </c>
      <c r="DX16" s="122">
        <f t="shared" si="21"/>
        <v>0</v>
      </c>
      <c r="DY16" s="122">
        <f t="shared" si="21"/>
        <v>0</v>
      </c>
      <c r="DZ16" s="122">
        <f t="shared" si="21"/>
        <v>0</v>
      </c>
      <c r="EA16" s="122">
        <f t="shared" si="21"/>
        <v>0</v>
      </c>
      <c r="EB16" s="122">
        <f t="shared" si="21"/>
        <v>0</v>
      </c>
      <c r="EC16" s="122">
        <f t="shared" si="21"/>
        <v>0</v>
      </c>
      <c r="ED16" s="122">
        <f t="shared" si="21"/>
        <v>0</v>
      </c>
      <c r="EE16" s="122">
        <f t="shared" si="15"/>
        <v>0</v>
      </c>
      <c r="EF16" s="122">
        <f t="shared" si="15"/>
        <v>0</v>
      </c>
      <c r="EG16" s="122">
        <f t="shared" si="8"/>
        <v>0</v>
      </c>
      <c r="EH16" s="122">
        <f t="shared" si="8"/>
        <v>0</v>
      </c>
      <c r="EI16" s="122">
        <f t="shared" si="8"/>
        <v>0</v>
      </c>
    </row>
    <row r="17" spans="1:139" x14ac:dyDescent="0.35">
      <c r="A17" s="126" t="str">
        <f t="shared" si="9"/>
        <v>OK</v>
      </c>
      <c r="B17" s="16" t="s">
        <v>147</v>
      </c>
      <c r="C17" s="116">
        <v>0</v>
      </c>
      <c r="D17" s="117">
        <f>C17/Revenue!$A$23</f>
        <v>0</v>
      </c>
      <c r="E17" s="118">
        <v>1</v>
      </c>
      <c r="F17" s="118">
        <v>1</v>
      </c>
      <c r="G17" s="120">
        <f t="shared" si="10"/>
        <v>1</v>
      </c>
      <c r="H17" s="122">
        <f t="shared" si="11"/>
        <v>0</v>
      </c>
      <c r="I17" s="122">
        <f t="shared" si="11"/>
        <v>0</v>
      </c>
      <c r="J17" s="122">
        <f t="shared" si="11"/>
        <v>0</v>
      </c>
      <c r="K17" s="122">
        <f t="shared" si="11"/>
        <v>0</v>
      </c>
      <c r="L17" s="122">
        <f t="shared" si="11"/>
        <v>0</v>
      </c>
      <c r="M17" s="122">
        <f t="shared" si="11"/>
        <v>0</v>
      </c>
      <c r="N17" s="122">
        <f t="shared" si="11"/>
        <v>0</v>
      </c>
      <c r="O17" s="122">
        <f t="shared" si="11"/>
        <v>0</v>
      </c>
      <c r="P17" s="122">
        <f t="shared" si="11"/>
        <v>0</v>
      </c>
      <c r="Q17" s="122">
        <f t="shared" si="11"/>
        <v>0</v>
      </c>
      <c r="R17" s="122">
        <f t="shared" si="11"/>
        <v>0</v>
      </c>
      <c r="S17" s="122">
        <f t="shared" si="11"/>
        <v>0</v>
      </c>
      <c r="T17" s="122">
        <f t="shared" si="11"/>
        <v>0</v>
      </c>
      <c r="U17" s="122">
        <f t="shared" si="11"/>
        <v>0</v>
      </c>
      <c r="V17" s="122">
        <f t="shared" si="11"/>
        <v>0</v>
      </c>
      <c r="W17" s="122">
        <f t="shared" si="11"/>
        <v>0</v>
      </c>
      <c r="X17" s="122">
        <f t="shared" si="16"/>
        <v>0</v>
      </c>
      <c r="Y17" s="122">
        <f t="shared" si="16"/>
        <v>0</v>
      </c>
      <c r="Z17" s="122">
        <f t="shared" si="16"/>
        <v>0</v>
      </c>
      <c r="AA17" s="122">
        <f t="shared" si="16"/>
        <v>0</v>
      </c>
      <c r="AB17" s="122">
        <f t="shared" si="16"/>
        <v>0</v>
      </c>
      <c r="AC17" s="122">
        <f t="shared" si="16"/>
        <v>0</v>
      </c>
      <c r="AD17" s="122">
        <f t="shared" si="16"/>
        <v>0</v>
      </c>
      <c r="AE17" s="122">
        <f t="shared" si="16"/>
        <v>0</v>
      </c>
      <c r="AF17" s="122">
        <f t="shared" si="16"/>
        <v>0</v>
      </c>
      <c r="AG17" s="122">
        <f t="shared" si="16"/>
        <v>0</v>
      </c>
      <c r="AH17" s="122">
        <f t="shared" si="16"/>
        <v>0</v>
      </c>
      <c r="AI17" s="122">
        <f t="shared" si="16"/>
        <v>0</v>
      </c>
      <c r="AJ17" s="122">
        <f t="shared" si="16"/>
        <v>0</v>
      </c>
      <c r="AK17" s="122">
        <f t="shared" si="16"/>
        <v>0</v>
      </c>
      <c r="AL17" s="122">
        <f t="shared" si="16"/>
        <v>0</v>
      </c>
      <c r="AM17" s="122">
        <f t="shared" si="16"/>
        <v>0</v>
      </c>
      <c r="AN17" s="122">
        <f t="shared" si="17"/>
        <v>0</v>
      </c>
      <c r="AO17" s="122">
        <f t="shared" si="17"/>
        <v>0</v>
      </c>
      <c r="AP17" s="122">
        <f t="shared" si="17"/>
        <v>0</v>
      </c>
      <c r="AQ17" s="122">
        <f t="shared" si="17"/>
        <v>0</v>
      </c>
      <c r="AR17" s="122">
        <f t="shared" si="17"/>
        <v>0</v>
      </c>
      <c r="AS17" s="122">
        <f t="shared" si="17"/>
        <v>0</v>
      </c>
      <c r="AT17" s="122">
        <f t="shared" si="17"/>
        <v>0</v>
      </c>
      <c r="AU17" s="122">
        <f t="shared" si="17"/>
        <v>0</v>
      </c>
      <c r="AV17" s="122">
        <f t="shared" si="17"/>
        <v>0</v>
      </c>
      <c r="AW17" s="122">
        <f t="shared" si="17"/>
        <v>0</v>
      </c>
      <c r="AX17" s="122">
        <f t="shared" si="17"/>
        <v>0</v>
      </c>
      <c r="AY17" s="122">
        <f t="shared" si="17"/>
        <v>0</v>
      </c>
      <c r="AZ17" s="122">
        <f t="shared" si="17"/>
        <v>0</v>
      </c>
      <c r="BA17" s="122">
        <f t="shared" si="17"/>
        <v>0</v>
      </c>
      <c r="BB17" s="122">
        <f t="shared" si="17"/>
        <v>0</v>
      </c>
      <c r="BC17" s="122">
        <f t="shared" si="17"/>
        <v>0</v>
      </c>
      <c r="BD17" s="122">
        <f t="shared" si="18"/>
        <v>0</v>
      </c>
      <c r="BE17" s="122">
        <f t="shared" si="18"/>
        <v>0</v>
      </c>
      <c r="BF17" s="122">
        <f t="shared" si="18"/>
        <v>0</v>
      </c>
      <c r="BG17" s="122">
        <f t="shared" si="18"/>
        <v>0</v>
      </c>
      <c r="BH17" s="122">
        <f t="shared" si="18"/>
        <v>0</v>
      </c>
      <c r="BI17" s="122">
        <f t="shared" si="18"/>
        <v>0</v>
      </c>
      <c r="BJ17" s="122">
        <f t="shared" si="18"/>
        <v>0</v>
      </c>
      <c r="BK17" s="122">
        <f t="shared" si="18"/>
        <v>0</v>
      </c>
      <c r="BL17" s="122">
        <f t="shared" si="18"/>
        <v>0</v>
      </c>
      <c r="BM17" s="122">
        <f t="shared" si="18"/>
        <v>0</v>
      </c>
      <c r="BN17" s="122">
        <f t="shared" si="18"/>
        <v>0</v>
      </c>
      <c r="BO17" s="122">
        <f t="shared" si="18"/>
        <v>0</v>
      </c>
      <c r="BP17" s="122">
        <f t="shared" si="18"/>
        <v>0</v>
      </c>
      <c r="BQ17" s="122">
        <f t="shared" si="18"/>
        <v>0</v>
      </c>
      <c r="BR17" s="122">
        <f t="shared" si="18"/>
        <v>0</v>
      </c>
      <c r="BS17" s="122">
        <f t="shared" si="18"/>
        <v>0</v>
      </c>
      <c r="BT17" s="122">
        <f t="shared" si="14"/>
        <v>0</v>
      </c>
      <c r="BU17" s="122">
        <f t="shared" si="14"/>
        <v>0</v>
      </c>
      <c r="BV17" s="122">
        <f t="shared" si="14"/>
        <v>0</v>
      </c>
      <c r="BW17" s="122">
        <f t="shared" si="14"/>
        <v>0</v>
      </c>
      <c r="BX17" s="122">
        <f t="shared" si="14"/>
        <v>0</v>
      </c>
      <c r="BY17" s="122">
        <f t="shared" si="14"/>
        <v>0</v>
      </c>
      <c r="BZ17" s="122">
        <f t="shared" si="14"/>
        <v>0</v>
      </c>
      <c r="CA17" s="122">
        <f t="shared" si="14"/>
        <v>0</v>
      </c>
      <c r="CB17" s="122">
        <f t="shared" si="14"/>
        <v>0</v>
      </c>
      <c r="CC17" s="122">
        <f t="shared" si="14"/>
        <v>0</v>
      </c>
      <c r="CD17" s="122">
        <f t="shared" si="14"/>
        <v>0</v>
      </c>
      <c r="CE17" s="122">
        <f t="shared" si="14"/>
        <v>0</v>
      </c>
      <c r="CF17" s="122">
        <f t="shared" si="14"/>
        <v>0</v>
      </c>
      <c r="CG17" s="122">
        <f t="shared" si="14"/>
        <v>0</v>
      </c>
      <c r="CH17" s="122">
        <f t="shared" si="14"/>
        <v>0</v>
      </c>
      <c r="CI17" s="122">
        <f t="shared" si="19"/>
        <v>0</v>
      </c>
      <c r="CJ17" s="122">
        <f t="shared" si="19"/>
        <v>0</v>
      </c>
      <c r="CK17" s="122">
        <f t="shared" si="19"/>
        <v>0</v>
      </c>
      <c r="CL17" s="122">
        <f t="shared" si="19"/>
        <v>0</v>
      </c>
      <c r="CM17" s="122">
        <f t="shared" si="19"/>
        <v>0</v>
      </c>
      <c r="CN17" s="122">
        <f t="shared" si="19"/>
        <v>0</v>
      </c>
      <c r="CO17" s="122">
        <f t="shared" si="19"/>
        <v>0</v>
      </c>
      <c r="CP17" s="122">
        <f t="shared" si="19"/>
        <v>0</v>
      </c>
      <c r="CQ17" s="122">
        <f t="shared" si="19"/>
        <v>0</v>
      </c>
      <c r="CR17" s="122">
        <f t="shared" si="19"/>
        <v>0</v>
      </c>
      <c r="CS17" s="122">
        <f t="shared" si="19"/>
        <v>0</v>
      </c>
      <c r="CT17" s="122">
        <f t="shared" si="19"/>
        <v>0</v>
      </c>
      <c r="CU17" s="122">
        <f t="shared" si="19"/>
        <v>0</v>
      </c>
      <c r="CV17" s="122">
        <f t="shared" si="19"/>
        <v>0</v>
      </c>
      <c r="CW17" s="122">
        <f t="shared" si="19"/>
        <v>0</v>
      </c>
      <c r="CX17" s="122">
        <f t="shared" si="19"/>
        <v>0</v>
      </c>
      <c r="CY17" s="122">
        <f t="shared" si="20"/>
        <v>0</v>
      </c>
      <c r="CZ17" s="122">
        <f t="shared" si="20"/>
        <v>0</v>
      </c>
      <c r="DA17" s="122">
        <f t="shared" si="20"/>
        <v>0</v>
      </c>
      <c r="DB17" s="122">
        <f t="shared" si="20"/>
        <v>0</v>
      </c>
      <c r="DC17" s="122">
        <f t="shared" si="20"/>
        <v>0</v>
      </c>
      <c r="DD17" s="122">
        <f t="shared" si="20"/>
        <v>0</v>
      </c>
      <c r="DE17" s="122">
        <f t="shared" si="20"/>
        <v>0</v>
      </c>
      <c r="DF17" s="122">
        <f t="shared" si="20"/>
        <v>0</v>
      </c>
      <c r="DG17" s="122">
        <f t="shared" si="20"/>
        <v>0</v>
      </c>
      <c r="DH17" s="122">
        <f t="shared" si="20"/>
        <v>0</v>
      </c>
      <c r="DI17" s="122">
        <f t="shared" si="20"/>
        <v>0</v>
      </c>
      <c r="DJ17" s="122">
        <f t="shared" si="20"/>
        <v>0</v>
      </c>
      <c r="DK17" s="122">
        <f t="shared" si="20"/>
        <v>0</v>
      </c>
      <c r="DL17" s="122">
        <f t="shared" si="20"/>
        <v>0</v>
      </c>
      <c r="DM17" s="122">
        <f t="shared" si="20"/>
        <v>0</v>
      </c>
      <c r="DN17" s="122">
        <f t="shared" si="20"/>
        <v>0</v>
      </c>
      <c r="DO17" s="122">
        <f t="shared" si="21"/>
        <v>0</v>
      </c>
      <c r="DP17" s="122">
        <f t="shared" si="21"/>
        <v>0</v>
      </c>
      <c r="DQ17" s="122">
        <f t="shared" si="21"/>
        <v>0</v>
      </c>
      <c r="DR17" s="122">
        <f t="shared" si="21"/>
        <v>0</v>
      </c>
      <c r="DS17" s="122">
        <f t="shared" si="21"/>
        <v>0</v>
      </c>
      <c r="DT17" s="122">
        <f t="shared" si="21"/>
        <v>0</v>
      </c>
      <c r="DU17" s="122">
        <f t="shared" si="21"/>
        <v>0</v>
      </c>
      <c r="DV17" s="122">
        <f t="shared" si="21"/>
        <v>0</v>
      </c>
      <c r="DW17" s="122">
        <f t="shared" si="21"/>
        <v>0</v>
      </c>
      <c r="DX17" s="122">
        <f t="shared" si="21"/>
        <v>0</v>
      </c>
      <c r="DY17" s="122">
        <f t="shared" si="21"/>
        <v>0</v>
      </c>
      <c r="DZ17" s="122">
        <f t="shared" si="21"/>
        <v>0</v>
      </c>
      <c r="EA17" s="122">
        <f t="shared" si="21"/>
        <v>0</v>
      </c>
      <c r="EB17" s="122">
        <f t="shared" si="21"/>
        <v>0</v>
      </c>
      <c r="EC17" s="122">
        <f t="shared" si="21"/>
        <v>0</v>
      </c>
      <c r="ED17" s="122">
        <f t="shared" si="21"/>
        <v>0</v>
      </c>
      <c r="EE17" s="122">
        <f t="shared" si="15"/>
        <v>0</v>
      </c>
      <c r="EF17" s="122">
        <f t="shared" si="15"/>
        <v>0</v>
      </c>
      <c r="EG17" s="122">
        <f t="shared" si="8"/>
        <v>0</v>
      </c>
      <c r="EH17" s="122">
        <f t="shared" si="8"/>
        <v>0</v>
      </c>
      <c r="EI17" s="122">
        <f t="shared" si="8"/>
        <v>0</v>
      </c>
    </row>
    <row r="18" spans="1:139" x14ac:dyDescent="0.35">
      <c r="A18" s="126" t="str">
        <f t="shared" si="9"/>
        <v>OK</v>
      </c>
      <c r="B18" s="16" t="s">
        <v>147</v>
      </c>
      <c r="C18" s="116">
        <v>0</v>
      </c>
      <c r="D18" s="117">
        <f>C18/Revenue!$A$23</f>
        <v>0</v>
      </c>
      <c r="E18" s="118">
        <v>1</v>
      </c>
      <c r="F18" s="118">
        <v>1</v>
      </c>
      <c r="G18" s="120">
        <f t="shared" si="10"/>
        <v>1</v>
      </c>
      <c r="H18" s="122">
        <f t="shared" si="11"/>
        <v>0</v>
      </c>
      <c r="I18" s="122">
        <f t="shared" si="11"/>
        <v>0</v>
      </c>
      <c r="J18" s="122">
        <f t="shared" si="11"/>
        <v>0</v>
      </c>
      <c r="K18" s="122">
        <f t="shared" si="11"/>
        <v>0</v>
      </c>
      <c r="L18" s="122">
        <f t="shared" si="11"/>
        <v>0</v>
      </c>
      <c r="M18" s="122">
        <f t="shared" si="11"/>
        <v>0</v>
      </c>
      <c r="N18" s="122">
        <f t="shared" si="11"/>
        <v>0</v>
      </c>
      <c r="O18" s="122">
        <f t="shared" si="11"/>
        <v>0</v>
      </c>
      <c r="P18" s="122">
        <f t="shared" si="11"/>
        <v>0</v>
      </c>
      <c r="Q18" s="122">
        <f t="shared" si="11"/>
        <v>0</v>
      </c>
      <c r="R18" s="122">
        <f t="shared" si="11"/>
        <v>0</v>
      </c>
      <c r="S18" s="122">
        <f t="shared" si="11"/>
        <v>0</v>
      </c>
      <c r="T18" s="122">
        <f t="shared" si="11"/>
        <v>0</v>
      </c>
      <c r="U18" s="122">
        <f t="shared" si="11"/>
        <v>0</v>
      </c>
      <c r="V18" s="122">
        <f t="shared" si="11"/>
        <v>0</v>
      </c>
      <c r="W18" s="122">
        <f t="shared" si="11"/>
        <v>0</v>
      </c>
      <c r="X18" s="122">
        <f t="shared" si="16"/>
        <v>0</v>
      </c>
      <c r="Y18" s="122">
        <f t="shared" si="16"/>
        <v>0</v>
      </c>
      <c r="Z18" s="122">
        <f t="shared" si="16"/>
        <v>0</v>
      </c>
      <c r="AA18" s="122">
        <f t="shared" si="16"/>
        <v>0</v>
      </c>
      <c r="AB18" s="122">
        <f t="shared" si="16"/>
        <v>0</v>
      </c>
      <c r="AC18" s="122">
        <f t="shared" si="16"/>
        <v>0</v>
      </c>
      <c r="AD18" s="122">
        <f t="shared" si="16"/>
        <v>0</v>
      </c>
      <c r="AE18" s="122">
        <f t="shared" si="16"/>
        <v>0</v>
      </c>
      <c r="AF18" s="122">
        <f t="shared" si="16"/>
        <v>0</v>
      </c>
      <c r="AG18" s="122">
        <f t="shared" si="16"/>
        <v>0</v>
      </c>
      <c r="AH18" s="122">
        <f t="shared" si="16"/>
        <v>0</v>
      </c>
      <c r="AI18" s="122">
        <f t="shared" si="16"/>
        <v>0</v>
      </c>
      <c r="AJ18" s="122">
        <f t="shared" si="16"/>
        <v>0</v>
      </c>
      <c r="AK18" s="122">
        <f t="shared" si="16"/>
        <v>0</v>
      </c>
      <c r="AL18" s="122">
        <f t="shared" si="16"/>
        <v>0</v>
      </c>
      <c r="AM18" s="122">
        <f t="shared" si="16"/>
        <v>0</v>
      </c>
      <c r="AN18" s="122">
        <f t="shared" si="17"/>
        <v>0</v>
      </c>
      <c r="AO18" s="122">
        <f t="shared" si="17"/>
        <v>0</v>
      </c>
      <c r="AP18" s="122">
        <f t="shared" si="17"/>
        <v>0</v>
      </c>
      <c r="AQ18" s="122">
        <f t="shared" si="17"/>
        <v>0</v>
      </c>
      <c r="AR18" s="122">
        <f t="shared" si="17"/>
        <v>0</v>
      </c>
      <c r="AS18" s="122">
        <f t="shared" si="17"/>
        <v>0</v>
      </c>
      <c r="AT18" s="122">
        <f t="shared" si="17"/>
        <v>0</v>
      </c>
      <c r="AU18" s="122">
        <f t="shared" si="17"/>
        <v>0</v>
      </c>
      <c r="AV18" s="122">
        <f t="shared" si="17"/>
        <v>0</v>
      </c>
      <c r="AW18" s="122">
        <f t="shared" si="17"/>
        <v>0</v>
      </c>
      <c r="AX18" s="122">
        <f t="shared" si="17"/>
        <v>0</v>
      </c>
      <c r="AY18" s="122">
        <f t="shared" si="17"/>
        <v>0</v>
      </c>
      <c r="AZ18" s="122">
        <f t="shared" si="17"/>
        <v>0</v>
      </c>
      <c r="BA18" s="122">
        <f t="shared" si="17"/>
        <v>0</v>
      </c>
      <c r="BB18" s="122">
        <f t="shared" si="17"/>
        <v>0</v>
      </c>
      <c r="BC18" s="122">
        <f t="shared" si="17"/>
        <v>0</v>
      </c>
      <c r="BD18" s="122">
        <f t="shared" si="18"/>
        <v>0</v>
      </c>
      <c r="BE18" s="122">
        <f t="shared" si="18"/>
        <v>0</v>
      </c>
      <c r="BF18" s="122">
        <f t="shared" si="18"/>
        <v>0</v>
      </c>
      <c r="BG18" s="122">
        <f t="shared" si="18"/>
        <v>0</v>
      </c>
      <c r="BH18" s="122">
        <f t="shared" si="18"/>
        <v>0</v>
      </c>
      <c r="BI18" s="122">
        <f t="shared" si="18"/>
        <v>0</v>
      </c>
      <c r="BJ18" s="122">
        <f t="shared" si="18"/>
        <v>0</v>
      </c>
      <c r="BK18" s="122">
        <f t="shared" si="18"/>
        <v>0</v>
      </c>
      <c r="BL18" s="122">
        <f t="shared" si="18"/>
        <v>0</v>
      </c>
      <c r="BM18" s="122">
        <f t="shared" si="18"/>
        <v>0</v>
      </c>
      <c r="BN18" s="122">
        <f t="shared" si="18"/>
        <v>0</v>
      </c>
      <c r="BO18" s="122">
        <f t="shared" si="18"/>
        <v>0</v>
      </c>
      <c r="BP18" s="122">
        <f t="shared" si="18"/>
        <v>0</v>
      </c>
      <c r="BQ18" s="122">
        <f t="shared" si="18"/>
        <v>0</v>
      </c>
      <c r="BR18" s="122">
        <f t="shared" si="18"/>
        <v>0</v>
      </c>
      <c r="BS18" s="122">
        <f t="shared" si="18"/>
        <v>0</v>
      </c>
      <c r="BT18" s="122">
        <f t="shared" si="14"/>
        <v>0</v>
      </c>
      <c r="BU18" s="122">
        <f t="shared" si="14"/>
        <v>0</v>
      </c>
      <c r="BV18" s="122">
        <f t="shared" si="14"/>
        <v>0</v>
      </c>
      <c r="BW18" s="122">
        <f t="shared" si="14"/>
        <v>0</v>
      </c>
      <c r="BX18" s="122">
        <f t="shared" si="14"/>
        <v>0</v>
      </c>
      <c r="BY18" s="122">
        <f t="shared" si="14"/>
        <v>0</v>
      </c>
      <c r="BZ18" s="122">
        <f t="shared" si="14"/>
        <v>0</v>
      </c>
      <c r="CA18" s="122">
        <f t="shared" si="14"/>
        <v>0</v>
      </c>
      <c r="CB18" s="122">
        <f t="shared" si="14"/>
        <v>0</v>
      </c>
      <c r="CC18" s="122">
        <f t="shared" si="14"/>
        <v>0</v>
      </c>
      <c r="CD18" s="122">
        <f t="shared" si="14"/>
        <v>0</v>
      </c>
      <c r="CE18" s="122">
        <f t="shared" si="14"/>
        <v>0</v>
      </c>
      <c r="CF18" s="122">
        <f t="shared" si="14"/>
        <v>0</v>
      </c>
      <c r="CG18" s="122">
        <f t="shared" si="14"/>
        <v>0</v>
      </c>
      <c r="CH18" s="122">
        <f t="shared" si="14"/>
        <v>0</v>
      </c>
      <c r="CI18" s="122">
        <f t="shared" si="19"/>
        <v>0</v>
      </c>
      <c r="CJ18" s="122">
        <f t="shared" si="19"/>
        <v>0</v>
      </c>
      <c r="CK18" s="122">
        <f t="shared" si="19"/>
        <v>0</v>
      </c>
      <c r="CL18" s="122">
        <f t="shared" si="19"/>
        <v>0</v>
      </c>
      <c r="CM18" s="122">
        <f t="shared" si="19"/>
        <v>0</v>
      </c>
      <c r="CN18" s="122">
        <f t="shared" si="19"/>
        <v>0</v>
      </c>
      <c r="CO18" s="122">
        <f t="shared" si="19"/>
        <v>0</v>
      </c>
      <c r="CP18" s="122">
        <f t="shared" si="19"/>
        <v>0</v>
      </c>
      <c r="CQ18" s="122">
        <f t="shared" si="19"/>
        <v>0</v>
      </c>
      <c r="CR18" s="122">
        <f t="shared" si="19"/>
        <v>0</v>
      </c>
      <c r="CS18" s="122">
        <f t="shared" si="19"/>
        <v>0</v>
      </c>
      <c r="CT18" s="122">
        <f t="shared" si="19"/>
        <v>0</v>
      </c>
      <c r="CU18" s="122">
        <f t="shared" si="19"/>
        <v>0</v>
      </c>
      <c r="CV18" s="122">
        <f t="shared" si="19"/>
        <v>0</v>
      </c>
      <c r="CW18" s="122">
        <f t="shared" si="19"/>
        <v>0</v>
      </c>
      <c r="CX18" s="122">
        <f t="shared" si="19"/>
        <v>0</v>
      </c>
      <c r="CY18" s="122">
        <f t="shared" si="20"/>
        <v>0</v>
      </c>
      <c r="CZ18" s="122">
        <f t="shared" si="20"/>
        <v>0</v>
      </c>
      <c r="DA18" s="122">
        <f t="shared" si="20"/>
        <v>0</v>
      </c>
      <c r="DB18" s="122">
        <f t="shared" si="20"/>
        <v>0</v>
      </c>
      <c r="DC18" s="122">
        <f t="shared" si="20"/>
        <v>0</v>
      </c>
      <c r="DD18" s="122">
        <f t="shared" si="20"/>
        <v>0</v>
      </c>
      <c r="DE18" s="122">
        <f t="shared" si="20"/>
        <v>0</v>
      </c>
      <c r="DF18" s="122">
        <f t="shared" si="20"/>
        <v>0</v>
      </c>
      <c r="DG18" s="122">
        <f t="shared" si="20"/>
        <v>0</v>
      </c>
      <c r="DH18" s="122">
        <f t="shared" si="20"/>
        <v>0</v>
      </c>
      <c r="DI18" s="122">
        <f t="shared" si="20"/>
        <v>0</v>
      </c>
      <c r="DJ18" s="122">
        <f t="shared" si="20"/>
        <v>0</v>
      </c>
      <c r="DK18" s="122">
        <f t="shared" si="20"/>
        <v>0</v>
      </c>
      <c r="DL18" s="122">
        <f t="shared" si="20"/>
        <v>0</v>
      </c>
      <c r="DM18" s="122">
        <f t="shared" si="20"/>
        <v>0</v>
      </c>
      <c r="DN18" s="122">
        <f t="shared" si="20"/>
        <v>0</v>
      </c>
      <c r="DO18" s="122">
        <f t="shared" si="21"/>
        <v>0</v>
      </c>
      <c r="DP18" s="122">
        <f t="shared" si="21"/>
        <v>0</v>
      </c>
      <c r="DQ18" s="122">
        <f t="shared" si="21"/>
        <v>0</v>
      </c>
      <c r="DR18" s="122">
        <f t="shared" si="21"/>
        <v>0</v>
      </c>
      <c r="DS18" s="122">
        <f t="shared" si="21"/>
        <v>0</v>
      </c>
      <c r="DT18" s="122">
        <f t="shared" si="21"/>
        <v>0</v>
      </c>
      <c r="DU18" s="122">
        <f t="shared" si="21"/>
        <v>0</v>
      </c>
      <c r="DV18" s="122">
        <f t="shared" si="21"/>
        <v>0</v>
      </c>
      <c r="DW18" s="122">
        <f t="shared" si="21"/>
        <v>0</v>
      </c>
      <c r="DX18" s="122">
        <f t="shared" si="21"/>
        <v>0</v>
      </c>
      <c r="DY18" s="122">
        <f t="shared" si="21"/>
        <v>0</v>
      </c>
      <c r="DZ18" s="122">
        <f t="shared" si="21"/>
        <v>0</v>
      </c>
      <c r="EA18" s="122">
        <f t="shared" si="21"/>
        <v>0</v>
      </c>
      <c r="EB18" s="122">
        <f t="shared" si="21"/>
        <v>0</v>
      </c>
      <c r="EC18" s="122">
        <f t="shared" si="21"/>
        <v>0</v>
      </c>
      <c r="ED18" s="122">
        <f t="shared" si="21"/>
        <v>0</v>
      </c>
      <c r="EE18" s="122">
        <f t="shared" si="15"/>
        <v>0</v>
      </c>
      <c r="EF18" s="122">
        <f t="shared" si="15"/>
        <v>0</v>
      </c>
      <c r="EG18" s="122">
        <f t="shared" si="8"/>
        <v>0</v>
      </c>
      <c r="EH18" s="122">
        <f t="shared" si="8"/>
        <v>0</v>
      </c>
      <c r="EI18" s="122">
        <f t="shared" si="8"/>
        <v>0</v>
      </c>
    </row>
    <row r="19" spans="1:139" x14ac:dyDescent="0.35">
      <c r="A19" s="126" t="str">
        <f t="shared" si="9"/>
        <v>OK</v>
      </c>
      <c r="B19" s="16" t="s">
        <v>147</v>
      </c>
      <c r="C19" s="116">
        <v>0</v>
      </c>
      <c r="D19" s="117">
        <f>C19/Revenue!$A$23</f>
        <v>0</v>
      </c>
      <c r="E19" s="118">
        <v>1</v>
      </c>
      <c r="F19" s="118">
        <v>1</v>
      </c>
      <c r="G19" s="120">
        <f t="shared" si="10"/>
        <v>1</v>
      </c>
      <c r="H19" s="122">
        <f t="shared" si="11"/>
        <v>0</v>
      </c>
      <c r="I19" s="122">
        <f t="shared" si="11"/>
        <v>0</v>
      </c>
      <c r="J19" s="122">
        <f t="shared" si="11"/>
        <v>0</v>
      </c>
      <c r="K19" s="122">
        <f t="shared" si="11"/>
        <v>0</v>
      </c>
      <c r="L19" s="122">
        <f t="shared" si="11"/>
        <v>0</v>
      </c>
      <c r="M19" s="122">
        <f t="shared" si="11"/>
        <v>0</v>
      </c>
      <c r="N19" s="122">
        <f t="shared" si="11"/>
        <v>0</v>
      </c>
      <c r="O19" s="122">
        <f t="shared" si="11"/>
        <v>0</v>
      </c>
      <c r="P19" s="122">
        <f t="shared" si="11"/>
        <v>0</v>
      </c>
      <c r="Q19" s="122">
        <f t="shared" si="11"/>
        <v>0</v>
      </c>
      <c r="R19" s="122">
        <f t="shared" si="11"/>
        <v>0</v>
      </c>
      <c r="S19" s="122">
        <f t="shared" si="11"/>
        <v>0</v>
      </c>
      <c r="T19" s="122">
        <f t="shared" si="11"/>
        <v>0</v>
      </c>
      <c r="U19" s="122">
        <f t="shared" si="11"/>
        <v>0</v>
      </c>
      <c r="V19" s="122">
        <f t="shared" si="11"/>
        <v>0</v>
      </c>
      <c r="W19" s="122">
        <f t="shared" si="11"/>
        <v>0</v>
      </c>
      <c r="X19" s="122">
        <f t="shared" si="16"/>
        <v>0</v>
      </c>
      <c r="Y19" s="122">
        <f t="shared" si="16"/>
        <v>0</v>
      </c>
      <c r="Z19" s="122">
        <f t="shared" si="16"/>
        <v>0</v>
      </c>
      <c r="AA19" s="122">
        <f t="shared" si="16"/>
        <v>0</v>
      </c>
      <c r="AB19" s="122">
        <f t="shared" si="16"/>
        <v>0</v>
      </c>
      <c r="AC19" s="122">
        <f t="shared" si="16"/>
        <v>0</v>
      </c>
      <c r="AD19" s="122">
        <f t="shared" si="16"/>
        <v>0</v>
      </c>
      <c r="AE19" s="122">
        <f t="shared" si="16"/>
        <v>0</v>
      </c>
      <c r="AF19" s="122">
        <f t="shared" si="16"/>
        <v>0</v>
      </c>
      <c r="AG19" s="122">
        <f t="shared" si="16"/>
        <v>0</v>
      </c>
      <c r="AH19" s="122">
        <f t="shared" si="16"/>
        <v>0</v>
      </c>
      <c r="AI19" s="122">
        <f t="shared" si="16"/>
        <v>0</v>
      </c>
      <c r="AJ19" s="122">
        <f t="shared" si="16"/>
        <v>0</v>
      </c>
      <c r="AK19" s="122">
        <f t="shared" si="16"/>
        <v>0</v>
      </c>
      <c r="AL19" s="122">
        <f t="shared" si="16"/>
        <v>0</v>
      </c>
      <c r="AM19" s="122">
        <f t="shared" si="16"/>
        <v>0</v>
      </c>
      <c r="AN19" s="122">
        <f t="shared" si="17"/>
        <v>0</v>
      </c>
      <c r="AO19" s="122">
        <f t="shared" si="17"/>
        <v>0</v>
      </c>
      <c r="AP19" s="122">
        <f t="shared" si="17"/>
        <v>0</v>
      </c>
      <c r="AQ19" s="122">
        <f t="shared" si="17"/>
        <v>0</v>
      </c>
      <c r="AR19" s="122">
        <f t="shared" si="17"/>
        <v>0</v>
      </c>
      <c r="AS19" s="122">
        <f t="shared" si="17"/>
        <v>0</v>
      </c>
      <c r="AT19" s="122">
        <f t="shared" si="17"/>
        <v>0</v>
      </c>
      <c r="AU19" s="122">
        <f t="shared" si="17"/>
        <v>0</v>
      </c>
      <c r="AV19" s="122">
        <f t="shared" si="17"/>
        <v>0</v>
      </c>
      <c r="AW19" s="122">
        <f t="shared" si="17"/>
        <v>0</v>
      </c>
      <c r="AX19" s="122">
        <f t="shared" si="17"/>
        <v>0</v>
      </c>
      <c r="AY19" s="122">
        <f t="shared" si="17"/>
        <v>0</v>
      </c>
      <c r="AZ19" s="122">
        <f t="shared" si="17"/>
        <v>0</v>
      </c>
      <c r="BA19" s="122">
        <f t="shared" si="17"/>
        <v>0</v>
      </c>
      <c r="BB19" s="122">
        <f t="shared" si="17"/>
        <v>0</v>
      </c>
      <c r="BC19" s="122">
        <f t="shared" si="17"/>
        <v>0</v>
      </c>
      <c r="BD19" s="122">
        <f t="shared" si="18"/>
        <v>0</v>
      </c>
      <c r="BE19" s="122">
        <f t="shared" si="18"/>
        <v>0</v>
      </c>
      <c r="BF19" s="122">
        <f t="shared" si="18"/>
        <v>0</v>
      </c>
      <c r="BG19" s="122">
        <f t="shared" si="18"/>
        <v>0</v>
      </c>
      <c r="BH19" s="122">
        <f t="shared" si="18"/>
        <v>0</v>
      </c>
      <c r="BI19" s="122">
        <f t="shared" si="18"/>
        <v>0</v>
      </c>
      <c r="BJ19" s="122">
        <f t="shared" si="18"/>
        <v>0</v>
      </c>
      <c r="BK19" s="122">
        <f t="shared" si="18"/>
        <v>0</v>
      </c>
      <c r="BL19" s="122">
        <f t="shared" si="18"/>
        <v>0</v>
      </c>
      <c r="BM19" s="122">
        <f t="shared" si="18"/>
        <v>0</v>
      </c>
      <c r="BN19" s="122">
        <f t="shared" si="18"/>
        <v>0</v>
      </c>
      <c r="BO19" s="122">
        <f t="shared" si="18"/>
        <v>0</v>
      </c>
      <c r="BP19" s="122">
        <f t="shared" si="18"/>
        <v>0</v>
      </c>
      <c r="BQ19" s="122">
        <f t="shared" si="18"/>
        <v>0</v>
      </c>
      <c r="BR19" s="122">
        <f t="shared" si="18"/>
        <v>0</v>
      </c>
      <c r="BS19" s="122">
        <f t="shared" si="18"/>
        <v>0</v>
      </c>
      <c r="BT19" s="122">
        <f t="shared" si="14"/>
        <v>0</v>
      </c>
      <c r="BU19" s="122">
        <f t="shared" si="14"/>
        <v>0</v>
      </c>
      <c r="BV19" s="122">
        <f t="shared" si="14"/>
        <v>0</v>
      </c>
      <c r="BW19" s="122">
        <f t="shared" si="14"/>
        <v>0</v>
      </c>
      <c r="BX19" s="122">
        <f t="shared" si="14"/>
        <v>0</v>
      </c>
      <c r="BY19" s="122">
        <f t="shared" si="14"/>
        <v>0</v>
      </c>
      <c r="BZ19" s="122">
        <f t="shared" si="14"/>
        <v>0</v>
      </c>
      <c r="CA19" s="122">
        <f t="shared" si="14"/>
        <v>0</v>
      </c>
      <c r="CB19" s="122">
        <f t="shared" si="14"/>
        <v>0</v>
      </c>
      <c r="CC19" s="122">
        <f t="shared" si="14"/>
        <v>0</v>
      </c>
      <c r="CD19" s="122">
        <f t="shared" si="14"/>
        <v>0</v>
      </c>
      <c r="CE19" s="122">
        <f t="shared" si="14"/>
        <v>0</v>
      </c>
      <c r="CF19" s="122">
        <f t="shared" si="14"/>
        <v>0</v>
      </c>
      <c r="CG19" s="122">
        <f t="shared" si="14"/>
        <v>0</v>
      </c>
      <c r="CH19" s="122">
        <f t="shared" si="14"/>
        <v>0</v>
      </c>
      <c r="CI19" s="122">
        <f t="shared" si="19"/>
        <v>0</v>
      </c>
      <c r="CJ19" s="122">
        <f t="shared" si="19"/>
        <v>0</v>
      </c>
      <c r="CK19" s="122">
        <f t="shared" si="19"/>
        <v>0</v>
      </c>
      <c r="CL19" s="122">
        <f t="shared" si="19"/>
        <v>0</v>
      </c>
      <c r="CM19" s="122">
        <f t="shared" si="19"/>
        <v>0</v>
      </c>
      <c r="CN19" s="122">
        <f t="shared" si="19"/>
        <v>0</v>
      </c>
      <c r="CO19" s="122">
        <f t="shared" si="19"/>
        <v>0</v>
      </c>
      <c r="CP19" s="122">
        <f t="shared" si="19"/>
        <v>0</v>
      </c>
      <c r="CQ19" s="122">
        <f t="shared" si="19"/>
        <v>0</v>
      </c>
      <c r="CR19" s="122">
        <f t="shared" si="19"/>
        <v>0</v>
      </c>
      <c r="CS19" s="122">
        <f t="shared" si="19"/>
        <v>0</v>
      </c>
      <c r="CT19" s="122">
        <f t="shared" si="19"/>
        <v>0</v>
      </c>
      <c r="CU19" s="122">
        <f t="shared" si="19"/>
        <v>0</v>
      </c>
      <c r="CV19" s="122">
        <f t="shared" si="19"/>
        <v>0</v>
      </c>
      <c r="CW19" s="122">
        <f t="shared" si="19"/>
        <v>0</v>
      </c>
      <c r="CX19" s="122">
        <f t="shared" si="19"/>
        <v>0</v>
      </c>
      <c r="CY19" s="122">
        <f t="shared" si="20"/>
        <v>0</v>
      </c>
      <c r="CZ19" s="122">
        <f t="shared" si="20"/>
        <v>0</v>
      </c>
      <c r="DA19" s="122">
        <f t="shared" si="20"/>
        <v>0</v>
      </c>
      <c r="DB19" s="122">
        <f t="shared" si="20"/>
        <v>0</v>
      </c>
      <c r="DC19" s="122">
        <f t="shared" si="20"/>
        <v>0</v>
      </c>
      <c r="DD19" s="122">
        <f t="shared" si="20"/>
        <v>0</v>
      </c>
      <c r="DE19" s="122">
        <f t="shared" si="20"/>
        <v>0</v>
      </c>
      <c r="DF19" s="122">
        <f t="shared" si="20"/>
        <v>0</v>
      </c>
      <c r="DG19" s="122">
        <f t="shared" si="20"/>
        <v>0</v>
      </c>
      <c r="DH19" s="122">
        <f t="shared" si="20"/>
        <v>0</v>
      </c>
      <c r="DI19" s="122">
        <f t="shared" si="20"/>
        <v>0</v>
      </c>
      <c r="DJ19" s="122">
        <f t="shared" si="20"/>
        <v>0</v>
      </c>
      <c r="DK19" s="122">
        <f t="shared" si="20"/>
        <v>0</v>
      </c>
      <c r="DL19" s="122">
        <f t="shared" si="20"/>
        <v>0</v>
      </c>
      <c r="DM19" s="122">
        <f t="shared" si="20"/>
        <v>0</v>
      </c>
      <c r="DN19" s="122">
        <f t="shared" si="20"/>
        <v>0</v>
      </c>
      <c r="DO19" s="122">
        <f t="shared" si="21"/>
        <v>0</v>
      </c>
      <c r="DP19" s="122">
        <f t="shared" si="21"/>
        <v>0</v>
      </c>
      <c r="DQ19" s="122">
        <f t="shared" si="21"/>
        <v>0</v>
      </c>
      <c r="DR19" s="122">
        <f t="shared" si="21"/>
        <v>0</v>
      </c>
      <c r="DS19" s="122">
        <f t="shared" si="21"/>
        <v>0</v>
      </c>
      <c r="DT19" s="122">
        <f t="shared" si="21"/>
        <v>0</v>
      </c>
      <c r="DU19" s="122">
        <f t="shared" si="21"/>
        <v>0</v>
      </c>
      <c r="DV19" s="122">
        <f t="shared" si="21"/>
        <v>0</v>
      </c>
      <c r="DW19" s="122">
        <f t="shared" si="21"/>
        <v>0</v>
      </c>
      <c r="DX19" s="122">
        <f t="shared" si="21"/>
        <v>0</v>
      </c>
      <c r="DY19" s="122">
        <f t="shared" si="21"/>
        <v>0</v>
      </c>
      <c r="DZ19" s="122">
        <f t="shared" si="21"/>
        <v>0</v>
      </c>
      <c r="EA19" s="122">
        <f t="shared" si="21"/>
        <v>0</v>
      </c>
      <c r="EB19" s="122">
        <f t="shared" si="21"/>
        <v>0</v>
      </c>
      <c r="EC19" s="122">
        <f t="shared" si="21"/>
        <v>0</v>
      </c>
      <c r="ED19" s="122">
        <f t="shared" si="21"/>
        <v>0</v>
      </c>
      <c r="EE19" s="122">
        <f t="shared" si="15"/>
        <v>0</v>
      </c>
      <c r="EF19" s="122">
        <f t="shared" si="15"/>
        <v>0</v>
      </c>
      <c r="EG19" s="122">
        <f t="shared" si="8"/>
        <v>0</v>
      </c>
      <c r="EH19" s="122">
        <f t="shared" si="8"/>
        <v>0</v>
      </c>
      <c r="EI19" s="122">
        <f t="shared" si="8"/>
        <v>0</v>
      </c>
    </row>
    <row r="20" spans="1:139" x14ac:dyDescent="0.35">
      <c r="A20" s="126" t="str">
        <f t="shared" si="9"/>
        <v>OK</v>
      </c>
      <c r="B20" s="16" t="s">
        <v>147</v>
      </c>
      <c r="C20" s="116">
        <v>0</v>
      </c>
      <c r="D20" s="117">
        <f>C20/Revenue!$A$23</f>
        <v>0</v>
      </c>
      <c r="E20" s="118">
        <v>1</v>
      </c>
      <c r="F20" s="118">
        <v>1</v>
      </c>
      <c r="G20" s="120">
        <f t="shared" si="10"/>
        <v>1</v>
      </c>
      <c r="H20" s="122">
        <f t="shared" si="11"/>
        <v>0</v>
      </c>
      <c r="I20" s="122">
        <f t="shared" si="11"/>
        <v>0</v>
      </c>
      <c r="J20" s="122">
        <f t="shared" si="11"/>
        <v>0</v>
      </c>
      <c r="K20" s="122">
        <f t="shared" si="11"/>
        <v>0</v>
      </c>
      <c r="L20" s="122">
        <f t="shared" si="11"/>
        <v>0</v>
      </c>
      <c r="M20" s="122">
        <f t="shared" si="11"/>
        <v>0</v>
      </c>
      <c r="N20" s="122">
        <f t="shared" si="11"/>
        <v>0</v>
      </c>
      <c r="O20" s="122">
        <f t="shared" si="11"/>
        <v>0</v>
      </c>
      <c r="P20" s="122">
        <f t="shared" si="11"/>
        <v>0</v>
      </c>
      <c r="Q20" s="122">
        <f t="shared" si="11"/>
        <v>0</v>
      </c>
      <c r="R20" s="122">
        <f t="shared" si="11"/>
        <v>0</v>
      </c>
      <c r="S20" s="122">
        <f t="shared" si="11"/>
        <v>0</v>
      </c>
      <c r="T20" s="122">
        <f t="shared" si="11"/>
        <v>0</v>
      </c>
      <c r="U20" s="122">
        <f t="shared" si="11"/>
        <v>0</v>
      </c>
      <c r="V20" s="122">
        <f t="shared" si="11"/>
        <v>0</v>
      </c>
      <c r="W20" s="122">
        <f t="shared" si="11"/>
        <v>0</v>
      </c>
      <c r="X20" s="122">
        <f t="shared" si="16"/>
        <v>0</v>
      </c>
      <c r="Y20" s="122">
        <f t="shared" si="16"/>
        <v>0</v>
      </c>
      <c r="Z20" s="122">
        <f t="shared" si="16"/>
        <v>0</v>
      </c>
      <c r="AA20" s="122">
        <f t="shared" si="16"/>
        <v>0</v>
      </c>
      <c r="AB20" s="122">
        <f t="shared" si="16"/>
        <v>0</v>
      </c>
      <c r="AC20" s="122">
        <f t="shared" si="16"/>
        <v>0</v>
      </c>
      <c r="AD20" s="122">
        <f t="shared" si="16"/>
        <v>0</v>
      </c>
      <c r="AE20" s="122">
        <f t="shared" si="16"/>
        <v>0</v>
      </c>
      <c r="AF20" s="122">
        <f t="shared" si="16"/>
        <v>0</v>
      </c>
      <c r="AG20" s="122">
        <f t="shared" si="16"/>
        <v>0</v>
      </c>
      <c r="AH20" s="122">
        <f t="shared" si="16"/>
        <v>0</v>
      </c>
      <c r="AI20" s="122">
        <f t="shared" si="16"/>
        <v>0</v>
      </c>
      <c r="AJ20" s="122">
        <f t="shared" si="16"/>
        <v>0</v>
      </c>
      <c r="AK20" s="122">
        <f t="shared" si="16"/>
        <v>0</v>
      </c>
      <c r="AL20" s="122">
        <f t="shared" si="16"/>
        <v>0</v>
      </c>
      <c r="AM20" s="122">
        <f t="shared" si="16"/>
        <v>0</v>
      </c>
      <c r="AN20" s="122">
        <f t="shared" si="17"/>
        <v>0</v>
      </c>
      <c r="AO20" s="122">
        <f t="shared" si="17"/>
        <v>0</v>
      </c>
      <c r="AP20" s="122">
        <f t="shared" si="17"/>
        <v>0</v>
      </c>
      <c r="AQ20" s="122">
        <f t="shared" si="17"/>
        <v>0</v>
      </c>
      <c r="AR20" s="122">
        <f t="shared" si="17"/>
        <v>0</v>
      </c>
      <c r="AS20" s="122">
        <f t="shared" si="17"/>
        <v>0</v>
      </c>
      <c r="AT20" s="122">
        <f t="shared" si="17"/>
        <v>0</v>
      </c>
      <c r="AU20" s="122">
        <f t="shared" si="17"/>
        <v>0</v>
      </c>
      <c r="AV20" s="122">
        <f t="shared" si="17"/>
        <v>0</v>
      </c>
      <c r="AW20" s="122">
        <f t="shared" si="17"/>
        <v>0</v>
      </c>
      <c r="AX20" s="122">
        <f t="shared" si="17"/>
        <v>0</v>
      </c>
      <c r="AY20" s="122">
        <f t="shared" si="17"/>
        <v>0</v>
      </c>
      <c r="AZ20" s="122">
        <f t="shared" si="17"/>
        <v>0</v>
      </c>
      <c r="BA20" s="122">
        <f t="shared" si="17"/>
        <v>0</v>
      </c>
      <c r="BB20" s="122">
        <f t="shared" si="17"/>
        <v>0</v>
      </c>
      <c r="BC20" s="122">
        <f t="shared" si="17"/>
        <v>0</v>
      </c>
      <c r="BD20" s="122">
        <f t="shared" si="18"/>
        <v>0</v>
      </c>
      <c r="BE20" s="122">
        <f t="shared" si="18"/>
        <v>0</v>
      </c>
      <c r="BF20" s="122">
        <f t="shared" si="18"/>
        <v>0</v>
      </c>
      <c r="BG20" s="122">
        <f t="shared" si="18"/>
        <v>0</v>
      </c>
      <c r="BH20" s="122">
        <f t="shared" si="18"/>
        <v>0</v>
      </c>
      <c r="BI20" s="122">
        <f t="shared" si="18"/>
        <v>0</v>
      </c>
      <c r="BJ20" s="122">
        <f t="shared" si="18"/>
        <v>0</v>
      </c>
      <c r="BK20" s="122">
        <f t="shared" si="18"/>
        <v>0</v>
      </c>
      <c r="BL20" s="122">
        <f t="shared" si="18"/>
        <v>0</v>
      </c>
      <c r="BM20" s="122">
        <f t="shared" si="18"/>
        <v>0</v>
      </c>
      <c r="BN20" s="122">
        <f t="shared" si="18"/>
        <v>0</v>
      </c>
      <c r="BO20" s="122">
        <f t="shared" si="18"/>
        <v>0</v>
      </c>
      <c r="BP20" s="122">
        <f t="shared" si="18"/>
        <v>0</v>
      </c>
      <c r="BQ20" s="122">
        <f t="shared" si="18"/>
        <v>0</v>
      </c>
      <c r="BR20" s="122">
        <f t="shared" si="18"/>
        <v>0</v>
      </c>
      <c r="BS20" s="122">
        <f t="shared" si="18"/>
        <v>0</v>
      </c>
      <c r="BT20" s="122">
        <f t="shared" si="14"/>
        <v>0</v>
      </c>
      <c r="BU20" s="122">
        <f t="shared" si="14"/>
        <v>0</v>
      </c>
      <c r="BV20" s="122">
        <f t="shared" si="14"/>
        <v>0</v>
      </c>
      <c r="BW20" s="122">
        <f t="shared" si="14"/>
        <v>0</v>
      </c>
      <c r="BX20" s="122">
        <f t="shared" si="14"/>
        <v>0</v>
      </c>
      <c r="BY20" s="122">
        <f t="shared" si="14"/>
        <v>0</v>
      </c>
      <c r="BZ20" s="122">
        <f t="shared" si="14"/>
        <v>0</v>
      </c>
      <c r="CA20" s="122">
        <f t="shared" si="14"/>
        <v>0</v>
      </c>
      <c r="CB20" s="122">
        <f t="shared" si="14"/>
        <v>0</v>
      </c>
      <c r="CC20" s="122">
        <f t="shared" si="14"/>
        <v>0</v>
      </c>
      <c r="CD20" s="122">
        <f t="shared" si="14"/>
        <v>0</v>
      </c>
      <c r="CE20" s="122">
        <f t="shared" si="14"/>
        <v>0</v>
      </c>
      <c r="CF20" s="122">
        <f t="shared" si="14"/>
        <v>0</v>
      </c>
      <c r="CG20" s="122">
        <f t="shared" si="14"/>
        <v>0</v>
      </c>
      <c r="CH20" s="122">
        <f t="shared" si="14"/>
        <v>0</v>
      </c>
      <c r="CI20" s="122">
        <f t="shared" si="19"/>
        <v>0</v>
      </c>
      <c r="CJ20" s="122">
        <f t="shared" si="19"/>
        <v>0</v>
      </c>
      <c r="CK20" s="122">
        <f t="shared" si="19"/>
        <v>0</v>
      </c>
      <c r="CL20" s="122">
        <f t="shared" si="19"/>
        <v>0</v>
      </c>
      <c r="CM20" s="122">
        <f t="shared" si="19"/>
        <v>0</v>
      </c>
      <c r="CN20" s="122">
        <f t="shared" si="19"/>
        <v>0</v>
      </c>
      <c r="CO20" s="122">
        <f t="shared" si="19"/>
        <v>0</v>
      </c>
      <c r="CP20" s="122">
        <f t="shared" si="19"/>
        <v>0</v>
      </c>
      <c r="CQ20" s="122">
        <f t="shared" si="19"/>
        <v>0</v>
      </c>
      <c r="CR20" s="122">
        <f t="shared" si="19"/>
        <v>0</v>
      </c>
      <c r="CS20" s="122">
        <f t="shared" si="19"/>
        <v>0</v>
      </c>
      <c r="CT20" s="122">
        <f t="shared" si="19"/>
        <v>0</v>
      </c>
      <c r="CU20" s="122">
        <f t="shared" si="19"/>
        <v>0</v>
      </c>
      <c r="CV20" s="122">
        <f t="shared" si="19"/>
        <v>0</v>
      </c>
      <c r="CW20" s="122">
        <f t="shared" si="19"/>
        <v>0</v>
      </c>
      <c r="CX20" s="122">
        <f t="shared" si="19"/>
        <v>0</v>
      </c>
      <c r="CY20" s="122">
        <f t="shared" si="20"/>
        <v>0</v>
      </c>
      <c r="CZ20" s="122">
        <f t="shared" si="20"/>
        <v>0</v>
      </c>
      <c r="DA20" s="122">
        <f t="shared" si="20"/>
        <v>0</v>
      </c>
      <c r="DB20" s="122">
        <f t="shared" si="20"/>
        <v>0</v>
      </c>
      <c r="DC20" s="122">
        <f t="shared" si="20"/>
        <v>0</v>
      </c>
      <c r="DD20" s="122">
        <f t="shared" si="20"/>
        <v>0</v>
      </c>
      <c r="DE20" s="122">
        <f t="shared" si="20"/>
        <v>0</v>
      </c>
      <c r="DF20" s="122">
        <f t="shared" si="20"/>
        <v>0</v>
      </c>
      <c r="DG20" s="122">
        <f t="shared" si="20"/>
        <v>0</v>
      </c>
      <c r="DH20" s="122">
        <f t="shared" si="20"/>
        <v>0</v>
      </c>
      <c r="DI20" s="122">
        <f t="shared" si="20"/>
        <v>0</v>
      </c>
      <c r="DJ20" s="122">
        <f t="shared" si="20"/>
        <v>0</v>
      </c>
      <c r="DK20" s="122">
        <f t="shared" si="20"/>
        <v>0</v>
      </c>
      <c r="DL20" s="122">
        <f t="shared" si="20"/>
        <v>0</v>
      </c>
      <c r="DM20" s="122">
        <f t="shared" si="20"/>
        <v>0</v>
      </c>
      <c r="DN20" s="122">
        <f t="shared" si="20"/>
        <v>0</v>
      </c>
      <c r="DO20" s="122">
        <f t="shared" si="21"/>
        <v>0</v>
      </c>
      <c r="DP20" s="122">
        <f t="shared" si="21"/>
        <v>0</v>
      </c>
      <c r="DQ20" s="122">
        <f t="shared" si="21"/>
        <v>0</v>
      </c>
      <c r="DR20" s="122">
        <f t="shared" si="21"/>
        <v>0</v>
      </c>
      <c r="DS20" s="122">
        <f t="shared" si="21"/>
        <v>0</v>
      </c>
      <c r="DT20" s="122">
        <f t="shared" si="21"/>
        <v>0</v>
      </c>
      <c r="DU20" s="122">
        <f t="shared" si="21"/>
        <v>0</v>
      </c>
      <c r="DV20" s="122">
        <f t="shared" si="21"/>
        <v>0</v>
      </c>
      <c r="DW20" s="122">
        <f t="shared" si="21"/>
        <v>0</v>
      </c>
      <c r="DX20" s="122">
        <f t="shared" si="21"/>
        <v>0</v>
      </c>
      <c r="DY20" s="122">
        <f t="shared" si="21"/>
        <v>0</v>
      </c>
      <c r="DZ20" s="122">
        <f t="shared" si="21"/>
        <v>0</v>
      </c>
      <c r="EA20" s="122">
        <f t="shared" si="21"/>
        <v>0</v>
      </c>
      <c r="EB20" s="122">
        <f t="shared" si="21"/>
        <v>0</v>
      </c>
      <c r="EC20" s="122">
        <f t="shared" si="21"/>
        <v>0</v>
      </c>
      <c r="ED20" s="122">
        <f t="shared" si="21"/>
        <v>0</v>
      </c>
      <c r="EE20" s="122">
        <f t="shared" si="15"/>
        <v>0</v>
      </c>
      <c r="EF20" s="122">
        <f t="shared" si="15"/>
        <v>0</v>
      </c>
      <c r="EG20" s="122">
        <f t="shared" si="8"/>
        <v>0</v>
      </c>
      <c r="EH20" s="122">
        <f t="shared" si="8"/>
        <v>0</v>
      </c>
      <c r="EI20" s="122">
        <f t="shared" si="8"/>
        <v>0</v>
      </c>
    </row>
    <row r="21" spans="1:139" x14ac:dyDescent="0.35">
      <c r="A21" s="126" t="str">
        <f t="shared" si="9"/>
        <v>OK</v>
      </c>
      <c r="B21" s="14" t="s">
        <v>148</v>
      </c>
      <c r="C21" s="100">
        <f>SUM(C5:C20)</f>
        <v>1180000</v>
      </c>
      <c r="D21" s="100">
        <f>SUM(D5:D20)</f>
        <v>10727.272727272726</v>
      </c>
      <c r="E21" s="119">
        <f t="array" ref="E21">MIN(IF($C$5:$C$20&gt;0,E5:E20))</f>
        <v>2</v>
      </c>
      <c r="F21" s="119">
        <f t="array" ref="F21">MAX(IF($C$5:$C$20&gt;0,F5:F20))</f>
        <v>12</v>
      </c>
      <c r="G21" s="121">
        <f t="shared" si="10"/>
        <v>11</v>
      </c>
      <c r="H21" s="123">
        <f>SUM(H5:H20)</f>
        <v>0</v>
      </c>
      <c r="I21" s="124">
        <f t="shared" ref="I21:BT21" si="22">SUM(I5:I20)</f>
        <v>125000</v>
      </c>
      <c r="J21" s="124">
        <f t="shared" si="22"/>
        <v>175000</v>
      </c>
      <c r="K21" s="124">
        <f t="shared" si="22"/>
        <v>175000</v>
      </c>
      <c r="L21" s="124">
        <f t="shared" si="22"/>
        <v>175000</v>
      </c>
      <c r="M21" s="124">
        <f t="shared" si="22"/>
        <v>150000</v>
      </c>
      <c r="N21" s="124">
        <f t="shared" si="22"/>
        <v>150000</v>
      </c>
      <c r="O21" s="124">
        <f t="shared" si="22"/>
        <v>100000</v>
      </c>
      <c r="P21" s="124">
        <f t="shared" si="22"/>
        <v>100000</v>
      </c>
      <c r="Q21" s="124">
        <f t="shared" si="22"/>
        <v>10000</v>
      </c>
      <c r="R21" s="124">
        <f t="shared" si="22"/>
        <v>10000</v>
      </c>
      <c r="S21" s="124">
        <f t="shared" si="22"/>
        <v>10000</v>
      </c>
      <c r="T21" s="124">
        <f t="shared" si="22"/>
        <v>0</v>
      </c>
      <c r="U21" s="124">
        <f t="shared" si="22"/>
        <v>0</v>
      </c>
      <c r="V21" s="124">
        <f t="shared" si="22"/>
        <v>0</v>
      </c>
      <c r="W21" s="124">
        <f t="shared" si="22"/>
        <v>0</v>
      </c>
      <c r="X21" s="124">
        <f t="shared" si="22"/>
        <v>0</v>
      </c>
      <c r="Y21" s="124">
        <f t="shared" si="22"/>
        <v>0</v>
      </c>
      <c r="Z21" s="124">
        <f t="shared" si="22"/>
        <v>0</v>
      </c>
      <c r="AA21" s="124">
        <f t="shared" si="22"/>
        <v>0</v>
      </c>
      <c r="AB21" s="124">
        <f t="shared" si="22"/>
        <v>0</v>
      </c>
      <c r="AC21" s="124">
        <f t="shared" si="22"/>
        <v>0</v>
      </c>
      <c r="AD21" s="124">
        <f t="shared" si="22"/>
        <v>0</v>
      </c>
      <c r="AE21" s="124">
        <f t="shared" si="22"/>
        <v>0</v>
      </c>
      <c r="AF21" s="124">
        <f t="shared" si="22"/>
        <v>0</v>
      </c>
      <c r="AG21" s="124">
        <f t="shared" si="22"/>
        <v>0</v>
      </c>
      <c r="AH21" s="124">
        <f t="shared" si="22"/>
        <v>0</v>
      </c>
      <c r="AI21" s="124">
        <f t="shared" si="22"/>
        <v>0</v>
      </c>
      <c r="AJ21" s="124">
        <f t="shared" si="22"/>
        <v>0</v>
      </c>
      <c r="AK21" s="124">
        <f t="shared" si="22"/>
        <v>0</v>
      </c>
      <c r="AL21" s="124">
        <f t="shared" si="22"/>
        <v>0</v>
      </c>
      <c r="AM21" s="124">
        <f t="shared" si="22"/>
        <v>0</v>
      </c>
      <c r="AN21" s="124">
        <f t="shared" si="22"/>
        <v>0</v>
      </c>
      <c r="AO21" s="124">
        <f t="shared" si="22"/>
        <v>0</v>
      </c>
      <c r="AP21" s="124">
        <f t="shared" si="22"/>
        <v>0</v>
      </c>
      <c r="AQ21" s="124">
        <f t="shared" si="22"/>
        <v>0</v>
      </c>
      <c r="AR21" s="124">
        <f t="shared" si="22"/>
        <v>0</v>
      </c>
      <c r="AS21" s="124">
        <f t="shared" si="22"/>
        <v>0</v>
      </c>
      <c r="AT21" s="124">
        <f t="shared" si="22"/>
        <v>0</v>
      </c>
      <c r="AU21" s="124">
        <f t="shared" si="22"/>
        <v>0</v>
      </c>
      <c r="AV21" s="124">
        <f t="shared" si="22"/>
        <v>0</v>
      </c>
      <c r="AW21" s="124">
        <f t="shared" si="22"/>
        <v>0</v>
      </c>
      <c r="AX21" s="124">
        <f t="shared" si="22"/>
        <v>0</v>
      </c>
      <c r="AY21" s="124">
        <f t="shared" si="22"/>
        <v>0</v>
      </c>
      <c r="AZ21" s="124">
        <f t="shared" si="22"/>
        <v>0</v>
      </c>
      <c r="BA21" s="124">
        <f t="shared" si="22"/>
        <v>0</v>
      </c>
      <c r="BB21" s="124">
        <f t="shared" si="22"/>
        <v>0</v>
      </c>
      <c r="BC21" s="124">
        <f t="shared" si="22"/>
        <v>0</v>
      </c>
      <c r="BD21" s="124">
        <f t="shared" si="22"/>
        <v>0</v>
      </c>
      <c r="BE21" s="124">
        <f t="shared" si="22"/>
        <v>0</v>
      </c>
      <c r="BF21" s="124">
        <f t="shared" si="22"/>
        <v>0</v>
      </c>
      <c r="BG21" s="124">
        <f t="shared" si="22"/>
        <v>0</v>
      </c>
      <c r="BH21" s="124">
        <f t="shared" si="22"/>
        <v>0</v>
      </c>
      <c r="BI21" s="124">
        <f t="shared" si="22"/>
        <v>0</v>
      </c>
      <c r="BJ21" s="124">
        <f t="shared" si="22"/>
        <v>0</v>
      </c>
      <c r="BK21" s="124">
        <f t="shared" si="22"/>
        <v>0</v>
      </c>
      <c r="BL21" s="124">
        <f t="shared" si="22"/>
        <v>0</v>
      </c>
      <c r="BM21" s="124">
        <f t="shared" si="22"/>
        <v>0</v>
      </c>
      <c r="BN21" s="124">
        <f t="shared" si="22"/>
        <v>0</v>
      </c>
      <c r="BO21" s="124">
        <f t="shared" si="22"/>
        <v>0</v>
      </c>
      <c r="BP21" s="124">
        <f t="shared" si="22"/>
        <v>0</v>
      </c>
      <c r="BQ21" s="124">
        <f t="shared" si="22"/>
        <v>0</v>
      </c>
      <c r="BR21" s="124">
        <f t="shared" si="22"/>
        <v>0</v>
      </c>
      <c r="BS21" s="124">
        <f t="shared" si="22"/>
        <v>0</v>
      </c>
      <c r="BT21" s="124">
        <f t="shared" si="22"/>
        <v>0</v>
      </c>
      <c r="BU21" s="124">
        <f t="shared" ref="BU21:EF21" si="23">SUM(BU5:BU20)</f>
        <v>0</v>
      </c>
      <c r="BV21" s="124">
        <f t="shared" si="23"/>
        <v>0</v>
      </c>
      <c r="BW21" s="124">
        <f t="shared" si="23"/>
        <v>0</v>
      </c>
      <c r="BX21" s="124">
        <f t="shared" si="23"/>
        <v>0</v>
      </c>
      <c r="BY21" s="124">
        <f t="shared" si="23"/>
        <v>0</v>
      </c>
      <c r="BZ21" s="124">
        <f t="shared" si="23"/>
        <v>0</v>
      </c>
      <c r="CA21" s="124">
        <f t="shared" si="23"/>
        <v>0</v>
      </c>
      <c r="CB21" s="124">
        <f t="shared" si="23"/>
        <v>0</v>
      </c>
      <c r="CC21" s="124">
        <f t="shared" si="23"/>
        <v>0</v>
      </c>
      <c r="CD21" s="124">
        <f t="shared" si="23"/>
        <v>0</v>
      </c>
      <c r="CE21" s="124">
        <f t="shared" si="23"/>
        <v>0</v>
      </c>
      <c r="CF21" s="124">
        <f t="shared" si="23"/>
        <v>0</v>
      </c>
      <c r="CG21" s="124">
        <f t="shared" si="23"/>
        <v>0</v>
      </c>
      <c r="CH21" s="124">
        <f t="shared" si="23"/>
        <v>0</v>
      </c>
      <c r="CI21" s="124">
        <f t="shared" si="23"/>
        <v>0</v>
      </c>
      <c r="CJ21" s="124">
        <f t="shared" si="23"/>
        <v>0</v>
      </c>
      <c r="CK21" s="124">
        <f t="shared" si="23"/>
        <v>0</v>
      </c>
      <c r="CL21" s="124">
        <f t="shared" si="23"/>
        <v>0</v>
      </c>
      <c r="CM21" s="124">
        <f t="shared" si="23"/>
        <v>0</v>
      </c>
      <c r="CN21" s="124">
        <f t="shared" si="23"/>
        <v>0</v>
      </c>
      <c r="CO21" s="124">
        <f t="shared" si="23"/>
        <v>0</v>
      </c>
      <c r="CP21" s="124">
        <f t="shared" si="23"/>
        <v>0</v>
      </c>
      <c r="CQ21" s="124">
        <f t="shared" si="23"/>
        <v>0</v>
      </c>
      <c r="CR21" s="124">
        <f t="shared" si="23"/>
        <v>0</v>
      </c>
      <c r="CS21" s="124">
        <f t="shared" si="23"/>
        <v>0</v>
      </c>
      <c r="CT21" s="124">
        <f t="shared" si="23"/>
        <v>0</v>
      </c>
      <c r="CU21" s="124">
        <f t="shared" si="23"/>
        <v>0</v>
      </c>
      <c r="CV21" s="124">
        <f t="shared" si="23"/>
        <v>0</v>
      </c>
      <c r="CW21" s="124">
        <f t="shared" si="23"/>
        <v>0</v>
      </c>
      <c r="CX21" s="124">
        <f t="shared" si="23"/>
        <v>0</v>
      </c>
      <c r="CY21" s="124">
        <f t="shared" si="23"/>
        <v>0</v>
      </c>
      <c r="CZ21" s="124">
        <f t="shared" si="23"/>
        <v>0</v>
      </c>
      <c r="DA21" s="124">
        <f t="shared" si="23"/>
        <v>0</v>
      </c>
      <c r="DB21" s="124">
        <f t="shared" si="23"/>
        <v>0</v>
      </c>
      <c r="DC21" s="124">
        <f t="shared" si="23"/>
        <v>0</v>
      </c>
      <c r="DD21" s="124">
        <f t="shared" si="23"/>
        <v>0</v>
      </c>
      <c r="DE21" s="124">
        <f t="shared" si="23"/>
        <v>0</v>
      </c>
      <c r="DF21" s="124">
        <f t="shared" si="23"/>
        <v>0</v>
      </c>
      <c r="DG21" s="124">
        <f t="shared" si="23"/>
        <v>0</v>
      </c>
      <c r="DH21" s="124">
        <f t="shared" si="23"/>
        <v>0</v>
      </c>
      <c r="DI21" s="124">
        <f t="shared" si="23"/>
        <v>0</v>
      </c>
      <c r="DJ21" s="124">
        <f t="shared" si="23"/>
        <v>0</v>
      </c>
      <c r="DK21" s="124">
        <f t="shared" si="23"/>
        <v>0</v>
      </c>
      <c r="DL21" s="124">
        <f t="shared" si="23"/>
        <v>0</v>
      </c>
      <c r="DM21" s="124">
        <f t="shared" si="23"/>
        <v>0</v>
      </c>
      <c r="DN21" s="124">
        <f t="shared" si="23"/>
        <v>0</v>
      </c>
      <c r="DO21" s="124">
        <f t="shared" si="23"/>
        <v>0</v>
      </c>
      <c r="DP21" s="124">
        <f t="shared" si="23"/>
        <v>0</v>
      </c>
      <c r="DQ21" s="124">
        <f t="shared" si="23"/>
        <v>0</v>
      </c>
      <c r="DR21" s="124">
        <f t="shared" si="23"/>
        <v>0</v>
      </c>
      <c r="DS21" s="124">
        <f t="shared" si="23"/>
        <v>0</v>
      </c>
      <c r="DT21" s="124">
        <f t="shared" si="23"/>
        <v>0</v>
      </c>
      <c r="DU21" s="124">
        <f t="shared" si="23"/>
        <v>0</v>
      </c>
      <c r="DV21" s="124">
        <f t="shared" si="23"/>
        <v>0</v>
      </c>
      <c r="DW21" s="124">
        <f t="shared" si="23"/>
        <v>0</v>
      </c>
      <c r="DX21" s="124">
        <f t="shared" si="23"/>
        <v>0</v>
      </c>
      <c r="DY21" s="124">
        <f t="shared" si="23"/>
        <v>0</v>
      </c>
      <c r="DZ21" s="124">
        <f t="shared" si="23"/>
        <v>0</v>
      </c>
      <c r="EA21" s="124">
        <f t="shared" si="23"/>
        <v>0</v>
      </c>
      <c r="EB21" s="124">
        <f t="shared" si="23"/>
        <v>0</v>
      </c>
      <c r="EC21" s="124">
        <f t="shared" si="23"/>
        <v>0</v>
      </c>
      <c r="ED21" s="124">
        <f t="shared" si="23"/>
        <v>0</v>
      </c>
      <c r="EE21" s="124">
        <f t="shared" si="23"/>
        <v>0</v>
      </c>
      <c r="EF21" s="124">
        <f t="shared" si="23"/>
        <v>0</v>
      </c>
      <c r="EG21" s="124">
        <f t="shared" ref="EG21:EI21" si="24">SUM(EG5:EG20)</f>
        <v>0</v>
      </c>
      <c r="EH21" s="124">
        <f t="shared" si="24"/>
        <v>0</v>
      </c>
      <c r="EI21" s="125">
        <f t="shared" si="24"/>
        <v>0</v>
      </c>
    </row>
    <row r="22" spans="1:139" x14ac:dyDescent="0.35"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</row>
    <row r="23" spans="1:139" x14ac:dyDescent="0.35">
      <c r="B23" s="2" t="s">
        <v>150</v>
      </c>
      <c r="C23" s="38"/>
      <c r="D23" s="38"/>
      <c r="E23" s="38"/>
      <c r="F23" s="38"/>
      <c r="G23" s="3"/>
      <c r="EI23" s="1">
        <v>0</v>
      </c>
    </row>
    <row r="24" spans="1:139" x14ac:dyDescent="0.35">
      <c r="A24" s="2" t="s">
        <v>149</v>
      </c>
      <c r="B24" s="115" t="s">
        <v>112</v>
      </c>
      <c r="C24" s="95" t="s">
        <v>96</v>
      </c>
      <c r="D24" s="95" t="s">
        <v>141</v>
      </c>
      <c r="E24" s="95" t="s">
        <v>98</v>
      </c>
      <c r="F24" s="95" t="s">
        <v>99</v>
      </c>
      <c r="G24" s="96" t="s">
        <v>142</v>
      </c>
    </row>
    <row r="25" spans="1:139" x14ac:dyDescent="0.35">
      <c r="A25" s="126" t="str">
        <f>IF(ABS(SUM(H25:EI25)-C25)&lt;0.0001,"OK","ERROR")</f>
        <v>OK</v>
      </c>
      <c r="B25" s="16" t="s">
        <v>151</v>
      </c>
      <c r="C25" s="36">
        <f>D25*Revenue!$A$23</f>
        <v>220000</v>
      </c>
      <c r="D25" s="116">
        <v>2000</v>
      </c>
      <c r="E25" s="118">
        <v>2</v>
      </c>
      <c r="F25" s="118">
        <v>25</v>
      </c>
      <c r="G25" s="120">
        <f>F25-E25+1</f>
        <v>24</v>
      </c>
      <c r="H25" s="122">
        <f>IF(AND(H$1&gt;=$E25,H$1&lt;=$F25),$C25/$G25,0)</f>
        <v>0</v>
      </c>
      <c r="I25" s="122">
        <f t="shared" ref="I25:BT28" si="25">IF(AND(I$1&gt;=$E25,I$1&lt;=$F25),$C25/$G25,0)</f>
        <v>9166.6666666666661</v>
      </c>
      <c r="J25" s="122">
        <f t="shared" si="25"/>
        <v>9166.6666666666661</v>
      </c>
      <c r="K25" s="122">
        <f t="shared" si="25"/>
        <v>9166.6666666666661</v>
      </c>
      <c r="L25" s="122">
        <f t="shared" si="25"/>
        <v>9166.6666666666661</v>
      </c>
      <c r="M25" s="122">
        <f t="shared" si="25"/>
        <v>9166.6666666666661</v>
      </c>
      <c r="N25" s="122">
        <f t="shared" si="25"/>
        <v>9166.6666666666661</v>
      </c>
      <c r="O25" s="122">
        <f t="shared" si="25"/>
        <v>9166.6666666666661</v>
      </c>
      <c r="P25" s="122">
        <f t="shared" si="25"/>
        <v>9166.6666666666661</v>
      </c>
      <c r="Q25" s="122">
        <f t="shared" si="25"/>
        <v>9166.6666666666661</v>
      </c>
      <c r="R25" s="122">
        <f t="shared" si="25"/>
        <v>9166.6666666666661</v>
      </c>
      <c r="S25" s="122">
        <f t="shared" si="25"/>
        <v>9166.6666666666661</v>
      </c>
      <c r="T25" s="122">
        <f t="shared" si="25"/>
        <v>9166.6666666666661</v>
      </c>
      <c r="U25" s="122">
        <f t="shared" si="25"/>
        <v>9166.6666666666661</v>
      </c>
      <c r="V25" s="122">
        <f t="shared" si="25"/>
        <v>9166.6666666666661</v>
      </c>
      <c r="W25" s="122">
        <f t="shared" si="25"/>
        <v>9166.6666666666661</v>
      </c>
      <c r="X25" s="122">
        <f t="shared" si="25"/>
        <v>9166.6666666666661</v>
      </c>
      <c r="Y25" s="122">
        <f t="shared" si="25"/>
        <v>9166.6666666666661</v>
      </c>
      <c r="Z25" s="122">
        <f t="shared" si="25"/>
        <v>9166.6666666666661</v>
      </c>
      <c r="AA25" s="122">
        <f t="shared" si="25"/>
        <v>9166.6666666666661</v>
      </c>
      <c r="AB25" s="122">
        <f t="shared" si="25"/>
        <v>9166.6666666666661</v>
      </c>
      <c r="AC25" s="122">
        <f t="shared" si="25"/>
        <v>9166.6666666666661</v>
      </c>
      <c r="AD25" s="122">
        <f t="shared" si="25"/>
        <v>9166.6666666666661</v>
      </c>
      <c r="AE25" s="122">
        <f t="shared" si="25"/>
        <v>9166.6666666666661</v>
      </c>
      <c r="AF25" s="122">
        <f t="shared" si="25"/>
        <v>9166.6666666666661</v>
      </c>
      <c r="AG25" s="122">
        <f t="shared" si="25"/>
        <v>0</v>
      </c>
      <c r="AH25" s="122">
        <f t="shared" si="25"/>
        <v>0</v>
      </c>
      <c r="AI25" s="122">
        <f t="shared" si="25"/>
        <v>0</v>
      </c>
      <c r="AJ25" s="122">
        <f t="shared" si="25"/>
        <v>0</v>
      </c>
      <c r="AK25" s="122">
        <f t="shared" si="25"/>
        <v>0</v>
      </c>
      <c r="AL25" s="122">
        <f t="shared" si="25"/>
        <v>0</v>
      </c>
      <c r="AM25" s="122">
        <f t="shared" si="25"/>
        <v>0</v>
      </c>
      <c r="AN25" s="122">
        <f t="shared" si="25"/>
        <v>0</v>
      </c>
      <c r="AO25" s="122">
        <f t="shared" si="25"/>
        <v>0</v>
      </c>
      <c r="AP25" s="122">
        <f t="shared" si="25"/>
        <v>0</v>
      </c>
      <c r="AQ25" s="122">
        <f t="shared" si="25"/>
        <v>0</v>
      </c>
      <c r="AR25" s="122">
        <f t="shared" si="25"/>
        <v>0</v>
      </c>
      <c r="AS25" s="122">
        <f t="shared" si="25"/>
        <v>0</v>
      </c>
      <c r="AT25" s="122">
        <f t="shared" si="25"/>
        <v>0</v>
      </c>
      <c r="AU25" s="122">
        <f t="shared" si="25"/>
        <v>0</v>
      </c>
      <c r="AV25" s="122">
        <f t="shared" si="25"/>
        <v>0</v>
      </c>
      <c r="AW25" s="122">
        <f t="shared" si="25"/>
        <v>0</v>
      </c>
      <c r="AX25" s="122">
        <f t="shared" si="25"/>
        <v>0</v>
      </c>
      <c r="AY25" s="122">
        <f t="shared" si="25"/>
        <v>0</v>
      </c>
      <c r="AZ25" s="122">
        <f t="shared" si="25"/>
        <v>0</v>
      </c>
      <c r="BA25" s="122">
        <f t="shared" si="25"/>
        <v>0</v>
      </c>
      <c r="BB25" s="122">
        <f t="shared" si="25"/>
        <v>0</v>
      </c>
      <c r="BC25" s="122">
        <f t="shared" si="25"/>
        <v>0</v>
      </c>
      <c r="BD25" s="122">
        <f t="shared" si="25"/>
        <v>0</v>
      </c>
      <c r="BE25" s="122">
        <f t="shared" si="25"/>
        <v>0</v>
      </c>
      <c r="BF25" s="122">
        <f t="shared" si="25"/>
        <v>0</v>
      </c>
      <c r="BG25" s="122">
        <f t="shared" si="25"/>
        <v>0</v>
      </c>
      <c r="BH25" s="122">
        <f t="shared" si="25"/>
        <v>0</v>
      </c>
      <c r="BI25" s="122">
        <f t="shared" si="25"/>
        <v>0</v>
      </c>
      <c r="BJ25" s="122">
        <f t="shared" si="25"/>
        <v>0</v>
      </c>
      <c r="BK25" s="122">
        <f t="shared" si="25"/>
        <v>0</v>
      </c>
      <c r="BL25" s="122">
        <f t="shared" si="25"/>
        <v>0</v>
      </c>
      <c r="BM25" s="122">
        <f t="shared" si="25"/>
        <v>0</v>
      </c>
      <c r="BN25" s="122">
        <f t="shared" si="25"/>
        <v>0</v>
      </c>
      <c r="BO25" s="122">
        <f t="shared" si="25"/>
        <v>0</v>
      </c>
      <c r="BP25" s="122">
        <f t="shared" si="25"/>
        <v>0</v>
      </c>
      <c r="BQ25" s="122">
        <f t="shared" si="25"/>
        <v>0</v>
      </c>
      <c r="BR25" s="122">
        <f t="shared" si="25"/>
        <v>0</v>
      </c>
      <c r="BS25" s="122">
        <f t="shared" si="25"/>
        <v>0</v>
      </c>
      <c r="BT25" s="122">
        <f t="shared" si="25"/>
        <v>0</v>
      </c>
      <c r="BU25" s="122">
        <f t="shared" ref="BU25:EF28" si="26">IF(AND(BU$1&gt;=$E25,BU$1&lt;=$F25),$C25/$G25,0)</f>
        <v>0</v>
      </c>
      <c r="BV25" s="122">
        <f t="shared" si="26"/>
        <v>0</v>
      </c>
      <c r="BW25" s="122">
        <f t="shared" si="26"/>
        <v>0</v>
      </c>
      <c r="BX25" s="122">
        <f t="shared" si="26"/>
        <v>0</v>
      </c>
      <c r="BY25" s="122">
        <f t="shared" si="26"/>
        <v>0</v>
      </c>
      <c r="BZ25" s="122">
        <f t="shared" si="26"/>
        <v>0</v>
      </c>
      <c r="CA25" s="122">
        <f t="shared" si="26"/>
        <v>0</v>
      </c>
      <c r="CB25" s="122">
        <f t="shared" si="26"/>
        <v>0</v>
      </c>
      <c r="CC25" s="122">
        <f t="shared" si="26"/>
        <v>0</v>
      </c>
      <c r="CD25" s="122">
        <f t="shared" si="26"/>
        <v>0</v>
      </c>
      <c r="CE25" s="122">
        <f t="shared" si="26"/>
        <v>0</v>
      </c>
      <c r="CF25" s="122">
        <f t="shared" si="26"/>
        <v>0</v>
      </c>
      <c r="CG25" s="122">
        <f t="shared" si="26"/>
        <v>0</v>
      </c>
      <c r="CH25" s="122">
        <f t="shared" si="26"/>
        <v>0</v>
      </c>
      <c r="CI25" s="122">
        <f t="shared" si="26"/>
        <v>0</v>
      </c>
      <c r="CJ25" s="122">
        <f t="shared" si="26"/>
        <v>0</v>
      </c>
      <c r="CK25" s="122">
        <f t="shared" si="26"/>
        <v>0</v>
      </c>
      <c r="CL25" s="122">
        <f t="shared" si="26"/>
        <v>0</v>
      </c>
      <c r="CM25" s="122">
        <f t="shared" si="26"/>
        <v>0</v>
      </c>
      <c r="CN25" s="122">
        <f t="shared" si="26"/>
        <v>0</v>
      </c>
      <c r="CO25" s="122">
        <f t="shared" si="26"/>
        <v>0</v>
      </c>
      <c r="CP25" s="122">
        <f t="shared" si="26"/>
        <v>0</v>
      </c>
      <c r="CQ25" s="122">
        <f t="shared" si="26"/>
        <v>0</v>
      </c>
      <c r="CR25" s="122">
        <f t="shared" si="26"/>
        <v>0</v>
      </c>
      <c r="CS25" s="122">
        <f t="shared" si="26"/>
        <v>0</v>
      </c>
      <c r="CT25" s="122">
        <f t="shared" si="26"/>
        <v>0</v>
      </c>
      <c r="CU25" s="122">
        <f t="shared" si="26"/>
        <v>0</v>
      </c>
      <c r="CV25" s="122">
        <f t="shared" si="26"/>
        <v>0</v>
      </c>
      <c r="CW25" s="122">
        <f t="shared" si="26"/>
        <v>0</v>
      </c>
      <c r="CX25" s="122">
        <f t="shared" si="26"/>
        <v>0</v>
      </c>
      <c r="CY25" s="122">
        <f t="shared" si="26"/>
        <v>0</v>
      </c>
      <c r="CZ25" s="122">
        <f t="shared" si="26"/>
        <v>0</v>
      </c>
      <c r="DA25" s="122">
        <f t="shared" si="26"/>
        <v>0</v>
      </c>
      <c r="DB25" s="122">
        <f t="shared" si="26"/>
        <v>0</v>
      </c>
      <c r="DC25" s="122">
        <f t="shared" si="26"/>
        <v>0</v>
      </c>
      <c r="DD25" s="122">
        <f t="shared" si="26"/>
        <v>0</v>
      </c>
      <c r="DE25" s="122">
        <f t="shared" si="26"/>
        <v>0</v>
      </c>
      <c r="DF25" s="122">
        <f t="shared" si="26"/>
        <v>0</v>
      </c>
      <c r="DG25" s="122">
        <f t="shared" si="26"/>
        <v>0</v>
      </c>
      <c r="DH25" s="122">
        <f t="shared" si="26"/>
        <v>0</v>
      </c>
      <c r="DI25" s="122">
        <f t="shared" si="26"/>
        <v>0</v>
      </c>
      <c r="DJ25" s="122">
        <f t="shared" si="26"/>
        <v>0</v>
      </c>
      <c r="DK25" s="122">
        <f t="shared" si="26"/>
        <v>0</v>
      </c>
      <c r="DL25" s="122">
        <f t="shared" si="26"/>
        <v>0</v>
      </c>
      <c r="DM25" s="122">
        <f t="shared" si="26"/>
        <v>0</v>
      </c>
      <c r="DN25" s="122">
        <f t="shared" si="26"/>
        <v>0</v>
      </c>
      <c r="DO25" s="122">
        <f t="shared" si="26"/>
        <v>0</v>
      </c>
      <c r="DP25" s="122">
        <f t="shared" si="26"/>
        <v>0</v>
      </c>
      <c r="DQ25" s="122">
        <f t="shared" si="26"/>
        <v>0</v>
      </c>
      <c r="DR25" s="122">
        <f t="shared" si="26"/>
        <v>0</v>
      </c>
      <c r="DS25" s="122">
        <f t="shared" si="26"/>
        <v>0</v>
      </c>
      <c r="DT25" s="122">
        <f t="shared" si="26"/>
        <v>0</v>
      </c>
      <c r="DU25" s="122">
        <f t="shared" si="26"/>
        <v>0</v>
      </c>
      <c r="DV25" s="122">
        <f t="shared" si="26"/>
        <v>0</v>
      </c>
      <c r="DW25" s="122">
        <f t="shared" si="26"/>
        <v>0</v>
      </c>
      <c r="DX25" s="122">
        <f t="shared" si="26"/>
        <v>0</v>
      </c>
      <c r="DY25" s="122">
        <f t="shared" si="26"/>
        <v>0</v>
      </c>
      <c r="DZ25" s="122">
        <f t="shared" si="26"/>
        <v>0</v>
      </c>
      <c r="EA25" s="122">
        <f t="shared" si="26"/>
        <v>0</v>
      </c>
      <c r="EB25" s="122">
        <f t="shared" si="26"/>
        <v>0</v>
      </c>
      <c r="EC25" s="122">
        <f t="shared" si="26"/>
        <v>0</v>
      </c>
      <c r="ED25" s="122">
        <f t="shared" si="26"/>
        <v>0</v>
      </c>
      <c r="EE25" s="122">
        <f t="shared" si="26"/>
        <v>0</v>
      </c>
      <c r="EF25" s="122">
        <f t="shared" si="26"/>
        <v>0</v>
      </c>
      <c r="EG25" s="122">
        <f t="shared" ref="EG25:EI40" si="27">IF(AND(EG$1&gt;=$E25,EG$1&lt;=$F25),$C25/$G25,0)</f>
        <v>0</v>
      </c>
      <c r="EH25" s="122">
        <f t="shared" si="27"/>
        <v>0</v>
      </c>
      <c r="EI25" s="122">
        <f t="shared" si="27"/>
        <v>0</v>
      </c>
    </row>
    <row r="26" spans="1:139" x14ac:dyDescent="0.35">
      <c r="A26" s="126" t="str">
        <f t="shared" ref="A26:A41" si="28">IF(ABS(SUM(H26:EI26)-C26)&lt;0.0001,"OK","ERROR")</f>
        <v>OK</v>
      </c>
      <c r="B26" s="16" t="s">
        <v>152</v>
      </c>
      <c r="C26" s="36">
        <f>D26*Revenue!$A$23</f>
        <v>165000</v>
      </c>
      <c r="D26" s="116">
        <v>1500</v>
      </c>
      <c r="E26" s="118">
        <v>2</v>
      </c>
      <c r="F26" s="118">
        <v>25</v>
      </c>
      <c r="G26" s="120">
        <f t="shared" ref="G26:G41" si="29">F26-E26+1</f>
        <v>24</v>
      </c>
      <c r="H26" s="122">
        <f t="shared" ref="H26:W40" si="30">IF(AND(H$1&gt;=$E26,H$1&lt;=$F26),$C26/$G26,0)</f>
        <v>0</v>
      </c>
      <c r="I26" s="122">
        <f t="shared" si="25"/>
        <v>6875</v>
      </c>
      <c r="J26" s="122">
        <f t="shared" si="25"/>
        <v>6875</v>
      </c>
      <c r="K26" s="122">
        <f t="shared" si="25"/>
        <v>6875</v>
      </c>
      <c r="L26" s="122">
        <f t="shared" si="25"/>
        <v>6875</v>
      </c>
      <c r="M26" s="122">
        <f t="shared" si="25"/>
        <v>6875</v>
      </c>
      <c r="N26" s="122">
        <f t="shared" si="25"/>
        <v>6875</v>
      </c>
      <c r="O26" s="122">
        <f t="shared" si="25"/>
        <v>6875</v>
      </c>
      <c r="P26" s="122">
        <f t="shared" si="25"/>
        <v>6875</v>
      </c>
      <c r="Q26" s="122">
        <f t="shared" si="25"/>
        <v>6875</v>
      </c>
      <c r="R26" s="122">
        <f t="shared" si="25"/>
        <v>6875</v>
      </c>
      <c r="S26" s="122">
        <f t="shared" si="25"/>
        <v>6875</v>
      </c>
      <c r="T26" s="122">
        <f t="shared" si="25"/>
        <v>6875</v>
      </c>
      <c r="U26" s="122">
        <f t="shared" si="25"/>
        <v>6875</v>
      </c>
      <c r="V26" s="122">
        <f t="shared" si="25"/>
        <v>6875</v>
      </c>
      <c r="W26" s="122">
        <f t="shared" si="25"/>
        <v>6875</v>
      </c>
      <c r="X26" s="122">
        <f t="shared" si="25"/>
        <v>6875</v>
      </c>
      <c r="Y26" s="122">
        <f t="shared" si="25"/>
        <v>6875</v>
      </c>
      <c r="Z26" s="122">
        <f t="shared" si="25"/>
        <v>6875</v>
      </c>
      <c r="AA26" s="122">
        <f t="shared" si="25"/>
        <v>6875</v>
      </c>
      <c r="AB26" s="122">
        <f t="shared" si="25"/>
        <v>6875</v>
      </c>
      <c r="AC26" s="122">
        <f t="shared" si="25"/>
        <v>6875</v>
      </c>
      <c r="AD26" s="122">
        <f t="shared" si="25"/>
        <v>6875</v>
      </c>
      <c r="AE26" s="122">
        <f t="shared" si="25"/>
        <v>6875</v>
      </c>
      <c r="AF26" s="122">
        <f t="shared" si="25"/>
        <v>6875</v>
      </c>
      <c r="AG26" s="122">
        <f t="shared" si="25"/>
        <v>0</v>
      </c>
      <c r="AH26" s="122">
        <f t="shared" si="25"/>
        <v>0</v>
      </c>
      <c r="AI26" s="122">
        <f t="shared" si="25"/>
        <v>0</v>
      </c>
      <c r="AJ26" s="122">
        <f t="shared" si="25"/>
        <v>0</v>
      </c>
      <c r="AK26" s="122">
        <f t="shared" si="25"/>
        <v>0</v>
      </c>
      <c r="AL26" s="122">
        <f t="shared" si="25"/>
        <v>0</v>
      </c>
      <c r="AM26" s="122">
        <f t="shared" si="25"/>
        <v>0</v>
      </c>
      <c r="AN26" s="122">
        <f t="shared" si="25"/>
        <v>0</v>
      </c>
      <c r="AO26" s="122">
        <f t="shared" si="25"/>
        <v>0</v>
      </c>
      <c r="AP26" s="122">
        <f t="shared" si="25"/>
        <v>0</v>
      </c>
      <c r="AQ26" s="122">
        <f t="shared" si="25"/>
        <v>0</v>
      </c>
      <c r="AR26" s="122">
        <f t="shared" si="25"/>
        <v>0</v>
      </c>
      <c r="AS26" s="122">
        <f t="shared" si="25"/>
        <v>0</v>
      </c>
      <c r="AT26" s="122">
        <f t="shared" si="25"/>
        <v>0</v>
      </c>
      <c r="AU26" s="122">
        <f t="shared" si="25"/>
        <v>0</v>
      </c>
      <c r="AV26" s="122">
        <f t="shared" si="25"/>
        <v>0</v>
      </c>
      <c r="AW26" s="122">
        <f t="shared" si="25"/>
        <v>0</v>
      </c>
      <c r="AX26" s="122">
        <f t="shared" si="25"/>
        <v>0</v>
      </c>
      <c r="AY26" s="122">
        <f t="shared" si="25"/>
        <v>0</v>
      </c>
      <c r="AZ26" s="122">
        <f t="shared" si="25"/>
        <v>0</v>
      </c>
      <c r="BA26" s="122">
        <f t="shared" si="25"/>
        <v>0</v>
      </c>
      <c r="BB26" s="122">
        <f t="shared" si="25"/>
        <v>0</v>
      </c>
      <c r="BC26" s="122">
        <f t="shared" si="25"/>
        <v>0</v>
      </c>
      <c r="BD26" s="122">
        <f t="shared" si="25"/>
        <v>0</v>
      </c>
      <c r="BE26" s="122">
        <f t="shared" si="25"/>
        <v>0</v>
      </c>
      <c r="BF26" s="122">
        <f t="shared" si="25"/>
        <v>0</v>
      </c>
      <c r="BG26" s="122">
        <f t="shared" si="25"/>
        <v>0</v>
      </c>
      <c r="BH26" s="122">
        <f t="shared" si="25"/>
        <v>0</v>
      </c>
      <c r="BI26" s="122">
        <f t="shared" si="25"/>
        <v>0</v>
      </c>
      <c r="BJ26" s="122">
        <f t="shared" si="25"/>
        <v>0</v>
      </c>
      <c r="BK26" s="122">
        <f t="shared" si="25"/>
        <v>0</v>
      </c>
      <c r="BL26" s="122">
        <f t="shared" si="25"/>
        <v>0</v>
      </c>
      <c r="BM26" s="122">
        <f t="shared" si="25"/>
        <v>0</v>
      </c>
      <c r="BN26" s="122">
        <f t="shared" si="25"/>
        <v>0</v>
      </c>
      <c r="BO26" s="122">
        <f t="shared" si="25"/>
        <v>0</v>
      </c>
      <c r="BP26" s="122">
        <f t="shared" si="25"/>
        <v>0</v>
      </c>
      <c r="BQ26" s="122">
        <f t="shared" si="25"/>
        <v>0</v>
      </c>
      <c r="BR26" s="122">
        <f t="shared" si="25"/>
        <v>0</v>
      </c>
      <c r="BS26" s="122">
        <f t="shared" si="25"/>
        <v>0</v>
      </c>
      <c r="BT26" s="122">
        <f t="shared" si="25"/>
        <v>0</v>
      </c>
      <c r="BU26" s="122">
        <f t="shared" si="26"/>
        <v>0</v>
      </c>
      <c r="BV26" s="122">
        <f t="shared" si="26"/>
        <v>0</v>
      </c>
      <c r="BW26" s="122">
        <f t="shared" si="26"/>
        <v>0</v>
      </c>
      <c r="BX26" s="122">
        <f t="shared" si="26"/>
        <v>0</v>
      </c>
      <c r="BY26" s="122">
        <f t="shared" si="26"/>
        <v>0</v>
      </c>
      <c r="BZ26" s="122">
        <f t="shared" si="26"/>
        <v>0</v>
      </c>
      <c r="CA26" s="122">
        <f t="shared" si="26"/>
        <v>0</v>
      </c>
      <c r="CB26" s="122">
        <f t="shared" si="26"/>
        <v>0</v>
      </c>
      <c r="CC26" s="122">
        <f t="shared" si="26"/>
        <v>0</v>
      </c>
      <c r="CD26" s="122">
        <f t="shared" si="26"/>
        <v>0</v>
      </c>
      <c r="CE26" s="122">
        <f t="shared" si="26"/>
        <v>0</v>
      </c>
      <c r="CF26" s="122">
        <f t="shared" si="26"/>
        <v>0</v>
      </c>
      <c r="CG26" s="122">
        <f t="shared" si="26"/>
        <v>0</v>
      </c>
      <c r="CH26" s="122">
        <f t="shared" si="26"/>
        <v>0</v>
      </c>
      <c r="CI26" s="122">
        <f t="shared" si="26"/>
        <v>0</v>
      </c>
      <c r="CJ26" s="122">
        <f t="shared" si="26"/>
        <v>0</v>
      </c>
      <c r="CK26" s="122">
        <f t="shared" si="26"/>
        <v>0</v>
      </c>
      <c r="CL26" s="122">
        <f t="shared" si="26"/>
        <v>0</v>
      </c>
      <c r="CM26" s="122">
        <f t="shared" si="26"/>
        <v>0</v>
      </c>
      <c r="CN26" s="122">
        <f t="shared" si="26"/>
        <v>0</v>
      </c>
      <c r="CO26" s="122">
        <f t="shared" si="26"/>
        <v>0</v>
      </c>
      <c r="CP26" s="122">
        <f t="shared" si="26"/>
        <v>0</v>
      </c>
      <c r="CQ26" s="122">
        <f t="shared" si="26"/>
        <v>0</v>
      </c>
      <c r="CR26" s="122">
        <f t="shared" si="26"/>
        <v>0</v>
      </c>
      <c r="CS26" s="122">
        <f t="shared" si="26"/>
        <v>0</v>
      </c>
      <c r="CT26" s="122">
        <f t="shared" si="26"/>
        <v>0</v>
      </c>
      <c r="CU26" s="122">
        <f t="shared" si="26"/>
        <v>0</v>
      </c>
      <c r="CV26" s="122">
        <f t="shared" si="26"/>
        <v>0</v>
      </c>
      <c r="CW26" s="122">
        <f t="shared" si="26"/>
        <v>0</v>
      </c>
      <c r="CX26" s="122">
        <f t="shared" si="26"/>
        <v>0</v>
      </c>
      <c r="CY26" s="122">
        <f t="shared" si="26"/>
        <v>0</v>
      </c>
      <c r="CZ26" s="122">
        <f t="shared" si="26"/>
        <v>0</v>
      </c>
      <c r="DA26" s="122">
        <f t="shared" si="26"/>
        <v>0</v>
      </c>
      <c r="DB26" s="122">
        <f t="shared" si="26"/>
        <v>0</v>
      </c>
      <c r="DC26" s="122">
        <f t="shared" si="26"/>
        <v>0</v>
      </c>
      <c r="DD26" s="122">
        <f t="shared" si="26"/>
        <v>0</v>
      </c>
      <c r="DE26" s="122">
        <f t="shared" si="26"/>
        <v>0</v>
      </c>
      <c r="DF26" s="122">
        <f t="shared" si="26"/>
        <v>0</v>
      </c>
      <c r="DG26" s="122">
        <f t="shared" si="26"/>
        <v>0</v>
      </c>
      <c r="DH26" s="122">
        <f t="shared" si="26"/>
        <v>0</v>
      </c>
      <c r="DI26" s="122">
        <f t="shared" si="26"/>
        <v>0</v>
      </c>
      <c r="DJ26" s="122">
        <f t="shared" si="26"/>
        <v>0</v>
      </c>
      <c r="DK26" s="122">
        <f t="shared" si="26"/>
        <v>0</v>
      </c>
      <c r="DL26" s="122">
        <f t="shared" si="26"/>
        <v>0</v>
      </c>
      <c r="DM26" s="122">
        <f t="shared" si="26"/>
        <v>0</v>
      </c>
      <c r="DN26" s="122">
        <f t="shared" si="26"/>
        <v>0</v>
      </c>
      <c r="DO26" s="122">
        <f t="shared" si="26"/>
        <v>0</v>
      </c>
      <c r="DP26" s="122">
        <f t="shared" si="26"/>
        <v>0</v>
      </c>
      <c r="DQ26" s="122">
        <f t="shared" si="26"/>
        <v>0</v>
      </c>
      <c r="DR26" s="122">
        <f t="shared" si="26"/>
        <v>0</v>
      </c>
      <c r="DS26" s="122">
        <f t="shared" si="26"/>
        <v>0</v>
      </c>
      <c r="DT26" s="122">
        <f t="shared" si="26"/>
        <v>0</v>
      </c>
      <c r="DU26" s="122">
        <f t="shared" si="26"/>
        <v>0</v>
      </c>
      <c r="DV26" s="122">
        <f t="shared" si="26"/>
        <v>0</v>
      </c>
      <c r="DW26" s="122">
        <f t="shared" si="26"/>
        <v>0</v>
      </c>
      <c r="DX26" s="122">
        <f t="shared" si="26"/>
        <v>0</v>
      </c>
      <c r="DY26" s="122">
        <f t="shared" si="26"/>
        <v>0</v>
      </c>
      <c r="DZ26" s="122">
        <f t="shared" si="26"/>
        <v>0</v>
      </c>
      <c r="EA26" s="122">
        <f t="shared" si="26"/>
        <v>0</v>
      </c>
      <c r="EB26" s="122">
        <f t="shared" si="26"/>
        <v>0</v>
      </c>
      <c r="EC26" s="122">
        <f t="shared" si="26"/>
        <v>0</v>
      </c>
      <c r="ED26" s="122">
        <f t="shared" si="26"/>
        <v>0</v>
      </c>
      <c r="EE26" s="122">
        <f t="shared" si="26"/>
        <v>0</v>
      </c>
      <c r="EF26" s="122">
        <f t="shared" si="26"/>
        <v>0</v>
      </c>
      <c r="EG26" s="122">
        <f t="shared" si="27"/>
        <v>0</v>
      </c>
      <c r="EH26" s="122">
        <f t="shared" si="27"/>
        <v>0</v>
      </c>
      <c r="EI26" s="122">
        <f t="shared" si="27"/>
        <v>0</v>
      </c>
    </row>
    <row r="27" spans="1:139" x14ac:dyDescent="0.35">
      <c r="A27" s="126" t="str">
        <f t="shared" si="28"/>
        <v>OK</v>
      </c>
      <c r="B27" s="16" t="s">
        <v>153</v>
      </c>
      <c r="C27" s="36">
        <f>D27*Revenue!$A$23</f>
        <v>165000</v>
      </c>
      <c r="D27" s="116">
        <v>1500</v>
      </c>
      <c r="E27" s="118">
        <v>2</v>
      </c>
      <c r="F27" s="118">
        <v>25</v>
      </c>
      <c r="G27" s="120">
        <f t="shared" si="29"/>
        <v>24</v>
      </c>
      <c r="H27" s="122">
        <f t="shared" si="30"/>
        <v>0</v>
      </c>
      <c r="I27" s="122">
        <f t="shared" si="25"/>
        <v>6875</v>
      </c>
      <c r="J27" s="122">
        <f t="shared" si="25"/>
        <v>6875</v>
      </c>
      <c r="K27" s="122">
        <f t="shared" si="25"/>
        <v>6875</v>
      </c>
      <c r="L27" s="122">
        <f t="shared" si="25"/>
        <v>6875</v>
      </c>
      <c r="M27" s="122">
        <f t="shared" si="25"/>
        <v>6875</v>
      </c>
      <c r="N27" s="122">
        <f t="shared" si="25"/>
        <v>6875</v>
      </c>
      <c r="O27" s="122">
        <f t="shared" si="25"/>
        <v>6875</v>
      </c>
      <c r="P27" s="122">
        <f t="shared" si="25"/>
        <v>6875</v>
      </c>
      <c r="Q27" s="122">
        <f t="shared" si="25"/>
        <v>6875</v>
      </c>
      <c r="R27" s="122">
        <f t="shared" si="25"/>
        <v>6875</v>
      </c>
      <c r="S27" s="122">
        <f t="shared" si="25"/>
        <v>6875</v>
      </c>
      <c r="T27" s="122">
        <f t="shared" si="25"/>
        <v>6875</v>
      </c>
      <c r="U27" s="122">
        <f t="shared" si="25"/>
        <v>6875</v>
      </c>
      <c r="V27" s="122">
        <f t="shared" si="25"/>
        <v>6875</v>
      </c>
      <c r="W27" s="122">
        <f t="shared" si="25"/>
        <v>6875</v>
      </c>
      <c r="X27" s="122">
        <f t="shared" si="25"/>
        <v>6875</v>
      </c>
      <c r="Y27" s="122">
        <f t="shared" si="25"/>
        <v>6875</v>
      </c>
      <c r="Z27" s="122">
        <f t="shared" si="25"/>
        <v>6875</v>
      </c>
      <c r="AA27" s="122">
        <f t="shared" si="25"/>
        <v>6875</v>
      </c>
      <c r="AB27" s="122">
        <f t="shared" si="25"/>
        <v>6875</v>
      </c>
      <c r="AC27" s="122">
        <f t="shared" si="25"/>
        <v>6875</v>
      </c>
      <c r="AD27" s="122">
        <f t="shared" si="25"/>
        <v>6875</v>
      </c>
      <c r="AE27" s="122">
        <f t="shared" si="25"/>
        <v>6875</v>
      </c>
      <c r="AF27" s="122">
        <f t="shared" si="25"/>
        <v>6875</v>
      </c>
      <c r="AG27" s="122">
        <f t="shared" si="25"/>
        <v>0</v>
      </c>
      <c r="AH27" s="122">
        <f t="shared" si="25"/>
        <v>0</v>
      </c>
      <c r="AI27" s="122">
        <f t="shared" si="25"/>
        <v>0</v>
      </c>
      <c r="AJ27" s="122">
        <f t="shared" si="25"/>
        <v>0</v>
      </c>
      <c r="AK27" s="122">
        <f t="shared" si="25"/>
        <v>0</v>
      </c>
      <c r="AL27" s="122">
        <f t="shared" si="25"/>
        <v>0</v>
      </c>
      <c r="AM27" s="122">
        <f t="shared" si="25"/>
        <v>0</v>
      </c>
      <c r="AN27" s="122">
        <f t="shared" si="25"/>
        <v>0</v>
      </c>
      <c r="AO27" s="122">
        <f t="shared" si="25"/>
        <v>0</v>
      </c>
      <c r="AP27" s="122">
        <f t="shared" si="25"/>
        <v>0</v>
      </c>
      <c r="AQ27" s="122">
        <f t="shared" si="25"/>
        <v>0</v>
      </c>
      <c r="AR27" s="122">
        <f t="shared" si="25"/>
        <v>0</v>
      </c>
      <c r="AS27" s="122">
        <f t="shared" si="25"/>
        <v>0</v>
      </c>
      <c r="AT27" s="122">
        <f t="shared" si="25"/>
        <v>0</v>
      </c>
      <c r="AU27" s="122">
        <f t="shared" si="25"/>
        <v>0</v>
      </c>
      <c r="AV27" s="122">
        <f t="shared" si="25"/>
        <v>0</v>
      </c>
      <c r="AW27" s="122">
        <f t="shared" si="25"/>
        <v>0</v>
      </c>
      <c r="AX27" s="122">
        <f t="shared" si="25"/>
        <v>0</v>
      </c>
      <c r="AY27" s="122">
        <f t="shared" si="25"/>
        <v>0</v>
      </c>
      <c r="AZ27" s="122">
        <f t="shared" si="25"/>
        <v>0</v>
      </c>
      <c r="BA27" s="122">
        <f t="shared" si="25"/>
        <v>0</v>
      </c>
      <c r="BB27" s="122">
        <f t="shared" si="25"/>
        <v>0</v>
      </c>
      <c r="BC27" s="122">
        <f t="shared" si="25"/>
        <v>0</v>
      </c>
      <c r="BD27" s="122">
        <f t="shared" si="25"/>
        <v>0</v>
      </c>
      <c r="BE27" s="122">
        <f t="shared" si="25"/>
        <v>0</v>
      </c>
      <c r="BF27" s="122">
        <f t="shared" si="25"/>
        <v>0</v>
      </c>
      <c r="BG27" s="122">
        <f t="shared" si="25"/>
        <v>0</v>
      </c>
      <c r="BH27" s="122">
        <f t="shared" si="25"/>
        <v>0</v>
      </c>
      <c r="BI27" s="122">
        <f t="shared" si="25"/>
        <v>0</v>
      </c>
      <c r="BJ27" s="122">
        <f t="shared" si="25"/>
        <v>0</v>
      </c>
      <c r="BK27" s="122">
        <f t="shared" si="25"/>
        <v>0</v>
      </c>
      <c r="BL27" s="122">
        <f t="shared" si="25"/>
        <v>0</v>
      </c>
      <c r="BM27" s="122">
        <f t="shared" si="25"/>
        <v>0</v>
      </c>
      <c r="BN27" s="122">
        <f t="shared" si="25"/>
        <v>0</v>
      </c>
      <c r="BO27" s="122">
        <f t="shared" si="25"/>
        <v>0</v>
      </c>
      <c r="BP27" s="122">
        <f t="shared" si="25"/>
        <v>0</v>
      </c>
      <c r="BQ27" s="122">
        <f t="shared" si="25"/>
        <v>0</v>
      </c>
      <c r="BR27" s="122">
        <f t="shared" si="25"/>
        <v>0</v>
      </c>
      <c r="BS27" s="122">
        <f t="shared" si="25"/>
        <v>0</v>
      </c>
      <c r="BT27" s="122">
        <f t="shared" si="25"/>
        <v>0</v>
      </c>
      <c r="BU27" s="122">
        <f t="shared" si="26"/>
        <v>0</v>
      </c>
      <c r="BV27" s="122">
        <f t="shared" si="26"/>
        <v>0</v>
      </c>
      <c r="BW27" s="122">
        <f t="shared" si="26"/>
        <v>0</v>
      </c>
      <c r="BX27" s="122">
        <f t="shared" si="26"/>
        <v>0</v>
      </c>
      <c r="BY27" s="122">
        <f t="shared" si="26"/>
        <v>0</v>
      </c>
      <c r="BZ27" s="122">
        <f t="shared" si="26"/>
        <v>0</v>
      </c>
      <c r="CA27" s="122">
        <f t="shared" si="26"/>
        <v>0</v>
      </c>
      <c r="CB27" s="122">
        <f t="shared" si="26"/>
        <v>0</v>
      </c>
      <c r="CC27" s="122">
        <f t="shared" si="26"/>
        <v>0</v>
      </c>
      <c r="CD27" s="122">
        <f t="shared" si="26"/>
        <v>0</v>
      </c>
      <c r="CE27" s="122">
        <f t="shared" si="26"/>
        <v>0</v>
      </c>
      <c r="CF27" s="122">
        <f t="shared" si="26"/>
        <v>0</v>
      </c>
      <c r="CG27" s="122">
        <f t="shared" si="26"/>
        <v>0</v>
      </c>
      <c r="CH27" s="122">
        <f t="shared" si="26"/>
        <v>0</v>
      </c>
      <c r="CI27" s="122">
        <f t="shared" si="26"/>
        <v>0</v>
      </c>
      <c r="CJ27" s="122">
        <f t="shared" si="26"/>
        <v>0</v>
      </c>
      <c r="CK27" s="122">
        <f t="shared" si="26"/>
        <v>0</v>
      </c>
      <c r="CL27" s="122">
        <f t="shared" si="26"/>
        <v>0</v>
      </c>
      <c r="CM27" s="122">
        <f t="shared" si="26"/>
        <v>0</v>
      </c>
      <c r="CN27" s="122">
        <f t="shared" si="26"/>
        <v>0</v>
      </c>
      <c r="CO27" s="122">
        <f t="shared" si="26"/>
        <v>0</v>
      </c>
      <c r="CP27" s="122">
        <f t="shared" si="26"/>
        <v>0</v>
      </c>
      <c r="CQ27" s="122">
        <f t="shared" si="26"/>
        <v>0</v>
      </c>
      <c r="CR27" s="122">
        <f t="shared" si="26"/>
        <v>0</v>
      </c>
      <c r="CS27" s="122">
        <f t="shared" si="26"/>
        <v>0</v>
      </c>
      <c r="CT27" s="122">
        <f t="shared" si="26"/>
        <v>0</v>
      </c>
      <c r="CU27" s="122">
        <f t="shared" si="26"/>
        <v>0</v>
      </c>
      <c r="CV27" s="122">
        <f t="shared" si="26"/>
        <v>0</v>
      </c>
      <c r="CW27" s="122">
        <f t="shared" si="26"/>
        <v>0</v>
      </c>
      <c r="CX27" s="122">
        <f t="shared" si="26"/>
        <v>0</v>
      </c>
      <c r="CY27" s="122">
        <f t="shared" si="26"/>
        <v>0</v>
      </c>
      <c r="CZ27" s="122">
        <f t="shared" si="26"/>
        <v>0</v>
      </c>
      <c r="DA27" s="122">
        <f t="shared" si="26"/>
        <v>0</v>
      </c>
      <c r="DB27" s="122">
        <f t="shared" si="26"/>
        <v>0</v>
      </c>
      <c r="DC27" s="122">
        <f t="shared" si="26"/>
        <v>0</v>
      </c>
      <c r="DD27" s="122">
        <f t="shared" si="26"/>
        <v>0</v>
      </c>
      <c r="DE27" s="122">
        <f t="shared" si="26"/>
        <v>0</v>
      </c>
      <c r="DF27" s="122">
        <f t="shared" si="26"/>
        <v>0</v>
      </c>
      <c r="DG27" s="122">
        <f t="shared" si="26"/>
        <v>0</v>
      </c>
      <c r="DH27" s="122">
        <f t="shared" si="26"/>
        <v>0</v>
      </c>
      <c r="DI27" s="122">
        <f t="shared" si="26"/>
        <v>0</v>
      </c>
      <c r="DJ27" s="122">
        <f t="shared" si="26"/>
        <v>0</v>
      </c>
      <c r="DK27" s="122">
        <f t="shared" si="26"/>
        <v>0</v>
      </c>
      <c r="DL27" s="122">
        <f t="shared" si="26"/>
        <v>0</v>
      </c>
      <c r="DM27" s="122">
        <f t="shared" si="26"/>
        <v>0</v>
      </c>
      <c r="DN27" s="122">
        <f t="shared" si="26"/>
        <v>0</v>
      </c>
      <c r="DO27" s="122">
        <f t="shared" si="26"/>
        <v>0</v>
      </c>
      <c r="DP27" s="122">
        <f t="shared" si="26"/>
        <v>0</v>
      </c>
      <c r="DQ27" s="122">
        <f t="shared" si="26"/>
        <v>0</v>
      </c>
      <c r="DR27" s="122">
        <f t="shared" si="26"/>
        <v>0</v>
      </c>
      <c r="DS27" s="122">
        <f t="shared" si="26"/>
        <v>0</v>
      </c>
      <c r="DT27" s="122">
        <f t="shared" si="26"/>
        <v>0</v>
      </c>
      <c r="DU27" s="122">
        <f t="shared" si="26"/>
        <v>0</v>
      </c>
      <c r="DV27" s="122">
        <f t="shared" si="26"/>
        <v>0</v>
      </c>
      <c r="DW27" s="122">
        <f t="shared" si="26"/>
        <v>0</v>
      </c>
      <c r="DX27" s="122">
        <f t="shared" si="26"/>
        <v>0</v>
      </c>
      <c r="DY27" s="122">
        <f t="shared" si="26"/>
        <v>0</v>
      </c>
      <c r="DZ27" s="122">
        <f t="shared" si="26"/>
        <v>0</v>
      </c>
      <c r="EA27" s="122">
        <f t="shared" si="26"/>
        <v>0</v>
      </c>
      <c r="EB27" s="122">
        <f t="shared" si="26"/>
        <v>0</v>
      </c>
      <c r="EC27" s="122">
        <f t="shared" si="26"/>
        <v>0</v>
      </c>
      <c r="ED27" s="122">
        <f t="shared" si="26"/>
        <v>0</v>
      </c>
      <c r="EE27" s="122">
        <f t="shared" si="26"/>
        <v>0</v>
      </c>
      <c r="EF27" s="122">
        <f t="shared" si="26"/>
        <v>0</v>
      </c>
      <c r="EG27" s="122">
        <f t="shared" si="27"/>
        <v>0</v>
      </c>
      <c r="EH27" s="122">
        <f t="shared" si="27"/>
        <v>0</v>
      </c>
      <c r="EI27" s="122">
        <f t="shared" si="27"/>
        <v>0</v>
      </c>
    </row>
    <row r="28" spans="1:139" x14ac:dyDescent="0.35">
      <c r="A28" s="126" t="str">
        <f t="shared" si="28"/>
        <v>OK</v>
      </c>
      <c r="B28" s="16" t="s">
        <v>154</v>
      </c>
      <c r="C28" s="36">
        <f>D28*Revenue!$A$23</f>
        <v>55000</v>
      </c>
      <c r="D28" s="116">
        <v>500</v>
      </c>
      <c r="E28" s="118">
        <v>2</v>
      </c>
      <c r="F28" s="118">
        <v>25</v>
      </c>
      <c r="G28" s="120">
        <f t="shared" si="29"/>
        <v>24</v>
      </c>
      <c r="H28" s="122">
        <f t="shared" si="30"/>
        <v>0</v>
      </c>
      <c r="I28" s="122">
        <f t="shared" si="25"/>
        <v>2291.6666666666665</v>
      </c>
      <c r="J28" s="122">
        <f t="shared" si="25"/>
        <v>2291.6666666666665</v>
      </c>
      <c r="K28" s="122">
        <f t="shared" si="25"/>
        <v>2291.6666666666665</v>
      </c>
      <c r="L28" s="122">
        <f t="shared" si="25"/>
        <v>2291.6666666666665</v>
      </c>
      <c r="M28" s="122">
        <f t="shared" si="25"/>
        <v>2291.6666666666665</v>
      </c>
      <c r="N28" s="122">
        <f t="shared" si="25"/>
        <v>2291.6666666666665</v>
      </c>
      <c r="O28" s="122">
        <f t="shared" si="25"/>
        <v>2291.6666666666665</v>
      </c>
      <c r="P28" s="122">
        <f t="shared" si="25"/>
        <v>2291.6666666666665</v>
      </c>
      <c r="Q28" s="122">
        <f t="shared" si="25"/>
        <v>2291.6666666666665</v>
      </c>
      <c r="R28" s="122">
        <f t="shared" si="25"/>
        <v>2291.6666666666665</v>
      </c>
      <c r="S28" s="122">
        <f t="shared" si="25"/>
        <v>2291.6666666666665</v>
      </c>
      <c r="T28" s="122">
        <f t="shared" si="25"/>
        <v>2291.6666666666665</v>
      </c>
      <c r="U28" s="122">
        <f t="shared" si="25"/>
        <v>2291.6666666666665</v>
      </c>
      <c r="V28" s="122">
        <f t="shared" si="25"/>
        <v>2291.6666666666665</v>
      </c>
      <c r="W28" s="122">
        <f t="shared" si="25"/>
        <v>2291.6666666666665</v>
      </c>
      <c r="X28" s="122">
        <f t="shared" si="25"/>
        <v>2291.6666666666665</v>
      </c>
      <c r="Y28" s="122">
        <f t="shared" si="25"/>
        <v>2291.6666666666665</v>
      </c>
      <c r="Z28" s="122">
        <f t="shared" si="25"/>
        <v>2291.6666666666665</v>
      </c>
      <c r="AA28" s="122">
        <f t="shared" si="25"/>
        <v>2291.6666666666665</v>
      </c>
      <c r="AB28" s="122">
        <f t="shared" si="25"/>
        <v>2291.6666666666665</v>
      </c>
      <c r="AC28" s="122">
        <f t="shared" si="25"/>
        <v>2291.6666666666665</v>
      </c>
      <c r="AD28" s="122">
        <f t="shared" si="25"/>
        <v>2291.6666666666665</v>
      </c>
      <c r="AE28" s="122">
        <f t="shared" si="25"/>
        <v>2291.6666666666665</v>
      </c>
      <c r="AF28" s="122">
        <f t="shared" si="25"/>
        <v>2291.6666666666665</v>
      </c>
      <c r="AG28" s="122">
        <f t="shared" si="25"/>
        <v>0</v>
      </c>
      <c r="AH28" s="122">
        <f t="shared" si="25"/>
        <v>0</v>
      </c>
      <c r="AI28" s="122">
        <f t="shared" si="25"/>
        <v>0</v>
      </c>
      <c r="AJ28" s="122">
        <f t="shared" si="25"/>
        <v>0</v>
      </c>
      <c r="AK28" s="122">
        <f t="shared" si="25"/>
        <v>0</v>
      </c>
      <c r="AL28" s="122">
        <f t="shared" si="25"/>
        <v>0</v>
      </c>
      <c r="AM28" s="122">
        <f t="shared" si="25"/>
        <v>0</v>
      </c>
      <c r="AN28" s="122">
        <f t="shared" si="25"/>
        <v>0</v>
      </c>
      <c r="AO28" s="122">
        <f t="shared" si="25"/>
        <v>0</v>
      </c>
      <c r="AP28" s="122">
        <f t="shared" si="25"/>
        <v>0</v>
      </c>
      <c r="AQ28" s="122">
        <f t="shared" si="25"/>
        <v>0</v>
      </c>
      <c r="AR28" s="122">
        <f t="shared" si="25"/>
        <v>0</v>
      </c>
      <c r="AS28" s="122">
        <f t="shared" si="25"/>
        <v>0</v>
      </c>
      <c r="AT28" s="122">
        <f t="shared" si="25"/>
        <v>0</v>
      </c>
      <c r="AU28" s="122">
        <f t="shared" si="25"/>
        <v>0</v>
      </c>
      <c r="AV28" s="122">
        <f t="shared" si="25"/>
        <v>0</v>
      </c>
      <c r="AW28" s="122">
        <f t="shared" si="25"/>
        <v>0</v>
      </c>
      <c r="AX28" s="122">
        <f t="shared" si="25"/>
        <v>0</v>
      </c>
      <c r="AY28" s="122">
        <f t="shared" si="25"/>
        <v>0</v>
      </c>
      <c r="AZ28" s="122">
        <f t="shared" si="25"/>
        <v>0</v>
      </c>
      <c r="BA28" s="122">
        <f t="shared" si="25"/>
        <v>0</v>
      </c>
      <c r="BB28" s="122">
        <f t="shared" si="25"/>
        <v>0</v>
      </c>
      <c r="BC28" s="122">
        <f t="shared" si="25"/>
        <v>0</v>
      </c>
      <c r="BD28" s="122">
        <f t="shared" si="25"/>
        <v>0</v>
      </c>
      <c r="BE28" s="122">
        <f t="shared" si="25"/>
        <v>0</v>
      </c>
      <c r="BF28" s="122">
        <f t="shared" si="25"/>
        <v>0</v>
      </c>
      <c r="BG28" s="122">
        <f t="shared" si="25"/>
        <v>0</v>
      </c>
      <c r="BH28" s="122">
        <f t="shared" si="25"/>
        <v>0</v>
      </c>
      <c r="BI28" s="122">
        <f t="shared" si="25"/>
        <v>0</v>
      </c>
      <c r="BJ28" s="122">
        <f t="shared" si="25"/>
        <v>0</v>
      </c>
      <c r="BK28" s="122">
        <f t="shared" si="25"/>
        <v>0</v>
      </c>
      <c r="BL28" s="122">
        <f t="shared" si="25"/>
        <v>0</v>
      </c>
      <c r="BM28" s="122">
        <f t="shared" si="25"/>
        <v>0</v>
      </c>
      <c r="BN28" s="122">
        <f t="shared" si="25"/>
        <v>0</v>
      </c>
      <c r="BO28" s="122">
        <f t="shared" si="25"/>
        <v>0</v>
      </c>
      <c r="BP28" s="122">
        <f t="shared" si="25"/>
        <v>0</v>
      </c>
      <c r="BQ28" s="122">
        <f t="shared" si="25"/>
        <v>0</v>
      </c>
      <c r="BR28" s="122">
        <f t="shared" si="25"/>
        <v>0</v>
      </c>
      <c r="BS28" s="122">
        <f t="shared" si="25"/>
        <v>0</v>
      </c>
      <c r="BT28" s="122">
        <f t="shared" ref="BT28" si="31">IF(AND(BT$1&gt;=$E28,BT$1&lt;=$F28),$C28/$G28,0)</f>
        <v>0</v>
      </c>
      <c r="BU28" s="122">
        <f t="shared" si="26"/>
        <v>0</v>
      </c>
      <c r="BV28" s="122">
        <f t="shared" si="26"/>
        <v>0</v>
      </c>
      <c r="BW28" s="122">
        <f t="shared" si="26"/>
        <v>0</v>
      </c>
      <c r="BX28" s="122">
        <f t="shared" si="26"/>
        <v>0</v>
      </c>
      <c r="BY28" s="122">
        <f t="shared" si="26"/>
        <v>0</v>
      </c>
      <c r="BZ28" s="122">
        <f t="shared" si="26"/>
        <v>0</v>
      </c>
      <c r="CA28" s="122">
        <f t="shared" si="26"/>
        <v>0</v>
      </c>
      <c r="CB28" s="122">
        <f t="shared" si="26"/>
        <v>0</v>
      </c>
      <c r="CC28" s="122">
        <f t="shared" si="26"/>
        <v>0</v>
      </c>
      <c r="CD28" s="122">
        <f t="shared" si="26"/>
        <v>0</v>
      </c>
      <c r="CE28" s="122">
        <f t="shared" si="26"/>
        <v>0</v>
      </c>
      <c r="CF28" s="122">
        <f t="shared" si="26"/>
        <v>0</v>
      </c>
      <c r="CG28" s="122">
        <f t="shared" si="26"/>
        <v>0</v>
      </c>
      <c r="CH28" s="122">
        <f t="shared" si="26"/>
        <v>0</v>
      </c>
      <c r="CI28" s="122">
        <f t="shared" si="26"/>
        <v>0</v>
      </c>
      <c r="CJ28" s="122">
        <f t="shared" si="26"/>
        <v>0</v>
      </c>
      <c r="CK28" s="122">
        <f t="shared" si="26"/>
        <v>0</v>
      </c>
      <c r="CL28" s="122">
        <f t="shared" si="26"/>
        <v>0</v>
      </c>
      <c r="CM28" s="122">
        <f t="shared" si="26"/>
        <v>0</v>
      </c>
      <c r="CN28" s="122">
        <f t="shared" si="26"/>
        <v>0</v>
      </c>
      <c r="CO28" s="122">
        <f t="shared" si="26"/>
        <v>0</v>
      </c>
      <c r="CP28" s="122">
        <f t="shared" si="26"/>
        <v>0</v>
      </c>
      <c r="CQ28" s="122">
        <f t="shared" si="26"/>
        <v>0</v>
      </c>
      <c r="CR28" s="122">
        <f t="shared" si="26"/>
        <v>0</v>
      </c>
      <c r="CS28" s="122">
        <f t="shared" si="26"/>
        <v>0</v>
      </c>
      <c r="CT28" s="122">
        <f t="shared" si="26"/>
        <v>0</v>
      </c>
      <c r="CU28" s="122">
        <f t="shared" si="26"/>
        <v>0</v>
      </c>
      <c r="CV28" s="122">
        <f t="shared" si="26"/>
        <v>0</v>
      </c>
      <c r="CW28" s="122">
        <f t="shared" si="26"/>
        <v>0</v>
      </c>
      <c r="CX28" s="122">
        <f t="shared" si="26"/>
        <v>0</v>
      </c>
      <c r="CY28" s="122">
        <f t="shared" si="26"/>
        <v>0</v>
      </c>
      <c r="CZ28" s="122">
        <f t="shared" si="26"/>
        <v>0</v>
      </c>
      <c r="DA28" s="122">
        <f t="shared" si="26"/>
        <v>0</v>
      </c>
      <c r="DB28" s="122">
        <f t="shared" si="26"/>
        <v>0</v>
      </c>
      <c r="DC28" s="122">
        <f t="shared" si="26"/>
        <v>0</v>
      </c>
      <c r="DD28" s="122">
        <f t="shared" si="26"/>
        <v>0</v>
      </c>
      <c r="DE28" s="122">
        <f t="shared" si="26"/>
        <v>0</v>
      </c>
      <c r="DF28" s="122">
        <f t="shared" si="26"/>
        <v>0</v>
      </c>
      <c r="DG28" s="122">
        <f t="shared" si="26"/>
        <v>0</v>
      </c>
      <c r="DH28" s="122">
        <f t="shared" si="26"/>
        <v>0</v>
      </c>
      <c r="DI28" s="122">
        <f t="shared" si="26"/>
        <v>0</v>
      </c>
      <c r="DJ28" s="122">
        <f t="shared" si="26"/>
        <v>0</v>
      </c>
      <c r="DK28" s="122">
        <f t="shared" si="26"/>
        <v>0</v>
      </c>
      <c r="DL28" s="122">
        <f t="shared" si="26"/>
        <v>0</v>
      </c>
      <c r="DM28" s="122">
        <f t="shared" si="26"/>
        <v>0</v>
      </c>
      <c r="DN28" s="122">
        <f t="shared" si="26"/>
        <v>0</v>
      </c>
      <c r="DO28" s="122">
        <f t="shared" si="26"/>
        <v>0</v>
      </c>
      <c r="DP28" s="122">
        <f t="shared" si="26"/>
        <v>0</v>
      </c>
      <c r="DQ28" s="122">
        <f t="shared" si="26"/>
        <v>0</v>
      </c>
      <c r="DR28" s="122">
        <f t="shared" si="26"/>
        <v>0</v>
      </c>
      <c r="DS28" s="122">
        <f t="shared" si="26"/>
        <v>0</v>
      </c>
      <c r="DT28" s="122">
        <f t="shared" si="26"/>
        <v>0</v>
      </c>
      <c r="DU28" s="122">
        <f t="shared" si="26"/>
        <v>0</v>
      </c>
      <c r="DV28" s="122">
        <f t="shared" si="26"/>
        <v>0</v>
      </c>
      <c r="DW28" s="122">
        <f t="shared" si="26"/>
        <v>0</v>
      </c>
      <c r="DX28" s="122">
        <f t="shared" si="26"/>
        <v>0</v>
      </c>
      <c r="DY28" s="122">
        <f t="shared" si="26"/>
        <v>0</v>
      </c>
      <c r="DZ28" s="122">
        <f t="shared" si="26"/>
        <v>0</v>
      </c>
      <c r="EA28" s="122">
        <f t="shared" si="26"/>
        <v>0</v>
      </c>
      <c r="EB28" s="122">
        <f t="shared" si="26"/>
        <v>0</v>
      </c>
      <c r="EC28" s="122">
        <f t="shared" si="26"/>
        <v>0</v>
      </c>
      <c r="ED28" s="122">
        <f t="shared" si="26"/>
        <v>0</v>
      </c>
      <c r="EE28" s="122">
        <f t="shared" si="26"/>
        <v>0</v>
      </c>
      <c r="EF28" s="122">
        <f t="shared" ref="EF28" si="32">IF(AND(EF$1&gt;=$E28,EF$1&lt;=$F28),$C28/$G28,0)</f>
        <v>0</v>
      </c>
      <c r="EG28" s="122">
        <f t="shared" si="27"/>
        <v>0</v>
      </c>
      <c r="EH28" s="122">
        <f t="shared" si="27"/>
        <v>0</v>
      </c>
      <c r="EI28" s="122">
        <f t="shared" si="27"/>
        <v>0</v>
      </c>
    </row>
    <row r="29" spans="1:139" x14ac:dyDescent="0.35">
      <c r="A29" s="126" t="str">
        <f t="shared" si="28"/>
        <v>OK</v>
      </c>
      <c r="B29" s="16" t="s">
        <v>147</v>
      </c>
      <c r="C29" s="36">
        <f>D29*Revenue!$A$23</f>
        <v>0</v>
      </c>
      <c r="D29" s="116">
        <v>0</v>
      </c>
      <c r="E29" s="118">
        <v>1</v>
      </c>
      <c r="F29" s="118">
        <v>1</v>
      </c>
      <c r="G29" s="120">
        <f t="shared" si="29"/>
        <v>1</v>
      </c>
      <c r="H29" s="122">
        <f t="shared" si="30"/>
        <v>0</v>
      </c>
      <c r="I29" s="122">
        <f t="shared" si="30"/>
        <v>0</v>
      </c>
      <c r="J29" s="122">
        <f t="shared" si="30"/>
        <v>0</v>
      </c>
      <c r="K29" s="122">
        <f t="shared" si="30"/>
        <v>0</v>
      </c>
      <c r="L29" s="122">
        <f t="shared" si="30"/>
        <v>0</v>
      </c>
      <c r="M29" s="122">
        <f t="shared" si="30"/>
        <v>0</v>
      </c>
      <c r="N29" s="122">
        <f t="shared" si="30"/>
        <v>0</v>
      </c>
      <c r="O29" s="122">
        <f t="shared" si="30"/>
        <v>0</v>
      </c>
      <c r="P29" s="122">
        <f t="shared" si="30"/>
        <v>0</v>
      </c>
      <c r="Q29" s="122">
        <f t="shared" si="30"/>
        <v>0</v>
      </c>
      <c r="R29" s="122">
        <f t="shared" si="30"/>
        <v>0</v>
      </c>
      <c r="S29" s="122">
        <f t="shared" si="30"/>
        <v>0</v>
      </c>
      <c r="T29" s="122">
        <f t="shared" si="30"/>
        <v>0</v>
      </c>
      <c r="U29" s="122">
        <f t="shared" si="30"/>
        <v>0</v>
      </c>
      <c r="V29" s="122">
        <f t="shared" si="30"/>
        <v>0</v>
      </c>
      <c r="W29" s="122">
        <f t="shared" si="30"/>
        <v>0</v>
      </c>
      <c r="X29" s="122">
        <f t="shared" ref="X29:CI32" si="33">IF(AND(X$1&gt;=$E29,X$1&lt;=$F29),$C29/$G29,0)</f>
        <v>0</v>
      </c>
      <c r="Y29" s="122">
        <f t="shared" si="33"/>
        <v>0</v>
      </c>
      <c r="Z29" s="122">
        <f t="shared" si="33"/>
        <v>0</v>
      </c>
      <c r="AA29" s="122">
        <f t="shared" si="33"/>
        <v>0</v>
      </c>
      <c r="AB29" s="122">
        <f t="shared" si="33"/>
        <v>0</v>
      </c>
      <c r="AC29" s="122">
        <f t="shared" si="33"/>
        <v>0</v>
      </c>
      <c r="AD29" s="122">
        <f t="shared" si="33"/>
        <v>0</v>
      </c>
      <c r="AE29" s="122">
        <f t="shared" si="33"/>
        <v>0</v>
      </c>
      <c r="AF29" s="122">
        <f t="shared" si="33"/>
        <v>0</v>
      </c>
      <c r="AG29" s="122">
        <f t="shared" si="33"/>
        <v>0</v>
      </c>
      <c r="AH29" s="122">
        <f t="shared" si="33"/>
        <v>0</v>
      </c>
      <c r="AI29" s="122">
        <f t="shared" si="33"/>
        <v>0</v>
      </c>
      <c r="AJ29" s="122">
        <f t="shared" si="33"/>
        <v>0</v>
      </c>
      <c r="AK29" s="122">
        <f t="shared" si="33"/>
        <v>0</v>
      </c>
      <c r="AL29" s="122">
        <f t="shared" si="33"/>
        <v>0</v>
      </c>
      <c r="AM29" s="122">
        <f t="shared" si="33"/>
        <v>0</v>
      </c>
      <c r="AN29" s="122">
        <f t="shared" si="33"/>
        <v>0</v>
      </c>
      <c r="AO29" s="122">
        <f t="shared" si="33"/>
        <v>0</v>
      </c>
      <c r="AP29" s="122">
        <f t="shared" si="33"/>
        <v>0</v>
      </c>
      <c r="AQ29" s="122">
        <f t="shared" si="33"/>
        <v>0</v>
      </c>
      <c r="AR29" s="122">
        <f t="shared" si="33"/>
        <v>0</v>
      </c>
      <c r="AS29" s="122">
        <f t="shared" si="33"/>
        <v>0</v>
      </c>
      <c r="AT29" s="122">
        <f t="shared" si="33"/>
        <v>0</v>
      </c>
      <c r="AU29" s="122">
        <f t="shared" si="33"/>
        <v>0</v>
      </c>
      <c r="AV29" s="122">
        <f t="shared" si="33"/>
        <v>0</v>
      </c>
      <c r="AW29" s="122">
        <f t="shared" si="33"/>
        <v>0</v>
      </c>
      <c r="AX29" s="122">
        <f t="shared" si="33"/>
        <v>0</v>
      </c>
      <c r="AY29" s="122">
        <f t="shared" si="33"/>
        <v>0</v>
      </c>
      <c r="AZ29" s="122">
        <f t="shared" si="33"/>
        <v>0</v>
      </c>
      <c r="BA29" s="122">
        <f t="shared" si="33"/>
        <v>0</v>
      </c>
      <c r="BB29" s="122">
        <f t="shared" si="33"/>
        <v>0</v>
      </c>
      <c r="BC29" s="122">
        <f t="shared" si="33"/>
        <v>0</v>
      </c>
      <c r="BD29" s="122">
        <f t="shared" si="33"/>
        <v>0</v>
      </c>
      <c r="BE29" s="122">
        <f t="shared" si="33"/>
        <v>0</v>
      </c>
      <c r="BF29" s="122">
        <f t="shared" si="33"/>
        <v>0</v>
      </c>
      <c r="BG29" s="122">
        <f t="shared" si="33"/>
        <v>0</v>
      </c>
      <c r="BH29" s="122">
        <f t="shared" si="33"/>
        <v>0</v>
      </c>
      <c r="BI29" s="122">
        <f t="shared" si="33"/>
        <v>0</v>
      </c>
      <c r="BJ29" s="122">
        <f t="shared" si="33"/>
        <v>0</v>
      </c>
      <c r="BK29" s="122">
        <f t="shared" si="33"/>
        <v>0</v>
      </c>
      <c r="BL29" s="122">
        <f t="shared" si="33"/>
        <v>0</v>
      </c>
      <c r="BM29" s="122">
        <f t="shared" si="33"/>
        <v>0</v>
      </c>
      <c r="BN29" s="122">
        <f t="shared" si="33"/>
        <v>0</v>
      </c>
      <c r="BO29" s="122">
        <f t="shared" si="33"/>
        <v>0</v>
      </c>
      <c r="BP29" s="122">
        <f t="shared" si="33"/>
        <v>0</v>
      </c>
      <c r="BQ29" s="122">
        <f t="shared" si="33"/>
        <v>0</v>
      </c>
      <c r="BR29" s="122">
        <f t="shared" si="33"/>
        <v>0</v>
      </c>
      <c r="BS29" s="122">
        <f t="shared" si="33"/>
        <v>0</v>
      </c>
      <c r="BT29" s="122">
        <f t="shared" si="33"/>
        <v>0</v>
      </c>
      <c r="BU29" s="122">
        <f t="shared" si="33"/>
        <v>0</v>
      </c>
      <c r="BV29" s="122">
        <f t="shared" si="33"/>
        <v>0</v>
      </c>
      <c r="BW29" s="122">
        <f t="shared" si="33"/>
        <v>0</v>
      </c>
      <c r="BX29" s="122">
        <f t="shared" si="33"/>
        <v>0</v>
      </c>
      <c r="BY29" s="122">
        <f t="shared" si="33"/>
        <v>0</v>
      </c>
      <c r="BZ29" s="122">
        <f t="shared" si="33"/>
        <v>0</v>
      </c>
      <c r="CA29" s="122">
        <f t="shared" si="33"/>
        <v>0</v>
      </c>
      <c r="CB29" s="122">
        <f t="shared" si="33"/>
        <v>0</v>
      </c>
      <c r="CC29" s="122">
        <f t="shared" si="33"/>
        <v>0</v>
      </c>
      <c r="CD29" s="122">
        <f t="shared" si="33"/>
        <v>0</v>
      </c>
      <c r="CE29" s="122">
        <f t="shared" si="33"/>
        <v>0</v>
      </c>
      <c r="CF29" s="122">
        <f t="shared" si="33"/>
        <v>0</v>
      </c>
      <c r="CG29" s="122">
        <f t="shared" si="33"/>
        <v>0</v>
      </c>
      <c r="CH29" s="122">
        <f t="shared" si="33"/>
        <v>0</v>
      </c>
      <c r="CI29" s="122">
        <f t="shared" si="33"/>
        <v>0</v>
      </c>
      <c r="CJ29" s="122">
        <f t="shared" ref="CJ29:EF40" si="34">IF(AND(CJ$1&gt;=$E29,CJ$1&lt;=$F29),$C29/$G29,0)</f>
        <v>0</v>
      </c>
      <c r="CK29" s="122">
        <f t="shared" si="34"/>
        <v>0</v>
      </c>
      <c r="CL29" s="122">
        <f t="shared" si="34"/>
        <v>0</v>
      </c>
      <c r="CM29" s="122">
        <f t="shared" si="34"/>
        <v>0</v>
      </c>
      <c r="CN29" s="122">
        <f t="shared" si="34"/>
        <v>0</v>
      </c>
      <c r="CO29" s="122">
        <f t="shared" si="34"/>
        <v>0</v>
      </c>
      <c r="CP29" s="122">
        <f t="shared" si="34"/>
        <v>0</v>
      </c>
      <c r="CQ29" s="122">
        <f t="shared" si="34"/>
        <v>0</v>
      </c>
      <c r="CR29" s="122">
        <f t="shared" si="34"/>
        <v>0</v>
      </c>
      <c r="CS29" s="122">
        <f t="shared" si="34"/>
        <v>0</v>
      </c>
      <c r="CT29" s="122">
        <f t="shared" si="34"/>
        <v>0</v>
      </c>
      <c r="CU29" s="122">
        <f t="shared" si="34"/>
        <v>0</v>
      </c>
      <c r="CV29" s="122">
        <f t="shared" si="34"/>
        <v>0</v>
      </c>
      <c r="CW29" s="122">
        <f t="shared" si="34"/>
        <v>0</v>
      </c>
      <c r="CX29" s="122">
        <f t="shared" si="34"/>
        <v>0</v>
      </c>
      <c r="CY29" s="122">
        <f t="shared" si="34"/>
        <v>0</v>
      </c>
      <c r="CZ29" s="122">
        <f t="shared" si="34"/>
        <v>0</v>
      </c>
      <c r="DA29" s="122">
        <f t="shared" si="34"/>
        <v>0</v>
      </c>
      <c r="DB29" s="122">
        <f t="shared" si="34"/>
        <v>0</v>
      </c>
      <c r="DC29" s="122">
        <f t="shared" si="34"/>
        <v>0</v>
      </c>
      <c r="DD29" s="122">
        <f t="shared" si="34"/>
        <v>0</v>
      </c>
      <c r="DE29" s="122">
        <f t="shared" si="34"/>
        <v>0</v>
      </c>
      <c r="DF29" s="122">
        <f t="shared" si="34"/>
        <v>0</v>
      </c>
      <c r="DG29" s="122">
        <f t="shared" si="34"/>
        <v>0</v>
      </c>
      <c r="DH29" s="122">
        <f t="shared" si="34"/>
        <v>0</v>
      </c>
      <c r="DI29" s="122">
        <f t="shared" si="34"/>
        <v>0</v>
      </c>
      <c r="DJ29" s="122">
        <f t="shared" si="34"/>
        <v>0</v>
      </c>
      <c r="DK29" s="122">
        <f t="shared" si="34"/>
        <v>0</v>
      </c>
      <c r="DL29" s="122">
        <f t="shared" si="34"/>
        <v>0</v>
      </c>
      <c r="DM29" s="122">
        <f t="shared" si="34"/>
        <v>0</v>
      </c>
      <c r="DN29" s="122">
        <f t="shared" si="34"/>
        <v>0</v>
      </c>
      <c r="DO29" s="122">
        <f t="shared" si="34"/>
        <v>0</v>
      </c>
      <c r="DP29" s="122">
        <f t="shared" si="34"/>
        <v>0</v>
      </c>
      <c r="DQ29" s="122">
        <f t="shared" si="34"/>
        <v>0</v>
      </c>
      <c r="DR29" s="122">
        <f t="shared" si="34"/>
        <v>0</v>
      </c>
      <c r="DS29" s="122">
        <f t="shared" si="34"/>
        <v>0</v>
      </c>
      <c r="DT29" s="122">
        <f t="shared" si="34"/>
        <v>0</v>
      </c>
      <c r="DU29" s="122">
        <f t="shared" si="34"/>
        <v>0</v>
      </c>
      <c r="DV29" s="122">
        <f t="shared" si="34"/>
        <v>0</v>
      </c>
      <c r="DW29" s="122">
        <f t="shared" si="34"/>
        <v>0</v>
      </c>
      <c r="DX29" s="122">
        <f t="shared" si="34"/>
        <v>0</v>
      </c>
      <c r="DY29" s="122">
        <f t="shared" si="34"/>
        <v>0</v>
      </c>
      <c r="DZ29" s="122">
        <f t="shared" si="34"/>
        <v>0</v>
      </c>
      <c r="EA29" s="122">
        <f t="shared" si="34"/>
        <v>0</v>
      </c>
      <c r="EB29" s="122">
        <f t="shared" si="34"/>
        <v>0</v>
      </c>
      <c r="EC29" s="122">
        <f t="shared" si="34"/>
        <v>0</v>
      </c>
      <c r="ED29" s="122">
        <f t="shared" si="34"/>
        <v>0</v>
      </c>
      <c r="EE29" s="122">
        <f t="shared" si="34"/>
        <v>0</v>
      </c>
      <c r="EF29" s="122">
        <f t="shared" si="34"/>
        <v>0</v>
      </c>
      <c r="EG29" s="122">
        <f t="shared" si="27"/>
        <v>0</v>
      </c>
      <c r="EH29" s="122">
        <f t="shared" si="27"/>
        <v>0</v>
      </c>
      <c r="EI29" s="122">
        <f t="shared" si="27"/>
        <v>0</v>
      </c>
    </row>
    <row r="30" spans="1:139" x14ac:dyDescent="0.35">
      <c r="A30" s="126" t="str">
        <f t="shared" si="28"/>
        <v>OK</v>
      </c>
      <c r="B30" s="16" t="s">
        <v>147</v>
      </c>
      <c r="C30" s="36">
        <f>D30*Revenue!$A$23</f>
        <v>0</v>
      </c>
      <c r="D30" s="116">
        <v>0</v>
      </c>
      <c r="E30" s="118">
        <v>1</v>
      </c>
      <c r="F30" s="118">
        <v>1</v>
      </c>
      <c r="G30" s="120">
        <f t="shared" si="29"/>
        <v>1</v>
      </c>
      <c r="H30" s="122">
        <f t="shared" si="30"/>
        <v>0</v>
      </c>
      <c r="I30" s="122">
        <f t="shared" si="30"/>
        <v>0</v>
      </c>
      <c r="J30" s="122">
        <f t="shared" si="30"/>
        <v>0</v>
      </c>
      <c r="K30" s="122">
        <f t="shared" si="30"/>
        <v>0</v>
      </c>
      <c r="L30" s="122">
        <f t="shared" si="30"/>
        <v>0</v>
      </c>
      <c r="M30" s="122">
        <f t="shared" si="30"/>
        <v>0</v>
      </c>
      <c r="N30" s="122">
        <f t="shared" si="30"/>
        <v>0</v>
      </c>
      <c r="O30" s="122">
        <f t="shared" si="30"/>
        <v>0</v>
      </c>
      <c r="P30" s="122">
        <f t="shared" si="30"/>
        <v>0</v>
      </c>
      <c r="Q30" s="122">
        <f t="shared" si="30"/>
        <v>0</v>
      </c>
      <c r="R30" s="122">
        <f t="shared" si="30"/>
        <v>0</v>
      </c>
      <c r="S30" s="122">
        <f t="shared" si="30"/>
        <v>0</v>
      </c>
      <c r="T30" s="122">
        <f t="shared" si="30"/>
        <v>0</v>
      </c>
      <c r="U30" s="122">
        <f t="shared" si="30"/>
        <v>0</v>
      </c>
      <c r="V30" s="122">
        <f t="shared" si="30"/>
        <v>0</v>
      </c>
      <c r="W30" s="122">
        <f t="shared" si="30"/>
        <v>0</v>
      </c>
      <c r="X30" s="122">
        <f t="shared" si="33"/>
        <v>0</v>
      </c>
      <c r="Y30" s="122">
        <f t="shared" si="33"/>
        <v>0</v>
      </c>
      <c r="Z30" s="122">
        <f t="shared" si="33"/>
        <v>0</v>
      </c>
      <c r="AA30" s="122">
        <f t="shared" si="33"/>
        <v>0</v>
      </c>
      <c r="AB30" s="122">
        <f t="shared" si="33"/>
        <v>0</v>
      </c>
      <c r="AC30" s="122">
        <f t="shared" si="33"/>
        <v>0</v>
      </c>
      <c r="AD30" s="122">
        <f t="shared" si="33"/>
        <v>0</v>
      </c>
      <c r="AE30" s="122">
        <f t="shared" si="33"/>
        <v>0</v>
      </c>
      <c r="AF30" s="122">
        <f t="shared" si="33"/>
        <v>0</v>
      </c>
      <c r="AG30" s="122">
        <f t="shared" si="33"/>
        <v>0</v>
      </c>
      <c r="AH30" s="122">
        <f t="shared" si="33"/>
        <v>0</v>
      </c>
      <c r="AI30" s="122">
        <f t="shared" si="33"/>
        <v>0</v>
      </c>
      <c r="AJ30" s="122">
        <f t="shared" si="33"/>
        <v>0</v>
      </c>
      <c r="AK30" s="122">
        <f t="shared" si="33"/>
        <v>0</v>
      </c>
      <c r="AL30" s="122">
        <f t="shared" si="33"/>
        <v>0</v>
      </c>
      <c r="AM30" s="122">
        <f t="shared" si="33"/>
        <v>0</v>
      </c>
      <c r="AN30" s="122">
        <f t="shared" si="33"/>
        <v>0</v>
      </c>
      <c r="AO30" s="122">
        <f t="shared" si="33"/>
        <v>0</v>
      </c>
      <c r="AP30" s="122">
        <f t="shared" si="33"/>
        <v>0</v>
      </c>
      <c r="AQ30" s="122">
        <f t="shared" si="33"/>
        <v>0</v>
      </c>
      <c r="AR30" s="122">
        <f t="shared" si="33"/>
        <v>0</v>
      </c>
      <c r="AS30" s="122">
        <f t="shared" si="33"/>
        <v>0</v>
      </c>
      <c r="AT30" s="122">
        <f t="shared" si="33"/>
        <v>0</v>
      </c>
      <c r="AU30" s="122">
        <f t="shared" si="33"/>
        <v>0</v>
      </c>
      <c r="AV30" s="122">
        <f t="shared" si="33"/>
        <v>0</v>
      </c>
      <c r="AW30" s="122">
        <f t="shared" si="33"/>
        <v>0</v>
      </c>
      <c r="AX30" s="122">
        <f t="shared" si="33"/>
        <v>0</v>
      </c>
      <c r="AY30" s="122">
        <f t="shared" si="33"/>
        <v>0</v>
      </c>
      <c r="AZ30" s="122">
        <f t="shared" si="33"/>
        <v>0</v>
      </c>
      <c r="BA30" s="122">
        <f t="shared" si="33"/>
        <v>0</v>
      </c>
      <c r="BB30" s="122">
        <f t="shared" si="33"/>
        <v>0</v>
      </c>
      <c r="BC30" s="122">
        <f t="shared" si="33"/>
        <v>0</v>
      </c>
      <c r="BD30" s="122">
        <f t="shared" si="33"/>
        <v>0</v>
      </c>
      <c r="BE30" s="122">
        <f t="shared" si="33"/>
        <v>0</v>
      </c>
      <c r="BF30" s="122">
        <f t="shared" si="33"/>
        <v>0</v>
      </c>
      <c r="BG30" s="122">
        <f t="shared" si="33"/>
        <v>0</v>
      </c>
      <c r="BH30" s="122">
        <f t="shared" si="33"/>
        <v>0</v>
      </c>
      <c r="BI30" s="122">
        <f t="shared" si="33"/>
        <v>0</v>
      </c>
      <c r="BJ30" s="122">
        <f t="shared" si="33"/>
        <v>0</v>
      </c>
      <c r="BK30" s="122">
        <f t="shared" si="33"/>
        <v>0</v>
      </c>
      <c r="BL30" s="122">
        <f t="shared" si="33"/>
        <v>0</v>
      </c>
      <c r="BM30" s="122">
        <f t="shared" si="33"/>
        <v>0</v>
      </c>
      <c r="BN30" s="122">
        <f t="shared" si="33"/>
        <v>0</v>
      </c>
      <c r="BO30" s="122">
        <f t="shared" si="33"/>
        <v>0</v>
      </c>
      <c r="BP30" s="122">
        <f t="shared" si="33"/>
        <v>0</v>
      </c>
      <c r="BQ30" s="122">
        <f t="shared" si="33"/>
        <v>0</v>
      </c>
      <c r="BR30" s="122">
        <f t="shared" si="33"/>
        <v>0</v>
      </c>
      <c r="BS30" s="122">
        <f t="shared" si="33"/>
        <v>0</v>
      </c>
      <c r="BT30" s="122">
        <f t="shared" si="33"/>
        <v>0</v>
      </c>
      <c r="BU30" s="122">
        <f t="shared" si="33"/>
        <v>0</v>
      </c>
      <c r="BV30" s="122">
        <f t="shared" si="33"/>
        <v>0</v>
      </c>
      <c r="BW30" s="122">
        <f t="shared" si="33"/>
        <v>0</v>
      </c>
      <c r="BX30" s="122">
        <f t="shared" si="33"/>
        <v>0</v>
      </c>
      <c r="BY30" s="122">
        <f t="shared" si="33"/>
        <v>0</v>
      </c>
      <c r="BZ30" s="122">
        <f t="shared" si="33"/>
        <v>0</v>
      </c>
      <c r="CA30" s="122">
        <f t="shared" si="33"/>
        <v>0</v>
      </c>
      <c r="CB30" s="122">
        <f t="shared" si="33"/>
        <v>0</v>
      </c>
      <c r="CC30" s="122">
        <f t="shared" si="33"/>
        <v>0</v>
      </c>
      <c r="CD30" s="122">
        <f t="shared" si="33"/>
        <v>0</v>
      </c>
      <c r="CE30" s="122">
        <f t="shared" si="33"/>
        <v>0</v>
      </c>
      <c r="CF30" s="122">
        <f t="shared" si="33"/>
        <v>0</v>
      </c>
      <c r="CG30" s="122">
        <f t="shared" si="33"/>
        <v>0</v>
      </c>
      <c r="CH30" s="122">
        <f t="shared" si="33"/>
        <v>0</v>
      </c>
      <c r="CI30" s="122">
        <f t="shared" si="33"/>
        <v>0</v>
      </c>
      <c r="CJ30" s="122">
        <f t="shared" si="34"/>
        <v>0</v>
      </c>
      <c r="CK30" s="122">
        <f t="shared" si="34"/>
        <v>0</v>
      </c>
      <c r="CL30" s="122">
        <f t="shared" si="34"/>
        <v>0</v>
      </c>
      <c r="CM30" s="122">
        <f t="shared" si="34"/>
        <v>0</v>
      </c>
      <c r="CN30" s="122">
        <f t="shared" si="34"/>
        <v>0</v>
      </c>
      <c r="CO30" s="122">
        <f t="shared" si="34"/>
        <v>0</v>
      </c>
      <c r="CP30" s="122">
        <f t="shared" si="34"/>
        <v>0</v>
      </c>
      <c r="CQ30" s="122">
        <f t="shared" si="34"/>
        <v>0</v>
      </c>
      <c r="CR30" s="122">
        <f t="shared" si="34"/>
        <v>0</v>
      </c>
      <c r="CS30" s="122">
        <f t="shared" si="34"/>
        <v>0</v>
      </c>
      <c r="CT30" s="122">
        <f t="shared" si="34"/>
        <v>0</v>
      </c>
      <c r="CU30" s="122">
        <f t="shared" si="34"/>
        <v>0</v>
      </c>
      <c r="CV30" s="122">
        <f t="shared" si="34"/>
        <v>0</v>
      </c>
      <c r="CW30" s="122">
        <f t="shared" si="34"/>
        <v>0</v>
      </c>
      <c r="CX30" s="122">
        <f t="shared" si="34"/>
        <v>0</v>
      </c>
      <c r="CY30" s="122">
        <f t="shared" si="34"/>
        <v>0</v>
      </c>
      <c r="CZ30" s="122">
        <f t="shared" si="34"/>
        <v>0</v>
      </c>
      <c r="DA30" s="122">
        <f t="shared" si="34"/>
        <v>0</v>
      </c>
      <c r="DB30" s="122">
        <f t="shared" si="34"/>
        <v>0</v>
      </c>
      <c r="DC30" s="122">
        <f t="shared" si="34"/>
        <v>0</v>
      </c>
      <c r="DD30" s="122">
        <f t="shared" si="34"/>
        <v>0</v>
      </c>
      <c r="DE30" s="122">
        <f t="shared" si="34"/>
        <v>0</v>
      </c>
      <c r="DF30" s="122">
        <f t="shared" si="34"/>
        <v>0</v>
      </c>
      <c r="DG30" s="122">
        <f t="shared" si="34"/>
        <v>0</v>
      </c>
      <c r="DH30" s="122">
        <f t="shared" si="34"/>
        <v>0</v>
      </c>
      <c r="DI30" s="122">
        <f t="shared" si="34"/>
        <v>0</v>
      </c>
      <c r="DJ30" s="122">
        <f t="shared" si="34"/>
        <v>0</v>
      </c>
      <c r="DK30" s="122">
        <f t="shared" si="34"/>
        <v>0</v>
      </c>
      <c r="DL30" s="122">
        <f t="shared" si="34"/>
        <v>0</v>
      </c>
      <c r="DM30" s="122">
        <f t="shared" si="34"/>
        <v>0</v>
      </c>
      <c r="DN30" s="122">
        <f t="shared" si="34"/>
        <v>0</v>
      </c>
      <c r="DO30" s="122">
        <f t="shared" si="34"/>
        <v>0</v>
      </c>
      <c r="DP30" s="122">
        <f t="shared" si="34"/>
        <v>0</v>
      </c>
      <c r="DQ30" s="122">
        <f t="shared" si="34"/>
        <v>0</v>
      </c>
      <c r="DR30" s="122">
        <f t="shared" si="34"/>
        <v>0</v>
      </c>
      <c r="DS30" s="122">
        <f t="shared" si="34"/>
        <v>0</v>
      </c>
      <c r="DT30" s="122">
        <f t="shared" si="34"/>
        <v>0</v>
      </c>
      <c r="DU30" s="122">
        <f t="shared" si="34"/>
        <v>0</v>
      </c>
      <c r="DV30" s="122">
        <f t="shared" si="34"/>
        <v>0</v>
      </c>
      <c r="DW30" s="122">
        <f t="shared" si="34"/>
        <v>0</v>
      </c>
      <c r="DX30" s="122">
        <f t="shared" si="34"/>
        <v>0</v>
      </c>
      <c r="DY30" s="122">
        <f t="shared" si="34"/>
        <v>0</v>
      </c>
      <c r="DZ30" s="122">
        <f t="shared" si="34"/>
        <v>0</v>
      </c>
      <c r="EA30" s="122">
        <f t="shared" si="34"/>
        <v>0</v>
      </c>
      <c r="EB30" s="122">
        <f t="shared" si="34"/>
        <v>0</v>
      </c>
      <c r="EC30" s="122">
        <f t="shared" si="34"/>
        <v>0</v>
      </c>
      <c r="ED30" s="122">
        <f t="shared" si="34"/>
        <v>0</v>
      </c>
      <c r="EE30" s="122">
        <f t="shared" si="34"/>
        <v>0</v>
      </c>
      <c r="EF30" s="122">
        <f t="shared" si="34"/>
        <v>0</v>
      </c>
      <c r="EG30" s="122">
        <f t="shared" si="27"/>
        <v>0</v>
      </c>
      <c r="EH30" s="122">
        <f t="shared" si="27"/>
        <v>0</v>
      </c>
      <c r="EI30" s="122">
        <f t="shared" si="27"/>
        <v>0</v>
      </c>
    </row>
    <row r="31" spans="1:139" x14ac:dyDescent="0.35">
      <c r="A31" s="126" t="str">
        <f t="shared" si="28"/>
        <v>OK</v>
      </c>
      <c r="B31" s="16" t="s">
        <v>147</v>
      </c>
      <c r="C31" s="36">
        <f>D31*Revenue!$A$23</f>
        <v>0</v>
      </c>
      <c r="D31" s="116">
        <v>0</v>
      </c>
      <c r="E31" s="118">
        <v>1</v>
      </c>
      <c r="F31" s="118">
        <v>1</v>
      </c>
      <c r="G31" s="120">
        <f t="shared" si="29"/>
        <v>1</v>
      </c>
      <c r="H31" s="122">
        <f t="shared" si="30"/>
        <v>0</v>
      </c>
      <c r="I31" s="122">
        <f t="shared" si="30"/>
        <v>0</v>
      </c>
      <c r="J31" s="122">
        <f t="shared" si="30"/>
        <v>0</v>
      </c>
      <c r="K31" s="122">
        <f t="shared" si="30"/>
        <v>0</v>
      </c>
      <c r="L31" s="122">
        <f t="shared" si="30"/>
        <v>0</v>
      </c>
      <c r="M31" s="122">
        <f t="shared" si="30"/>
        <v>0</v>
      </c>
      <c r="N31" s="122">
        <f t="shared" si="30"/>
        <v>0</v>
      </c>
      <c r="O31" s="122">
        <f t="shared" si="30"/>
        <v>0</v>
      </c>
      <c r="P31" s="122">
        <f t="shared" si="30"/>
        <v>0</v>
      </c>
      <c r="Q31" s="122">
        <f t="shared" si="30"/>
        <v>0</v>
      </c>
      <c r="R31" s="122">
        <f t="shared" si="30"/>
        <v>0</v>
      </c>
      <c r="S31" s="122">
        <f t="shared" si="30"/>
        <v>0</v>
      </c>
      <c r="T31" s="122">
        <f t="shared" si="30"/>
        <v>0</v>
      </c>
      <c r="U31" s="122">
        <f t="shared" si="30"/>
        <v>0</v>
      </c>
      <c r="V31" s="122">
        <f t="shared" si="30"/>
        <v>0</v>
      </c>
      <c r="W31" s="122">
        <f t="shared" si="30"/>
        <v>0</v>
      </c>
      <c r="X31" s="122">
        <f t="shared" si="33"/>
        <v>0</v>
      </c>
      <c r="Y31" s="122">
        <f t="shared" si="33"/>
        <v>0</v>
      </c>
      <c r="Z31" s="122">
        <f t="shared" si="33"/>
        <v>0</v>
      </c>
      <c r="AA31" s="122">
        <f t="shared" si="33"/>
        <v>0</v>
      </c>
      <c r="AB31" s="122">
        <f t="shared" si="33"/>
        <v>0</v>
      </c>
      <c r="AC31" s="122">
        <f t="shared" si="33"/>
        <v>0</v>
      </c>
      <c r="AD31" s="122">
        <f t="shared" si="33"/>
        <v>0</v>
      </c>
      <c r="AE31" s="122">
        <f t="shared" si="33"/>
        <v>0</v>
      </c>
      <c r="AF31" s="122">
        <f t="shared" si="33"/>
        <v>0</v>
      </c>
      <c r="AG31" s="122">
        <f t="shared" si="33"/>
        <v>0</v>
      </c>
      <c r="AH31" s="122">
        <f t="shared" si="33"/>
        <v>0</v>
      </c>
      <c r="AI31" s="122">
        <f t="shared" si="33"/>
        <v>0</v>
      </c>
      <c r="AJ31" s="122">
        <f t="shared" si="33"/>
        <v>0</v>
      </c>
      <c r="AK31" s="122">
        <f t="shared" si="33"/>
        <v>0</v>
      </c>
      <c r="AL31" s="122">
        <f t="shared" si="33"/>
        <v>0</v>
      </c>
      <c r="AM31" s="122">
        <f t="shared" si="33"/>
        <v>0</v>
      </c>
      <c r="AN31" s="122">
        <f t="shared" si="33"/>
        <v>0</v>
      </c>
      <c r="AO31" s="122">
        <f t="shared" si="33"/>
        <v>0</v>
      </c>
      <c r="AP31" s="122">
        <f t="shared" si="33"/>
        <v>0</v>
      </c>
      <c r="AQ31" s="122">
        <f t="shared" si="33"/>
        <v>0</v>
      </c>
      <c r="AR31" s="122">
        <f t="shared" si="33"/>
        <v>0</v>
      </c>
      <c r="AS31" s="122">
        <f t="shared" si="33"/>
        <v>0</v>
      </c>
      <c r="AT31" s="122">
        <f t="shared" si="33"/>
        <v>0</v>
      </c>
      <c r="AU31" s="122">
        <f t="shared" si="33"/>
        <v>0</v>
      </c>
      <c r="AV31" s="122">
        <f t="shared" si="33"/>
        <v>0</v>
      </c>
      <c r="AW31" s="122">
        <f t="shared" si="33"/>
        <v>0</v>
      </c>
      <c r="AX31" s="122">
        <f t="shared" si="33"/>
        <v>0</v>
      </c>
      <c r="AY31" s="122">
        <f t="shared" si="33"/>
        <v>0</v>
      </c>
      <c r="AZ31" s="122">
        <f t="shared" si="33"/>
        <v>0</v>
      </c>
      <c r="BA31" s="122">
        <f t="shared" si="33"/>
        <v>0</v>
      </c>
      <c r="BB31" s="122">
        <f t="shared" si="33"/>
        <v>0</v>
      </c>
      <c r="BC31" s="122">
        <f t="shared" si="33"/>
        <v>0</v>
      </c>
      <c r="BD31" s="122">
        <f t="shared" si="33"/>
        <v>0</v>
      </c>
      <c r="BE31" s="122">
        <f t="shared" si="33"/>
        <v>0</v>
      </c>
      <c r="BF31" s="122">
        <f t="shared" si="33"/>
        <v>0</v>
      </c>
      <c r="BG31" s="122">
        <f t="shared" si="33"/>
        <v>0</v>
      </c>
      <c r="BH31" s="122">
        <f t="shared" si="33"/>
        <v>0</v>
      </c>
      <c r="BI31" s="122">
        <f t="shared" si="33"/>
        <v>0</v>
      </c>
      <c r="BJ31" s="122">
        <f t="shared" si="33"/>
        <v>0</v>
      </c>
      <c r="BK31" s="122">
        <f t="shared" si="33"/>
        <v>0</v>
      </c>
      <c r="BL31" s="122">
        <f t="shared" si="33"/>
        <v>0</v>
      </c>
      <c r="BM31" s="122">
        <f t="shared" si="33"/>
        <v>0</v>
      </c>
      <c r="BN31" s="122">
        <f t="shared" si="33"/>
        <v>0</v>
      </c>
      <c r="BO31" s="122">
        <f t="shared" si="33"/>
        <v>0</v>
      </c>
      <c r="BP31" s="122">
        <f t="shared" si="33"/>
        <v>0</v>
      </c>
      <c r="BQ31" s="122">
        <f t="shared" si="33"/>
        <v>0</v>
      </c>
      <c r="BR31" s="122">
        <f t="shared" si="33"/>
        <v>0</v>
      </c>
      <c r="BS31" s="122">
        <f t="shared" si="33"/>
        <v>0</v>
      </c>
      <c r="BT31" s="122">
        <f t="shared" si="33"/>
        <v>0</v>
      </c>
      <c r="BU31" s="122">
        <f t="shared" si="33"/>
        <v>0</v>
      </c>
      <c r="BV31" s="122">
        <f t="shared" si="33"/>
        <v>0</v>
      </c>
      <c r="BW31" s="122">
        <f t="shared" si="33"/>
        <v>0</v>
      </c>
      <c r="BX31" s="122">
        <f t="shared" si="33"/>
        <v>0</v>
      </c>
      <c r="BY31" s="122">
        <f t="shared" si="33"/>
        <v>0</v>
      </c>
      <c r="BZ31" s="122">
        <f t="shared" si="33"/>
        <v>0</v>
      </c>
      <c r="CA31" s="122">
        <f t="shared" si="33"/>
        <v>0</v>
      </c>
      <c r="CB31" s="122">
        <f t="shared" si="33"/>
        <v>0</v>
      </c>
      <c r="CC31" s="122">
        <f t="shared" si="33"/>
        <v>0</v>
      </c>
      <c r="CD31" s="122">
        <f t="shared" si="33"/>
        <v>0</v>
      </c>
      <c r="CE31" s="122">
        <f t="shared" si="33"/>
        <v>0</v>
      </c>
      <c r="CF31" s="122">
        <f t="shared" si="33"/>
        <v>0</v>
      </c>
      <c r="CG31" s="122">
        <f t="shared" si="33"/>
        <v>0</v>
      </c>
      <c r="CH31" s="122">
        <f t="shared" si="33"/>
        <v>0</v>
      </c>
      <c r="CI31" s="122">
        <f t="shared" si="33"/>
        <v>0</v>
      </c>
      <c r="CJ31" s="122">
        <f t="shared" si="34"/>
        <v>0</v>
      </c>
      <c r="CK31" s="122">
        <f t="shared" si="34"/>
        <v>0</v>
      </c>
      <c r="CL31" s="122">
        <f t="shared" si="34"/>
        <v>0</v>
      </c>
      <c r="CM31" s="122">
        <f t="shared" si="34"/>
        <v>0</v>
      </c>
      <c r="CN31" s="122">
        <f t="shared" si="34"/>
        <v>0</v>
      </c>
      <c r="CO31" s="122">
        <f t="shared" si="34"/>
        <v>0</v>
      </c>
      <c r="CP31" s="122">
        <f t="shared" si="34"/>
        <v>0</v>
      </c>
      <c r="CQ31" s="122">
        <f t="shared" si="34"/>
        <v>0</v>
      </c>
      <c r="CR31" s="122">
        <f t="shared" si="34"/>
        <v>0</v>
      </c>
      <c r="CS31" s="122">
        <f t="shared" si="34"/>
        <v>0</v>
      </c>
      <c r="CT31" s="122">
        <f t="shared" si="34"/>
        <v>0</v>
      </c>
      <c r="CU31" s="122">
        <f t="shared" si="34"/>
        <v>0</v>
      </c>
      <c r="CV31" s="122">
        <f t="shared" si="34"/>
        <v>0</v>
      </c>
      <c r="CW31" s="122">
        <f t="shared" si="34"/>
        <v>0</v>
      </c>
      <c r="CX31" s="122">
        <f t="shared" si="34"/>
        <v>0</v>
      </c>
      <c r="CY31" s="122">
        <f t="shared" si="34"/>
        <v>0</v>
      </c>
      <c r="CZ31" s="122">
        <f t="shared" si="34"/>
        <v>0</v>
      </c>
      <c r="DA31" s="122">
        <f t="shared" si="34"/>
        <v>0</v>
      </c>
      <c r="DB31" s="122">
        <f t="shared" si="34"/>
        <v>0</v>
      </c>
      <c r="DC31" s="122">
        <f t="shared" si="34"/>
        <v>0</v>
      </c>
      <c r="DD31" s="122">
        <f t="shared" si="34"/>
        <v>0</v>
      </c>
      <c r="DE31" s="122">
        <f t="shared" si="34"/>
        <v>0</v>
      </c>
      <c r="DF31" s="122">
        <f t="shared" si="34"/>
        <v>0</v>
      </c>
      <c r="DG31" s="122">
        <f t="shared" si="34"/>
        <v>0</v>
      </c>
      <c r="DH31" s="122">
        <f t="shared" si="34"/>
        <v>0</v>
      </c>
      <c r="DI31" s="122">
        <f t="shared" si="34"/>
        <v>0</v>
      </c>
      <c r="DJ31" s="122">
        <f t="shared" si="34"/>
        <v>0</v>
      </c>
      <c r="DK31" s="122">
        <f t="shared" si="34"/>
        <v>0</v>
      </c>
      <c r="DL31" s="122">
        <f t="shared" si="34"/>
        <v>0</v>
      </c>
      <c r="DM31" s="122">
        <f t="shared" si="34"/>
        <v>0</v>
      </c>
      <c r="DN31" s="122">
        <f t="shared" si="34"/>
        <v>0</v>
      </c>
      <c r="DO31" s="122">
        <f t="shared" si="34"/>
        <v>0</v>
      </c>
      <c r="DP31" s="122">
        <f t="shared" si="34"/>
        <v>0</v>
      </c>
      <c r="DQ31" s="122">
        <f t="shared" si="34"/>
        <v>0</v>
      </c>
      <c r="DR31" s="122">
        <f t="shared" si="34"/>
        <v>0</v>
      </c>
      <c r="DS31" s="122">
        <f t="shared" si="34"/>
        <v>0</v>
      </c>
      <c r="DT31" s="122">
        <f t="shared" si="34"/>
        <v>0</v>
      </c>
      <c r="DU31" s="122">
        <f t="shared" si="34"/>
        <v>0</v>
      </c>
      <c r="DV31" s="122">
        <f t="shared" si="34"/>
        <v>0</v>
      </c>
      <c r="DW31" s="122">
        <f t="shared" si="34"/>
        <v>0</v>
      </c>
      <c r="DX31" s="122">
        <f t="shared" si="34"/>
        <v>0</v>
      </c>
      <c r="DY31" s="122">
        <f t="shared" si="34"/>
        <v>0</v>
      </c>
      <c r="DZ31" s="122">
        <f t="shared" si="34"/>
        <v>0</v>
      </c>
      <c r="EA31" s="122">
        <f t="shared" si="34"/>
        <v>0</v>
      </c>
      <c r="EB31" s="122">
        <f t="shared" si="34"/>
        <v>0</v>
      </c>
      <c r="EC31" s="122">
        <f t="shared" si="34"/>
        <v>0</v>
      </c>
      <c r="ED31" s="122">
        <f t="shared" si="34"/>
        <v>0</v>
      </c>
      <c r="EE31" s="122">
        <f t="shared" si="34"/>
        <v>0</v>
      </c>
      <c r="EF31" s="122">
        <f t="shared" si="34"/>
        <v>0</v>
      </c>
      <c r="EG31" s="122">
        <f t="shared" si="27"/>
        <v>0</v>
      </c>
      <c r="EH31" s="122">
        <f t="shared" si="27"/>
        <v>0</v>
      </c>
      <c r="EI31" s="122">
        <f t="shared" si="27"/>
        <v>0</v>
      </c>
    </row>
    <row r="32" spans="1:139" x14ac:dyDescent="0.35">
      <c r="A32" s="126" t="str">
        <f t="shared" si="28"/>
        <v>OK</v>
      </c>
      <c r="B32" s="16" t="s">
        <v>147</v>
      </c>
      <c r="C32" s="36">
        <f>D32*Revenue!$A$23</f>
        <v>0</v>
      </c>
      <c r="D32" s="116">
        <v>0</v>
      </c>
      <c r="E32" s="118">
        <v>1</v>
      </c>
      <c r="F32" s="118">
        <v>1</v>
      </c>
      <c r="G32" s="120">
        <f t="shared" si="29"/>
        <v>1</v>
      </c>
      <c r="H32" s="122">
        <f t="shared" si="30"/>
        <v>0</v>
      </c>
      <c r="I32" s="122">
        <f t="shared" si="30"/>
        <v>0</v>
      </c>
      <c r="J32" s="122">
        <f t="shared" si="30"/>
        <v>0</v>
      </c>
      <c r="K32" s="122">
        <f t="shared" si="30"/>
        <v>0</v>
      </c>
      <c r="L32" s="122">
        <f t="shared" si="30"/>
        <v>0</v>
      </c>
      <c r="M32" s="122">
        <f t="shared" si="30"/>
        <v>0</v>
      </c>
      <c r="N32" s="122">
        <f t="shared" si="30"/>
        <v>0</v>
      </c>
      <c r="O32" s="122">
        <f t="shared" si="30"/>
        <v>0</v>
      </c>
      <c r="P32" s="122">
        <f t="shared" si="30"/>
        <v>0</v>
      </c>
      <c r="Q32" s="122">
        <f t="shared" si="30"/>
        <v>0</v>
      </c>
      <c r="R32" s="122">
        <f t="shared" si="30"/>
        <v>0</v>
      </c>
      <c r="S32" s="122">
        <f t="shared" si="30"/>
        <v>0</v>
      </c>
      <c r="T32" s="122">
        <f t="shared" si="30"/>
        <v>0</v>
      </c>
      <c r="U32" s="122">
        <f t="shared" si="30"/>
        <v>0</v>
      </c>
      <c r="V32" s="122">
        <f t="shared" si="30"/>
        <v>0</v>
      </c>
      <c r="W32" s="122">
        <f t="shared" si="30"/>
        <v>0</v>
      </c>
      <c r="X32" s="122">
        <f t="shared" si="33"/>
        <v>0</v>
      </c>
      <c r="Y32" s="122">
        <f t="shared" si="33"/>
        <v>0</v>
      </c>
      <c r="Z32" s="122">
        <f t="shared" si="33"/>
        <v>0</v>
      </c>
      <c r="AA32" s="122">
        <f t="shared" si="33"/>
        <v>0</v>
      </c>
      <c r="AB32" s="122">
        <f t="shared" si="33"/>
        <v>0</v>
      </c>
      <c r="AC32" s="122">
        <f t="shared" si="33"/>
        <v>0</v>
      </c>
      <c r="AD32" s="122">
        <f t="shared" si="33"/>
        <v>0</v>
      </c>
      <c r="AE32" s="122">
        <f t="shared" si="33"/>
        <v>0</v>
      </c>
      <c r="AF32" s="122">
        <f t="shared" si="33"/>
        <v>0</v>
      </c>
      <c r="AG32" s="122">
        <f t="shared" si="33"/>
        <v>0</v>
      </c>
      <c r="AH32" s="122">
        <f t="shared" si="33"/>
        <v>0</v>
      </c>
      <c r="AI32" s="122">
        <f t="shared" si="33"/>
        <v>0</v>
      </c>
      <c r="AJ32" s="122">
        <f t="shared" si="33"/>
        <v>0</v>
      </c>
      <c r="AK32" s="122">
        <f t="shared" si="33"/>
        <v>0</v>
      </c>
      <c r="AL32" s="122">
        <f t="shared" si="33"/>
        <v>0</v>
      </c>
      <c r="AM32" s="122">
        <f t="shared" si="33"/>
        <v>0</v>
      </c>
      <c r="AN32" s="122">
        <f t="shared" si="33"/>
        <v>0</v>
      </c>
      <c r="AO32" s="122">
        <f t="shared" si="33"/>
        <v>0</v>
      </c>
      <c r="AP32" s="122">
        <f t="shared" si="33"/>
        <v>0</v>
      </c>
      <c r="AQ32" s="122">
        <f t="shared" si="33"/>
        <v>0</v>
      </c>
      <c r="AR32" s="122">
        <f t="shared" si="33"/>
        <v>0</v>
      </c>
      <c r="AS32" s="122">
        <f t="shared" si="33"/>
        <v>0</v>
      </c>
      <c r="AT32" s="122">
        <f t="shared" si="33"/>
        <v>0</v>
      </c>
      <c r="AU32" s="122">
        <f t="shared" si="33"/>
        <v>0</v>
      </c>
      <c r="AV32" s="122">
        <f t="shared" si="33"/>
        <v>0</v>
      </c>
      <c r="AW32" s="122">
        <f t="shared" si="33"/>
        <v>0</v>
      </c>
      <c r="AX32" s="122">
        <f t="shared" si="33"/>
        <v>0</v>
      </c>
      <c r="AY32" s="122">
        <f t="shared" si="33"/>
        <v>0</v>
      </c>
      <c r="AZ32" s="122">
        <f t="shared" si="33"/>
        <v>0</v>
      </c>
      <c r="BA32" s="122">
        <f t="shared" si="33"/>
        <v>0</v>
      </c>
      <c r="BB32" s="122">
        <f t="shared" si="33"/>
        <v>0</v>
      </c>
      <c r="BC32" s="122">
        <f t="shared" si="33"/>
        <v>0</v>
      </c>
      <c r="BD32" s="122">
        <f t="shared" si="33"/>
        <v>0</v>
      </c>
      <c r="BE32" s="122">
        <f t="shared" si="33"/>
        <v>0</v>
      </c>
      <c r="BF32" s="122">
        <f t="shared" si="33"/>
        <v>0</v>
      </c>
      <c r="BG32" s="122">
        <f t="shared" si="33"/>
        <v>0</v>
      </c>
      <c r="BH32" s="122">
        <f t="shared" si="33"/>
        <v>0</v>
      </c>
      <c r="BI32" s="122">
        <f t="shared" si="33"/>
        <v>0</v>
      </c>
      <c r="BJ32" s="122">
        <f t="shared" si="33"/>
        <v>0</v>
      </c>
      <c r="BK32" s="122">
        <f t="shared" si="33"/>
        <v>0</v>
      </c>
      <c r="BL32" s="122">
        <f t="shared" si="33"/>
        <v>0</v>
      </c>
      <c r="BM32" s="122">
        <f t="shared" si="33"/>
        <v>0</v>
      </c>
      <c r="BN32" s="122">
        <f t="shared" si="33"/>
        <v>0</v>
      </c>
      <c r="BO32" s="122">
        <f t="shared" si="33"/>
        <v>0</v>
      </c>
      <c r="BP32" s="122">
        <f t="shared" si="33"/>
        <v>0</v>
      </c>
      <c r="BQ32" s="122">
        <f t="shared" si="33"/>
        <v>0</v>
      </c>
      <c r="BR32" s="122">
        <f t="shared" si="33"/>
        <v>0</v>
      </c>
      <c r="BS32" s="122">
        <f t="shared" si="33"/>
        <v>0</v>
      </c>
      <c r="BT32" s="122">
        <f t="shared" si="33"/>
        <v>0</v>
      </c>
      <c r="BU32" s="122">
        <f t="shared" si="33"/>
        <v>0</v>
      </c>
      <c r="BV32" s="122">
        <f t="shared" si="33"/>
        <v>0</v>
      </c>
      <c r="BW32" s="122">
        <f t="shared" si="33"/>
        <v>0</v>
      </c>
      <c r="BX32" s="122">
        <f t="shared" si="33"/>
        <v>0</v>
      </c>
      <c r="BY32" s="122">
        <f t="shared" si="33"/>
        <v>0</v>
      </c>
      <c r="BZ32" s="122">
        <f t="shared" si="33"/>
        <v>0</v>
      </c>
      <c r="CA32" s="122">
        <f t="shared" si="33"/>
        <v>0</v>
      </c>
      <c r="CB32" s="122">
        <f t="shared" si="33"/>
        <v>0</v>
      </c>
      <c r="CC32" s="122">
        <f t="shared" si="33"/>
        <v>0</v>
      </c>
      <c r="CD32" s="122">
        <f t="shared" si="33"/>
        <v>0</v>
      </c>
      <c r="CE32" s="122">
        <f t="shared" si="33"/>
        <v>0</v>
      </c>
      <c r="CF32" s="122">
        <f t="shared" si="33"/>
        <v>0</v>
      </c>
      <c r="CG32" s="122">
        <f t="shared" si="33"/>
        <v>0</v>
      </c>
      <c r="CH32" s="122">
        <f t="shared" si="33"/>
        <v>0</v>
      </c>
      <c r="CI32" s="122">
        <f t="shared" ref="CI32:ED37" si="35">IF(AND(CI$1&gt;=$E32,CI$1&lt;=$F32),$C32/$G32,0)</f>
        <v>0</v>
      </c>
      <c r="CJ32" s="122">
        <f t="shared" si="35"/>
        <v>0</v>
      </c>
      <c r="CK32" s="122">
        <f t="shared" si="35"/>
        <v>0</v>
      </c>
      <c r="CL32" s="122">
        <f t="shared" si="35"/>
        <v>0</v>
      </c>
      <c r="CM32" s="122">
        <f t="shared" si="35"/>
        <v>0</v>
      </c>
      <c r="CN32" s="122">
        <f t="shared" si="35"/>
        <v>0</v>
      </c>
      <c r="CO32" s="122">
        <f t="shared" si="35"/>
        <v>0</v>
      </c>
      <c r="CP32" s="122">
        <f t="shared" si="35"/>
        <v>0</v>
      </c>
      <c r="CQ32" s="122">
        <f t="shared" si="35"/>
        <v>0</v>
      </c>
      <c r="CR32" s="122">
        <f t="shared" si="35"/>
        <v>0</v>
      </c>
      <c r="CS32" s="122">
        <f t="shared" si="35"/>
        <v>0</v>
      </c>
      <c r="CT32" s="122">
        <f t="shared" si="35"/>
        <v>0</v>
      </c>
      <c r="CU32" s="122">
        <f t="shared" si="35"/>
        <v>0</v>
      </c>
      <c r="CV32" s="122">
        <f t="shared" si="35"/>
        <v>0</v>
      </c>
      <c r="CW32" s="122">
        <f t="shared" si="35"/>
        <v>0</v>
      </c>
      <c r="CX32" s="122">
        <f t="shared" si="35"/>
        <v>0</v>
      </c>
      <c r="CY32" s="122">
        <f t="shared" si="35"/>
        <v>0</v>
      </c>
      <c r="CZ32" s="122">
        <f t="shared" si="35"/>
        <v>0</v>
      </c>
      <c r="DA32" s="122">
        <f t="shared" si="35"/>
        <v>0</v>
      </c>
      <c r="DB32" s="122">
        <f t="shared" si="35"/>
        <v>0</v>
      </c>
      <c r="DC32" s="122">
        <f t="shared" si="35"/>
        <v>0</v>
      </c>
      <c r="DD32" s="122">
        <f t="shared" si="35"/>
        <v>0</v>
      </c>
      <c r="DE32" s="122">
        <f t="shared" si="35"/>
        <v>0</v>
      </c>
      <c r="DF32" s="122">
        <f t="shared" si="35"/>
        <v>0</v>
      </c>
      <c r="DG32" s="122">
        <f t="shared" si="35"/>
        <v>0</v>
      </c>
      <c r="DH32" s="122">
        <f t="shared" si="35"/>
        <v>0</v>
      </c>
      <c r="DI32" s="122">
        <f t="shared" si="35"/>
        <v>0</v>
      </c>
      <c r="DJ32" s="122">
        <f t="shared" si="35"/>
        <v>0</v>
      </c>
      <c r="DK32" s="122">
        <f t="shared" si="35"/>
        <v>0</v>
      </c>
      <c r="DL32" s="122">
        <f t="shared" si="35"/>
        <v>0</v>
      </c>
      <c r="DM32" s="122">
        <f t="shared" si="35"/>
        <v>0</v>
      </c>
      <c r="DN32" s="122">
        <f t="shared" si="35"/>
        <v>0</v>
      </c>
      <c r="DO32" s="122">
        <f t="shared" si="35"/>
        <v>0</v>
      </c>
      <c r="DP32" s="122">
        <f t="shared" si="35"/>
        <v>0</v>
      </c>
      <c r="DQ32" s="122">
        <f t="shared" si="35"/>
        <v>0</v>
      </c>
      <c r="DR32" s="122">
        <f t="shared" si="35"/>
        <v>0</v>
      </c>
      <c r="DS32" s="122">
        <f t="shared" si="35"/>
        <v>0</v>
      </c>
      <c r="DT32" s="122">
        <f t="shared" si="35"/>
        <v>0</v>
      </c>
      <c r="DU32" s="122">
        <f t="shared" si="35"/>
        <v>0</v>
      </c>
      <c r="DV32" s="122">
        <f t="shared" si="35"/>
        <v>0</v>
      </c>
      <c r="DW32" s="122">
        <f t="shared" si="35"/>
        <v>0</v>
      </c>
      <c r="DX32" s="122">
        <f t="shared" si="35"/>
        <v>0</v>
      </c>
      <c r="DY32" s="122">
        <f t="shared" si="35"/>
        <v>0</v>
      </c>
      <c r="DZ32" s="122">
        <f t="shared" si="35"/>
        <v>0</v>
      </c>
      <c r="EA32" s="122">
        <f t="shared" si="35"/>
        <v>0</v>
      </c>
      <c r="EB32" s="122">
        <f t="shared" si="35"/>
        <v>0</v>
      </c>
      <c r="EC32" s="122">
        <f t="shared" si="35"/>
        <v>0</v>
      </c>
      <c r="ED32" s="122">
        <f t="shared" si="35"/>
        <v>0</v>
      </c>
      <c r="EE32" s="122">
        <f t="shared" si="34"/>
        <v>0</v>
      </c>
      <c r="EF32" s="122">
        <f t="shared" si="34"/>
        <v>0</v>
      </c>
      <c r="EG32" s="122">
        <f t="shared" si="27"/>
        <v>0</v>
      </c>
      <c r="EH32" s="122">
        <f t="shared" si="27"/>
        <v>0</v>
      </c>
      <c r="EI32" s="122">
        <f t="shared" si="27"/>
        <v>0</v>
      </c>
    </row>
    <row r="33" spans="1:139" x14ac:dyDescent="0.35">
      <c r="A33" s="126" t="str">
        <f t="shared" si="28"/>
        <v>OK</v>
      </c>
      <c r="B33" s="16" t="s">
        <v>147</v>
      </c>
      <c r="C33" s="36">
        <f>D33*Revenue!$A$23</f>
        <v>0</v>
      </c>
      <c r="D33" s="116">
        <v>0</v>
      </c>
      <c r="E33" s="118">
        <v>1</v>
      </c>
      <c r="F33" s="118">
        <v>1</v>
      </c>
      <c r="G33" s="120">
        <f t="shared" si="29"/>
        <v>1</v>
      </c>
      <c r="H33" s="122">
        <f t="shared" si="30"/>
        <v>0</v>
      </c>
      <c r="I33" s="122">
        <f t="shared" si="30"/>
        <v>0</v>
      </c>
      <c r="J33" s="122">
        <f t="shared" si="30"/>
        <v>0</v>
      </c>
      <c r="K33" s="122">
        <f t="shared" si="30"/>
        <v>0</v>
      </c>
      <c r="L33" s="122">
        <f t="shared" si="30"/>
        <v>0</v>
      </c>
      <c r="M33" s="122">
        <f t="shared" si="30"/>
        <v>0</v>
      </c>
      <c r="N33" s="122">
        <f t="shared" si="30"/>
        <v>0</v>
      </c>
      <c r="O33" s="122">
        <f t="shared" si="30"/>
        <v>0</v>
      </c>
      <c r="P33" s="122">
        <f t="shared" si="30"/>
        <v>0</v>
      </c>
      <c r="Q33" s="122">
        <f t="shared" si="30"/>
        <v>0</v>
      </c>
      <c r="R33" s="122">
        <f t="shared" si="30"/>
        <v>0</v>
      </c>
      <c r="S33" s="122">
        <f t="shared" si="30"/>
        <v>0</v>
      </c>
      <c r="T33" s="122">
        <f t="shared" si="30"/>
        <v>0</v>
      </c>
      <c r="U33" s="122">
        <f t="shared" si="30"/>
        <v>0</v>
      </c>
      <c r="V33" s="122">
        <f t="shared" si="30"/>
        <v>0</v>
      </c>
      <c r="W33" s="122">
        <f t="shared" si="30"/>
        <v>0</v>
      </c>
      <c r="X33" s="122">
        <f t="shared" ref="X33:AM40" si="36">IF(AND(X$1&gt;=$E33,X$1&lt;=$F33),$C33/$G33,0)</f>
        <v>0</v>
      </c>
      <c r="Y33" s="122">
        <f t="shared" si="36"/>
        <v>0</v>
      </c>
      <c r="Z33" s="122">
        <f t="shared" si="36"/>
        <v>0</v>
      </c>
      <c r="AA33" s="122">
        <f t="shared" si="36"/>
        <v>0</v>
      </c>
      <c r="AB33" s="122">
        <f t="shared" si="36"/>
        <v>0</v>
      </c>
      <c r="AC33" s="122">
        <f t="shared" si="36"/>
        <v>0</v>
      </c>
      <c r="AD33" s="122">
        <f t="shared" si="36"/>
        <v>0</v>
      </c>
      <c r="AE33" s="122">
        <f t="shared" si="36"/>
        <v>0</v>
      </c>
      <c r="AF33" s="122">
        <f t="shared" si="36"/>
        <v>0</v>
      </c>
      <c r="AG33" s="122">
        <f t="shared" si="36"/>
        <v>0</v>
      </c>
      <c r="AH33" s="122">
        <f t="shared" si="36"/>
        <v>0</v>
      </c>
      <c r="AI33" s="122">
        <f t="shared" si="36"/>
        <v>0</v>
      </c>
      <c r="AJ33" s="122">
        <f t="shared" si="36"/>
        <v>0</v>
      </c>
      <c r="AK33" s="122">
        <f t="shared" si="36"/>
        <v>0</v>
      </c>
      <c r="AL33" s="122">
        <f t="shared" si="36"/>
        <v>0</v>
      </c>
      <c r="AM33" s="122">
        <f t="shared" si="36"/>
        <v>0</v>
      </c>
      <c r="AN33" s="122">
        <f t="shared" ref="AN33:BC40" si="37">IF(AND(AN$1&gt;=$E33,AN$1&lt;=$F33),$C33/$G33,0)</f>
        <v>0</v>
      </c>
      <c r="AO33" s="122">
        <f t="shared" si="37"/>
        <v>0</v>
      </c>
      <c r="AP33" s="122">
        <f t="shared" si="37"/>
        <v>0</v>
      </c>
      <c r="AQ33" s="122">
        <f t="shared" si="37"/>
        <v>0</v>
      </c>
      <c r="AR33" s="122">
        <f t="shared" si="37"/>
        <v>0</v>
      </c>
      <c r="AS33" s="122">
        <f t="shared" si="37"/>
        <v>0</v>
      </c>
      <c r="AT33" s="122">
        <f t="shared" si="37"/>
        <v>0</v>
      </c>
      <c r="AU33" s="122">
        <f t="shared" si="37"/>
        <v>0</v>
      </c>
      <c r="AV33" s="122">
        <f t="shared" si="37"/>
        <v>0</v>
      </c>
      <c r="AW33" s="122">
        <f t="shared" si="37"/>
        <v>0</v>
      </c>
      <c r="AX33" s="122">
        <f t="shared" si="37"/>
        <v>0</v>
      </c>
      <c r="AY33" s="122">
        <f t="shared" si="37"/>
        <v>0</v>
      </c>
      <c r="AZ33" s="122">
        <f t="shared" si="37"/>
        <v>0</v>
      </c>
      <c r="BA33" s="122">
        <f t="shared" si="37"/>
        <v>0</v>
      </c>
      <c r="BB33" s="122">
        <f t="shared" si="37"/>
        <v>0</v>
      </c>
      <c r="BC33" s="122">
        <f t="shared" si="37"/>
        <v>0</v>
      </c>
      <c r="BD33" s="122">
        <f t="shared" ref="BD33:BS40" si="38">IF(AND(BD$1&gt;=$E33,BD$1&lt;=$F33),$C33/$G33,0)</f>
        <v>0</v>
      </c>
      <c r="BE33" s="122">
        <f t="shared" si="38"/>
        <v>0</v>
      </c>
      <c r="BF33" s="122">
        <f t="shared" si="38"/>
        <v>0</v>
      </c>
      <c r="BG33" s="122">
        <f t="shared" si="38"/>
        <v>0</v>
      </c>
      <c r="BH33" s="122">
        <f t="shared" si="38"/>
        <v>0</v>
      </c>
      <c r="BI33" s="122">
        <f t="shared" si="38"/>
        <v>0</v>
      </c>
      <c r="BJ33" s="122">
        <f t="shared" si="38"/>
        <v>0</v>
      </c>
      <c r="BK33" s="122">
        <f t="shared" si="38"/>
        <v>0</v>
      </c>
      <c r="BL33" s="122">
        <f t="shared" si="38"/>
        <v>0</v>
      </c>
      <c r="BM33" s="122">
        <f t="shared" si="38"/>
        <v>0</v>
      </c>
      <c r="BN33" s="122">
        <f t="shared" si="38"/>
        <v>0</v>
      </c>
      <c r="BO33" s="122">
        <f t="shared" si="38"/>
        <v>0</v>
      </c>
      <c r="BP33" s="122">
        <f t="shared" si="38"/>
        <v>0</v>
      </c>
      <c r="BQ33" s="122">
        <f t="shared" si="38"/>
        <v>0</v>
      </c>
      <c r="BR33" s="122">
        <f t="shared" si="38"/>
        <v>0</v>
      </c>
      <c r="BS33" s="122">
        <f t="shared" si="38"/>
        <v>0</v>
      </c>
      <c r="BT33" s="122">
        <f t="shared" ref="BT33:CI40" si="39">IF(AND(BT$1&gt;=$E33,BT$1&lt;=$F33),$C33/$G33,0)</f>
        <v>0</v>
      </c>
      <c r="BU33" s="122">
        <f t="shared" si="39"/>
        <v>0</v>
      </c>
      <c r="BV33" s="122">
        <f t="shared" si="39"/>
        <v>0</v>
      </c>
      <c r="BW33" s="122">
        <f t="shared" si="39"/>
        <v>0</v>
      </c>
      <c r="BX33" s="122">
        <f t="shared" si="39"/>
        <v>0</v>
      </c>
      <c r="BY33" s="122">
        <f t="shared" si="39"/>
        <v>0</v>
      </c>
      <c r="BZ33" s="122">
        <f t="shared" si="39"/>
        <v>0</v>
      </c>
      <c r="CA33" s="122">
        <f t="shared" si="39"/>
        <v>0</v>
      </c>
      <c r="CB33" s="122">
        <f t="shared" si="39"/>
        <v>0</v>
      </c>
      <c r="CC33" s="122">
        <f t="shared" si="39"/>
        <v>0</v>
      </c>
      <c r="CD33" s="122">
        <f t="shared" si="39"/>
        <v>0</v>
      </c>
      <c r="CE33" s="122">
        <f t="shared" si="39"/>
        <v>0</v>
      </c>
      <c r="CF33" s="122">
        <f t="shared" si="39"/>
        <v>0</v>
      </c>
      <c r="CG33" s="122">
        <f t="shared" si="39"/>
        <v>0</v>
      </c>
      <c r="CH33" s="122">
        <f t="shared" si="39"/>
        <v>0</v>
      </c>
      <c r="CI33" s="122">
        <f t="shared" si="35"/>
        <v>0</v>
      </c>
      <c r="CJ33" s="122">
        <f t="shared" si="35"/>
        <v>0</v>
      </c>
      <c r="CK33" s="122">
        <f t="shared" si="35"/>
        <v>0</v>
      </c>
      <c r="CL33" s="122">
        <f t="shared" si="35"/>
        <v>0</v>
      </c>
      <c r="CM33" s="122">
        <f t="shared" si="35"/>
        <v>0</v>
      </c>
      <c r="CN33" s="122">
        <f t="shared" si="35"/>
        <v>0</v>
      </c>
      <c r="CO33" s="122">
        <f t="shared" si="35"/>
        <v>0</v>
      </c>
      <c r="CP33" s="122">
        <f t="shared" si="35"/>
        <v>0</v>
      </c>
      <c r="CQ33" s="122">
        <f t="shared" si="35"/>
        <v>0</v>
      </c>
      <c r="CR33" s="122">
        <f t="shared" si="35"/>
        <v>0</v>
      </c>
      <c r="CS33" s="122">
        <f t="shared" si="35"/>
        <v>0</v>
      </c>
      <c r="CT33" s="122">
        <f t="shared" si="35"/>
        <v>0</v>
      </c>
      <c r="CU33" s="122">
        <f t="shared" si="35"/>
        <v>0</v>
      </c>
      <c r="CV33" s="122">
        <f t="shared" si="35"/>
        <v>0</v>
      </c>
      <c r="CW33" s="122">
        <f t="shared" si="35"/>
        <v>0</v>
      </c>
      <c r="CX33" s="122">
        <f t="shared" si="35"/>
        <v>0</v>
      </c>
      <c r="CY33" s="122">
        <f t="shared" si="35"/>
        <v>0</v>
      </c>
      <c r="CZ33" s="122">
        <f t="shared" si="35"/>
        <v>0</v>
      </c>
      <c r="DA33" s="122">
        <f t="shared" si="35"/>
        <v>0</v>
      </c>
      <c r="DB33" s="122">
        <f t="shared" si="35"/>
        <v>0</v>
      </c>
      <c r="DC33" s="122">
        <f t="shared" si="35"/>
        <v>0</v>
      </c>
      <c r="DD33" s="122">
        <f t="shared" si="35"/>
        <v>0</v>
      </c>
      <c r="DE33" s="122">
        <f t="shared" si="35"/>
        <v>0</v>
      </c>
      <c r="DF33" s="122">
        <f t="shared" si="35"/>
        <v>0</v>
      </c>
      <c r="DG33" s="122">
        <f t="shared" si="35"/>
        <v>0</v>
      </c>
      <c r="DH33" s="122">
        <f t="shared" si="35"/>
        <v>0</v>
      </c>
      <c r="DI33" s="122">
        <f t="shared" si="35"/>
        <v>0</v>
      </c>
      <c r="DJ33" s="122">
        <f t="shared" si="35"/>
        <v>0</v>
      </c>
      <c r="DK33" s="122">
        <f t="shared" si="35"/>
        <v>0</v>
      </c>
      <c r="DL33" s="122">
        <f t="shared" si="35"/>
        <v>0</v>
      </c>
      <c r="DM33" s="122">
        <f t="shared" si="35"/>
        <v>0</v>
      </c>
      <c r="DN33" s="122">
        <f t="shared" si="35"/>
        <v>0</v>
      </c>
      <c r="DO33" s="122">
        <f t="shared" si="35"/>
        <v>0</v>
      </c>
      <c r="DP33" s="122">
        <f t="shared" si="35"/>
        <v>0</v>
      </c>
      <c r="DQ33" s="122">
        <f t="shared" si="35"/>
        <v>0</v>
      </c>
      <c r="DR33" s="122">
        <f t="shared" si="35"/>
        <v>0</v>
      </c>
      <c r="DS33" s="122">
        <f t="shared" si="35"/>
        <v>0</v>
      </c>
      <c r="DT33" s="122">
        <f t="shared" si="35"/>
        <v>0</v>
      </c>
      <c r="DU33" s="122">
        <f t="shared" si="35"/>
        <v>0</v>
      </c>
      <c r="DV33" s="122">
        <f t="shared" si="35"/>
        <v>0</v>
      </c>
      <c r="DW33" s="122">
        <f t="shared" si="35"/>
        <v>0</v>
      </c>
      <c r="DX33" s="122">
        <f t="shared" si="35"/>
        <v>0</v>
      </c>
      <c r="DY33" s="122">
        <f t="shared" si="35"/>
        <v>0</v>
      </c>
      <c r="DZ33" s="122">
        <f t="shared" si="35"/>
        <v>0</v>
      </c>
      <c r="EA33" s="122">
        <f t="shared" si="35"/>
        <v>0</v>
      </c>
      <c r="EB33" s="122">
        <f t="shared" si="35"/>
        <v>0</v>
      </c>
      <c r="EC33" s="122">
        <f t="shared" si="35"/>
        <v>0</v>
      </c>
      <c r="ED33" s="122">
        <f t="shared" si="35"/>
        <v>0</v>
      </c>
      <c r="EE33" s="122">
        <f t="shared" si="34"/>
        <v>0</v>
      </c>
      <c r="EF33" s="122">
        <f t="shared" si="34"/>
        <v>0</v>
      </c>
      <c r="EG33" s="122">
        <f t="shared" si="27"/>
        <v>0</v>
      </c>
      <c r="EH33" s="122">
        <f t="shared" si="27"/>
        <v>0</v>
      </c>
      <c r="EI33" s="122">
        <f t="shared" si="27"/>
        <v>0</v>
      </c>
    </row>
    <row r="34" spans="1:139" x14ac:dyDescent="0.35">
      <c r="A34" s="126" t="str">
        <f t="shared" si="28"/>
        <v>OK</v>
      </c>
      <c r="B34" s="16" t="s">
        <v>147</v>
      </c>
      <c r="C34" s="36">
        <f>D34*Revenue!$A$23</f>
        <v>0</v>
      </c>
      <c r="D34" s="116">
        <v>0</v>
      </c>
      <c r="E34" s="118">
        <v>1</v>
      </c>
      <c r="F34" s="118">
        <v>1</v>
      </c>
      <c r="G34" s="120">
        <f t="shared" si="29"/>
        <v>1</v>
      </c>
      <c r="H34" s="122">
        <f t="shared" si="30"/>
        <v>0</v>
      </c>
      <c r="I34" s="122">
        <f t="shared" si="30"/>
        <v>0</v>
      </c>
      <c r="J34" s="122">
        <f t="shared" si="30"/>
        <v>0</v>
      </c>
      <c r="K34" s="122">
        <f t="shared" si="30"/>
        <v>0</v>
      </c>
      <c r="L34" s="122">
        <f t="shared" si="30"/>
        <v>0</v>
      </c>
      <c r="M34" s="122">
        <f t="shared" si="30"/>
        <v>0</v>
      </c>
      <c r="N34" s="122">
        <f t="shared" si="30"/>
        <v>0</v>
      </c>
      <c r="O34" s="122">
        <f t="shared" si="30"/>
        <v>0</v>
      </c>
      <c r="P34" s="122">
        <f t="shared" si="30"/>
        <v>0</v>
      </c>
      <c r="Q34" s="122">
        <f t="shared" si="30"/>
        <v>0</v>
      </c>
      <c r="R34" s="122">
        <f t="shared" si="30"/>
        <v>0</v>
      </c>
      <c r="S34" s="122">
        <f t="shared" si="30"/>
        <v>0</v>
      </c>
      <c r="T34" s="122">
        <f t="shared" si="30"/>
        <v>0</v>
      </c>
      <c r="U34" s="122">
        <f t="shared" si="30"/>
        <v>0</v>
      </c>
      <c r="V34" s="122">
        <f t="shared" si="30"/>
        <v>0</v>
      </c>
      <c r="W34" s="122">
        <f t="shared" si="30"/>
        <v>0</v>
      </c>
      <c r="X34" s="122">
        <f t="shared" si="36"/>
        <v>0</v>
      </c>
      <c r="Y34" s="122">
        <f t="shared" si="36"/>
        <v>0</v>
      </c>
      <c r="Z34" s="122">
        <f t="shared" si="36"/>
        <v>0</v>
      </c>
      <c r="AA34" s="122">
        <f t="shared" si="36"/>
        <v>0</v>
      </c>
      <c r="AB34" s="122">
        <f t="shared" si="36"/>
        <v>0</v>
      </c>
      <c r="AC34" s="122">
        <f t="shared" si="36"/>
        <v>0</v>
      </c>
      <c r="AD34" s="122">
        <f t="shared" si="36"/>
        <v>0</v>
      </c>
      <c r="AE34" s="122">
        <f t="shared" si="36"/>
        <v>0</v>
      </c>
      <c r="AF34" s="122">
        <f t="shared" si="36"/>
        <v>0</v>
      </c>
      <c r="AG34" s="122">
        <f t="shared" si="36"/>
        <v>0</v>
      </c>
      <c r="AH34" s="122">
        <f t="shared" si="36"/>
        <v>0</v>
      </c>
      <c r="AI34" s="122">
        <f t="shared" si="36"/>
        <v>0</v>
      </c>
      <c r="AJ34" s="122">
        <f t="shared" si="36"/>
        <v>0</v>
      </c>
      <c r="AK34" s="122">
        <f t="shared" si="36"/>
        <v>0</v>
      </c>
      <c r="AL34" s="122">
        <f t="shared" si="36"/>
        <v>0</v>
      </c>
      <c r="AM34" s="122">
        <f t="shared" si="36"/>
        <v>0</v>
      </c>
      <c r="AN34" s="122">
        <f t="shared" si="37"/>
        <v>0</v>
      </c>
      <c r="AO34" s="122">
        <f t="shared" si="37"/>
        <v>0</v>
      </c>
      <c r="AP34" s="122">
        <f t="shared" si="37"/>
        <v>0</v>
      </c>
      <c r="AQ34" s="122">
        <f t="shared" si="37"/>
        <v>0</v>
      </c>
      <c r="AR34" s="122">
        <f t="shared" si="37"/>
        <v>0</v>
      </c>
      <c r="AS34" s="122">
        <f t="shared" si="37"/>
        <v>0</v>
      </c>
      <c r="AT34" s="122">
        <f t="shared" si="37"/>
        <v>0</v>
      </c>
      <c r="AU34" s="122">
        <f t="shared" si="37"/>
        <v>0</v>
      </c>
      <c r="AV34" s="122">
        <f t="shared" si="37"/>
        <v>0</v>
      </c>
      <c r="AW34" s="122">
        <f t="shared" si="37"/>
        <v>0</v>
      </c>
      <c r="AX34" s="122">
        <f t="shared" si="37"/>
        <v>0</v>
      </c>
      <c r="AY34" s="122">
        <f t="shared" si="37"/>
        <v>0</v>
      </c>
      <c r="AZ34" s="122">
        <f t="shared" si="37"/>
        <v>0</v>
      </c>
      <c r="BA34" s="122">
        <f t="shared" si="37"/>
        <v>0</v>
      </c>
      <c r="BB34" s="122">
        <f t="shared" si="37"/>
        <v>0</v>
      </c>
      <c r="BC34" s="122">
        <f t="shared" si="37"/>
        <v>0</v>
      </c>
      <c r="BD34" s="122">
        <f t="shared" si="38"/>
        <v>0</v>
      </c>
      <c r="BE34" s="122">
        <f t="shared" si="38"/>
        <v>0</v>
      </c>
      <c r="BF34" s="122">
        <f t="shared" si="38"/>
        <v>0</v>
      </c>
      <c r="BG34" s="122">
        <f t="shared" si="38"/>
        <v>0</v>
      </c>
      <c r="BH34" s="122">
        <f t="shared" si="38"/>
        <v>0</v>
      </c>
      <c r="BI34" s="122">
        <f t="shared" si="38"/>
        <v>0</v>
      </c>
      <c r="BJ34" s="122">
        <f t="shared" si="38"/>
        <v>0</v>
      </c>
      <c r="BK34" s="122">
        <f t="shared" si="38"/>
        <v>0</v>
      </c>
      <c r="BL34" s="122">
        <f t="shared" si="38"/>
        <v>0</v>
      </c>
      <c r="BM34" s="122">
        <f t="shared" si="38"/>
        <v>0</v>
      </c>
      <c r="BN34" s="122">
        <f t="shared" si="38"/>
        <v>0</v>
      </c>
      <c r="BO34" s="122">
        <f t="shared" si="38"/>
        <v>0</v>
      </c>
      <c r="BP34" s="122">
        <f t="shared" si="38"/>
        <v>0</v>
      </c>
      <c r="BQ34" s="122">
        <f t="shared" si="38"/>
        <v>0</v>
      </c>
      <c r="BR34" s="122">
        <f t="shared" si="38"/>
        <v>0</v>
      </c>
      <c r="BS34" s="122">
        <f t="shared" si="38"/>
        <v>0</v>
      </c>
      <c r="BT34" s="122">
        <f t="shared" si="39"/>
        <v>0</v>
      </c>
      <c r="BU34" s="122">
        <f t="shared" si="39"/>
        <v>0</v>
      </c>
      <c r="BV34" s="122">
        <f t="shared" si="39"/>
        <v>0</v>
      </c>
      <c r="BW34" s="122">
        <f t="shared" si="39"/>
        <v>0</v>
      </c>
      <c r="BX34" s="122">
        <f t="shared" si="39"/>
        <v>0</v>
      </c>
      <c r="BY34" s="122">
        <f t="shared" si="39"/>
        <v>0</v>
      </c>
      <c r="BZ34" s="122">
        <f t="shared" si="39"/>
        <v>0</v>
      </c>
      <c r="CA34" s="122">
        <f t="shared" si="39"/>
        <v>0</v>
      </c>
      <c r="CB34" s="122">
        <f t="shared" si="39"/>
        <v>0</v>
      </c>
      <c r="CC34" s="122">
        <f t="shared" si="39"/>
        <v>0</v>
      </c>
      <c r="CD34" s="122">
        <f t="shared" si="39"/>
        <v>0</v>
      </c>
      <c r="CE34" s="122">
        <f t="shared" si="39"/>
        <v>0</v>
      </c>
      <c r="CF34" s="122">
        <f t="shared" si="39"/>
        <v>0</v>
      </c>
      <c r="CG34" s="122">
        <f t="shared" si="39"/>
        <v>0</v>
      </c>
      <c r="CH34" s="122">
        <f t="shared" si="39"/>
        <v>0</v>
      </c>
      <c r="CI34" s="122">
        <f t="shared" si="35"/>
        <v>0</v>
      </c>
      <c r="CJ34" s="122">
        <f t="shared" si="35"/>
        <v>0</v>
      </c>
      <c r="CK34" s="122">
        <f t="shared" si="35"/>
        <v>0</v>
      </c>
      <c r="CL34" s="122">
        <f t="shared" si="35"/>
        <v>0</v>
      </c>
      <c r="CM34" s="122">
        <f t="shared" si="35"/>
        <v>0</v>
      </c>
      <c r="CN34" s="122">
        <f t="shared" si="35"/>
        <v>0</v>
      </c>
      <c r="CO34" s="122">
        <f t="shared" si="35"/>
        <v>0</v>
      </c>
      <c r="CP34" s="122">
        <f t="shared" si="35"/>
        <v>0</v>
      </c>
      <c r="CQ34" s="122">
        <f t="shared" si="35"/>
        <v>0</v>
      </c>
      <c r="CR34" s="122">
        <f t="shared" si="35"/>
        <v>0</v>
      </c>
      <c r="CS34" s="122">
        <f t="shared" si="35"/>
        <v>0</v>
      </c>
      <c r="CT34" s="122">
        <f t="shared" si="35"/>
        <v>0</v>
      </c>
      <c r="CU34" s="122">
        <f t="shared" si="35"/>
        <v>0</v>
      </c>
      <c r="CV34" s="122">
        <f t="shared" si="35"/>
        <v>0</v>
      </c>
      <c r="CW34" s="122">
        <f t="shared" si="35"/>
        <v>0</v>
      </c>
      <c r="CX34" s="122">
        <f t="shared" si="35"/>
        <v>0</v>
      </c>
      <c r="CY34" s="122">
        <f t="shared" si="35"/>
        <v>0</v>
      </c>
      <c r="CZ34" s="122">
        <f t="shared" si="35"/>
        <v>0</v>
      </c>
      <c r="DA34" s="122">
        <f t="shared" si="35"/>
        <v>0</v>
      </c>
      <c r="DB34" s="122">
        <f t="shared" si="35"/>
        <v>0</v>
      </c>
      <c r="DC34" s="122">
        <f t="shared" si="35"/>
        <v>0</v>
      </c>
      <c r="DD34" s="122">
        <f t="shared" si="35"/>
        <v>0</v>
      </c>
      <c r="DE34" s="122">
        <f t="shared" si="35"/>
        <v>0</v>
      </c>
      <c r="DF34" s="122">
        <f t="shared" si="35"/>
        <v>0</v>
      </c>
      <c r="DG34" s="122">
        <f t="shared" si="35"/>
        <v>0</v>
      </c>
      <c r="DH34" s="122">
        <f t="shared" si="35"/>
        <v>0</v>
      </c>
      <c r="DI34" s="122">
        <f t="shared" si="35"/>
        <v>0</v>
      </c>
      <c r="DJ34" s="122">
        <f t="shared" si="35"/>
        <v>0</v>
      </c>
      <c r="DK34" s="122">
        <f t="shared" si="35"/>
        <v>0</v>
      </c>
      <c r="DL34" s="122">
        <f t="shared" si="35"/>
        <v>0</v>
      </c>
      <c r="DM34" s="122">
        <f t="shared" si="35"/>
        <v>0</v>
      </c>
      <c r="DN34" s="122">
        <f t="shared" si="35"/>
        <v>0</v>
      </c>
      <c r="DO34" s="122">
        <f t="shared" si="35"/>
        <v>0</v>
      </c>
      <c r="DP34" s="122">
        <f t="shared" si="35"/>
        <v>0</v>
      </c>
      <c r="DQ34" s="122">
        <f t="shared" si="35"/>
        <v>0</v>
      </c>
      <c r="DR34" s="122">
        <f t="shared" si="35"/>
        <v>0</v>
      </c>
      <c r="DS34" s="122">
        <f t="shared" si="35"/>
        <v>0</v>
      </c>
      <c r="DT34" s="122">
        <f t="shared" si="35"/>
        <v>0</v>
      </c>
      <c r="DU34" s="122">
        <f t="shared" si="35"/>
        <v>0</v>
      </c>
      <c r="DV34" s="122">
        <f t="shared" si="35"/>
        <v>0</v>
      </c>
      <c r="DW34" s="122">
        <f t="shared" si="35"/>
        <v>0</v>
      </c>
      <c r="DX34" s="122">
        <f t="shared" si="35"/>
        <v>0</v>
      </c>
      <c r="DY34" s="122">
        <f t="shared" si="35"/>
        <v>0</v>
      </c>
      <c r="DZ34" s="122">
        <f t="shared" si="35"/>
        <v>0</v>
      </c>
      <c r="EA34" s="122">
        <f t="shared" si="35"/>
        <v>0</v>
      </c>
      <c r="EB34" s="122">
        <f t="shared" si="35"/>
        <v>0</v>
      </c>
      <c r="EC34" s="122">
        <f t="shared" si="35"/>
        <v>0</v>
      </c>
      <c r="ED34" s="122">
        <f t="shared" si="35"/>
        <v>0</v>
      </c>
      <c r="EE34" s="122">
        <f t="shared" si="34"/>
        <v>0</v>
      </c>
      <c r="EF34" s="122">
        <f t="shared" si="34"/>
        <v>0</v>
      </c>
      <c r="EG34" s="122">
        <f t="shared" si="27"/>
        <v>0</v>
      </c>
      <c r="EH34" s="122">
        <f t="shared" si="27"/>
        <v>0</v>
      </c>
      <c r="EI34" s="122">
        <f t="shared" si="27"/>
        <v>0</v>
      </c>
    </row>
    <row r="35" spans="1:139" x14ac:dyDescent="0.35">
      <c r="A35" s="126" t="str">
        <f t="shared" si="28"/>
        <v>OK</v>
      </c>
      <c r="B35" s="16" t="s">
        <v>147</v>
      </c>
      <c r="C35" s="36">
        <f>D35*Revenue!$A$23</f>
        <v>0</v>
      </c>
      <c r="D35" s="116">
        <v>0</v>
      </c>
      <c r="E35" s="118">
        <v>1</v>
      </c>
      <c r="F35" s="118">
        <v>1</v>
      </c>
      <c r="G35" s="120">
        <f t="shared" si="29"/>
        <v>1</v>
      </c>
      <c r="H35" s="122">
        <f t="shared" si="30"/>
        <v>0</v>
      </c>
      <c r="I35" s="122">
        <f t="shared" si="30"/>
        <v>0</v>
      </c>
      <c r="J35" s="122">
        <f t="shared" si="30"/>
        <v>0</v>
      </c>
      <c r="K35" s="122">
        <f t="shared" si="30"/>
        <v>0</v>
      </c>
      <c r="L35" s="122">
        <f t="shared" si="30"/>
        <v>0</v>
      </c>
      <c r="M35" s="122">
        <f t="shared" si="30"/>
        <v>0</v>
      </c>
      <c r="N35" s="122">
        <f t="shared" si="30"/>
        <v>0</v>
      </c>
      <c r="O35" s="122">
        <f t="shared" si="30"/>
        <v>0</v>
      </c>
      <c r="P35" s="122">
        <f t="shared" si="30"/>
        <v>0</v>
      </c>
      <c r="Q35" s="122">
        <f t="shared" si="30"/>
        <v>0</v>
      </c>
      <c r="R35" s="122">
        <f t="shared" si="30"/>
        <v>0</v>
      </c>
      <c r="S35" s="122">
        <f t="shared" si="30"/>
        <v>0</v>
      </c>
      <c r="T35" s="122">
        <f t="shared" si="30"/>
        <v>0</v>
      </c>
      <c r="U35" s="122">
        <f t="shared" si="30"/>
        <v>0</v>
      </c>
      <c r="V35" s="122">
        <f t="shared" si="30"/>
        <v>0</v>
      </c>
      <c r="W35" s="122">
        <f t="shared" si="30"/>
        <v>0</v>
      </c>
      <c r="X35" s="122">
        <f t="shared" si="36"/>
        <v>0</v>
      </c>
      <c r="Y35" s="122">
        <f t="shared" si="36"/>
        <v>0</v>
      </c>
      <c r="Z35" s="122">
        <f t="shared" si="36"/>
        <v>0</v>
      </c>
      <c r="AA35" s="122">
        <f t="shared" si="36"/>
        <v>0</v>
      </c>
      <c r="AB35" s="122">
        <f t="shared" si="36"/>
        <v>0</v>
      </c>
      <c r="AC35" s="122">
        <f t="shared" si="36"/>
        <v>0</v>
      </c>
      <c r="AD35" s="122">
        <f t="shared" si="36"/>
        <v>0</v>
      </c>
      <c r="AE35" s="122">
        <f t="shared" si="36"/>
        <v>0</v>
      </c>
      <c r="AF35" s="122">
        <f t="shared" si="36"/>
        <v>0</v>
      </c>
      <c r="AG35" s="122">
        <f t="shared" si="36"/>
        <v>0</v>
      </c>
      <c r="AH35" s="122">
        <f t="shared" si="36"/>
        <v>0</v>
      </c>
      <c r="AI35" s="122">
        <f t="shared" si="36"/>
        <v>0</v>
      </c>
      <c r="AJ35" s="122">
        <f t="shared" si="36"/>
        <v>0</v>
      </c>
      <c r="AK35" s="122">
        <f t="shared" si="36"/>
        <v>0</v>
      </c>
      <c r="AL35" s="122">
        <f t="shared" si="36"/>
        <v>0</v>
      </c>
      <c r="AM35" s="122">
        <f t="shared" si="36"/>
        <v>0</v>
      </c>
      <c r="AN35" s="122">
        <f t="shared" si="37"/>
        <v>0</v>
      </c>
      <c r="AO35" s="122">
        <f t="shared" si="37"/>
        <v>0</v>
      </c>
      <c r="AP35" s="122">
        <f t="shared" si="37"/>
        <v>0</v>
      </c>
      <c r="AQ35" s="122">
        <f t="shared" si="37"/>
        <v>0</v>
      </c>
      <c r="AR35" s="122">
        <f t="shared" si="37"/>
        <v>0</v>
      </c>
      <c r="AS35" s="122">
        <f t="shared" si="37"/>
        <v>0</v>
      </c>
      <c r="AT35" s="122">
        <f t="shared" si="37"/>
        <v>0</v>
      </c>
      <c r="AU35" s="122">
        <f t="shared" si="37"/>
        <v>0</v>
      </c>
      <c r="AV35" s="122">
        <f t="shared" si="37"/>
        <v>0</v>
      </c>
      <c r="AW35" s="122">
        <f t="shared" si="37"/>
        <v>0</v>
      </c>
      <c r="AX35" s="122">
        <f t="shared" si="37"/>
        <v>0</v>
      </c>
      <c r="AY35" s="122">
        <f t="shared" si="37"/>
        <v>0</v>
      </c>
      <c r="AZ35" s="122">
        <f t="shared" si="37"/>
        <v>0</v>
      </c>
      <c r="BA35" s="122">
        <f t="shared" si="37"/>
        <v>0</v>
      </c>
      <c r="BB35" s="122">
        <f t="shared" si="37"/>
        <v>0</v>
      </c>
      <c r="BC35" s="122">
        <f t="shared" si="37"/>
        <v>0</v>
      </c>
      <c r="BD35" s="122">
        <f t="shared" si="38"/>
        <v>0</v>
      </c>
      <c r="BE35" s="122">
        <f t="shared" si="38"/>
        <v>0</v>
      </c>
      <c r="BF35" s="122">
        <f t="shared" si="38"/>
        <v>0</v>
      </c>
      <c r="BG35" s="122">
        <f t="shared" si="38"/>
        <v>0</v>
      </c>
      <c r="BH35" s="122">
        <f t="shared" si="38"/>
        <v>0</v>
      </c>
      <c r="BI35" s="122">
        <f t="shared" si="38"/>
        <v>0</v>
      </c>
      <c r="BJ35" s="122">
        <f t="shared" si="38"/>
        <v>0</v>
      </c>
      <c r="BK35" s="122">
        <f t="shared" si="38"/>
        <v>0</v>
      </c>
      <c r="BL35" s="122">
        <f t="shared" si="38"/>
        <v>0</v>
      </c>
      <c r="BM35" s="122">
        <f t="shared" si="38"/>
        <v>0</v>
      </c>
      <c r="BN35" s="122">
        <f t="shared" si="38"/>
        <v>0</v>
      </c>
      <c r="BO35" s="122">
        <f t="shared" si="38"/>
        <v>0</v>
      </c>
      <c r="BP35" s="122">
        <f t="shared" si="38"/>
        <v>0</v>
      </c>
      <c r="BQ35" s="122">
        <f t="shared" si="38"/>
        <v>0</v>
      </c>
      <c r="BR35" s="122">
        <f t="shared" si="38"/>
        <v>0</v>
      </c>
      <c r="BS35" s="122">
        <f t="shared" si="38"/>
        <v>0</v>
      </c>
      <c r="BT35" s="122">
        <f t="shared" si="39"/>
        <v>0</v>
      </c>
      <c r="BU35" s="122">
        <f t="shared" si="39"/>
        <v>0</v>
      </c>
      <c r="BV35" s="122">
        <f t="shared" si="39"/>
        <v>0</v>
      </c>
      <c r="BW35" s="122">
        <f t="shared" si="39"/>
        <v>0</v>
      </c>
      <c r="BX35" s="122">
        <f t="shared" si="39"/>
        <v>0</v>
      </c>
      <c r="BY35" s="122">
        <f t="shared" si="39"/>
        <v>0</v>
      </c>
      <c r="BZ35" s="122">
        <f t="shared" si="39"/>
        <v>0</v>
      </c>
      <c r="CA35" s="122">
        <f t="shared" si="39"/>
        <v>0</v>
      </c>
      <c r="CB35" s="122">
        <f t="shared" si="39"/>
        <v>0</v>
      </c>
      <c r="CC35" s="122">
        <f t="shared" si="39"/>
        <v>0</v>
      </c>
      <c r="CD35" s="122">
        <f t="shared" si="39"/>
        <v>0</v>
      </c>
      <c r="CE35" s="122">
        <f t="shared" si="39"/>
        <v>0</v>
      </c>
      <c r="CF35" s="122">
        <f t="shared" si="39"/>
        <v>0</v>
      </c>
      <c r="CG35" s="122">
        <f t="shared" si="39"/>
        <v>0</v>
      </c>
      <c r="CH35" s="122">
        <f t="shared" si="39"/>
        <v>0</v>
      </c>
      <c r="CI35" s="122">
        <f t="shared" si="35"/>
        <v>0</v>
      </c>
      <c r="CJ35" s="122">
        <f t="shared" si="35"/>
        <v>0</v>
      </c>
      <c r="CK35" s="122">
        <f t="shared" si="35"/>
        <v>0</v>
      </c>
      <c r="CL35" s="122">
        <f t="shared" si="35"/>
        <v>0</v>
      </c>
      <c r="CM35" s="122">
        <f t="shared" si="35"/>
        <v>0</v>
      </c>
      <c r="CN35" s="122">
        <f t="shared" si="35"/>
        <v>0</v>
      </c>
      <c r="CO35" s="122">
        <f t="shared" si="35"/>
        <v>0</v>
      </c>
      <c r="CP35" s="122">
        <f t="shared" si="35"/>
        <v>0</v>
      </c>
      <c r="CQ35" s="122">
        <f t="shared" si="35"/>
        <v>0</v>
      </c>
      <c r="CR35" s="122">
        <f t="shared" si="35"/>
        <v>0</v>
      </c>
      <c r="CS35" s="122">
        <f t="shared" si="35"/>
        <v>0</v>
      </c>
      <c r="CT35" s="122">
        <f t="shared" si="35"/>
        <v>0</v>
      </c>
      <c r="CU35" s="122">
        <f t="shared" si="35"/>
        <v>0</v>
      </c>
      <c r="CV35" s="122">
        <f t="shared" si="35"/>
        <v>0</v>
      </c>
      <c r="CW35" s="122">
        <f t="shared" si="35"/>
        <v>0</v>
      </c>
      <c r="CX35" s="122">
        <f t="shared" si="35"/>
        <v>0</v>
      </c>
      <c r="CY35" s="122">
        <f t="shared" si="35"/>
        <v>0</v>
      </c>
      <c r="CZ35" s="122">
        <f t="shared" si="35"/>
        <v>0</v>
      </c>
      <c r="DA35" s="122">
        <f t="shared" si="35"/>
        <v>0</v>
      </c>
      <c r="DB35" s="122">
        <f t="shared" si="35"/>
        <v>0</v>
      </c>
      <c r="DC35" s="122">
        <f t="shared" si="35"/>
        <v>0</v>
      </c>
      <c r="DD35" s="122">
        <f t="shared" si="35"/>
        <v>0</v>
      </c>
      <c r="DE35" s="122">
        <f t="shared" si="35"/>
        <v>0</v>
      </c>
      <c r="DF35" s="122">
        <f t="shared" si="35"/>
        <v>0</v>
      </c>
      <c r="DG35" s="122">
        <f t="shared" si="35"/>
        <v>0</v>
      </c>
      <c r="DH35" s="122">
        <f t="shared" si="35"/>
        <v>0</v>
      </c>
      <c r="DI35" s="122">
        <f t="shared" si="35"/>
        <v>0</v>
      </c>
      <c r="DJ35" s="122">
        <f t="shared" si="35"/>
        <v>0</v>
      </c>
      <c r="DK35" s="122">
        <f t="shared" si="35"/>
        <v>0</v>
      </c>
      <c r="DL35" s="122">
        <f t="shared" si="35"/>
        <v>0</v>
      </c>
      <c r="DM35" s="122">
        <f t="shared" si="35"/>
        <v>0</v>
      </c>
      <c r="DN35" s="122">
        <f t="shared" si="35"/>
        <v>0</v>
      </c>
      <c r="DO35" s="122">
        <f t="shared" si="35"/>
        <v>0</v>
      </c>
      <c r="DP35" s="122">
        <f t="shared" si="35"/>
        <v>0</v>
      </c>
      <c r="DQ35" s="122">
        <f t="shared" si="35"/>
        <v>0</v>
      </c>
      <c r="DR35" s="122">
        <f t="shared" si="35"/>
        <v>0</v>
      </c>
      <c r="DS35" s="122">
        <f t="shared" si="35"/>
        <v>0</v>
      </c>
      <c r="DT35" s="122">
        <f t="shared" si="35"/>
        <v>0</v>
      </c>
      <c r="DU35" s="122">
        <f t="shared" si="35"/>
        <v>0</v>
      </c>
      <c r="DV35" s="122">
        <f t="shared" si="35"/>
        <v>0</v>
      </c>
      <c r="DW35" s="122">
        <f t="shared" si="35"/>
        <v>0</v>
      </c>
      <c r="DX35" s="122">
        <f t="shared" si="35"/>
        <v>0</v>
      </c>
      <c r="DY35" s="122">
        <f t="shared" si="35"/>
        <v>0</v>
      </c>
      <c r="DZ35" s="122">
        <f t="shared" si="35"/>
        <v>0</v>
      </c>
      <c r="EA35" s="122">
        <f t="shared" si="35"/>
        <v>0</v>
      </c>
      <c r="EB35" s="122">
        <f t="shared" si="35"/>
        <v>0</v>
      </c>
      <c r="EC35" s="122">
        <f t="shared" si="35"/>
        <v>0</v>
      </c>
      <c r="ED35" s="122">
        <f t="shared" si="35"/>
        <v>0</v>
      </c>
      <c r="EE35" s="122">
        <f t="shared" si="34"/>
        <v>0</v>
      </c>
      <c r="EF35" s="122">
        <f t="shared" si="34"/>
        <v>0</v>
      </c>
      <c r="EG35" s="122">
        <f t="shared" si="27"/>
        <v>0</v>
      </c>
      <c r="EH35" s="122">
        <f t="shared" si="27"/>
        <v>0</v>
      </c>
      <c r="EI35" s="122">
        <f t="shared" si="27"/>
        <v>0</v>
      </c>
    </row>
    <row r="36" spans="1:139" x14ac:dyDescent="0.35">
      <c r="A36" s="126" t="str">
        <f t="shared" si="28"/>
        <v>OK</v>
      </c>
      <c r="B36" s="16" t="s">
        <v>147</v>
      </c>
      <c r="C36" s="36">
        <f>D36*Revenue!$A$23</f>
        <v>0</v>
      </c>
      <c r="D36" s="116">
        <v>0</v>
      </c>
      <c r="E36" s="118">
        <v>1</v>
      </c>
      <c r="F36" s="118">
        <v>1</v>
      </c>
      <c r="G36" s="120">
        <f t="shared" si="29"/>
        <v>1</v>
      </c>
      <c r="H36" s="122">
        <f t="shared" si="30"/>
        <v>0</v>
      </c>
      <c r="I36" s="122">
        <f t="shared" si="30"/>
        <v>0</v>
      </c>
      <c r="J36" s="122">
        <f t="shared" si="30"/>
        <v>0</v>
      </c>
      <c r="K36" s="122">
        <f t="shared" si="30"/>
        <v>0</v>
      </c>
      <c r="L36" s="122">
        <f t="shared" si="30"/>
        <v>0</v>
      </c>
      <c r="M36" s="122">
        <f t="shared" si="30"/>
        <v>0</v>
      </c>
      <c r="N36" s="122">
        <f t="shared" si="30"/>
        <v>0</v>
      </c>
      <c r="O36" s="122">
        <f t="shared" si="30"/>
        <v>0</v>
      </c>
      <c r="P36" s="122">
        <f t="shared" si="30"/>
        <v>0</v>
      </c>
      <c r="Q36" s="122">
        <f t="shared" si="30"/>
        <v>0</v>
      </c>
      <c r="R36" s="122">
        <f t="shared" si="30"/>
        <v>0</v>
      </c>
      <c r="S36" s="122">
        <f t="shared" si="30"/>
        <v>0</v>
      </c>
      <c r="T36" s="122">
        <f t="shared" si="30"/>
        <v>0</v>
      </c>
      <c r="U36" s="122">
        <f t="shared" si="30"/>
        <v>0</v>
      </c>
      <c r="V36" s="122">
        <f t="shared" si="30"/>
        <v>0</v>
      </c>
      <c r="W36" s="122">
        <f t="shared" si="30"/>
        <v>0</v>
      </c>
      <c r="X36" s="122">
        <f t="shared" si="36"/>
        <v>0</v>
      </c>
      <c r="Y36" s="122">
        <f t="shared" si="36"/>
        <v>0</v>
      </c>
      <c r="Z36" s="122">
        <f t="shared" si="36"/>
        <v>0</v>
      </c>
      <c r="AA36" s="122">
        <f t="shared" si="36"/>
        <v>0</v>
      </c>
      <c r="AB36" s="122">
        <f t="shared" si="36"/>
        <v>0</v>
      </c>
      <c r="AC36" s="122">
        <f t="shared" si="36"/>
        <v>0</v>
      </c>
      <c r="AD36" s="122">
        <f t="shared" si="36"/>
        <v>0</v>
      </c>
      <c r="AE36" s="122">
        <f t="shared" si="36"/>
        <v>0</v>
      </c>
      <c r="AF36" s="122">
        <f t="shared" si="36"/>
        <v>0</v>
      </c>
      <c r="AG36" s="122">
        <f t="shared" si="36"/>
        <v>0</v>
      </c>
      <c r="AH36" s="122">
        <f t="shared" si="36"/>
        <v>0</v>
      </c>
      <c r="AI36" s="122">
        <f t="shared" si="36"/>
        <v>0</v>
      </c>
      <c r="AJ36" s="122">
        <f t="shared" si="36"/>
        <v>0</v>
      </c>
      <c r="AK36" s="122">
        <f t="shared" si="36"/>
        <v>0</v>
      </c>
      <c r="AL36" s="122">
        <f t="shared" si="36"/>
        <v>0</v>
      </c>
      <c r="AM36" s="122">
        <f t="shared" si="36"/>
        <v>0</v>
      </c>
      <c r="AN36" s="122">
        <f t="shared" si="37"/>
        <v>0</v>
      </c>
      <c r="AO36" s="122">
        <f t="shared" si="37"/>
        <v>0</v>
      </c>
      <c r="AP36" s="122">
        <f t="shared" si="37"/>
        <v>0</v>
      </c>
      <c r="AQ36" s="122">
        <f t="shared" si="37"/>
        <v>0</v>
      </c>
      <c r="AR36" s="122">
        <f t="shared" si="37"/>
        <v>0</v>
      </c>
      <c r="AS36" s="122">
        <f t="shared" si="37"/>
        <v>0</v>
      </c>
      <c r="AT36" s="122">
        <f t="shared" si="37"/>
        <v>0</v>
      </c>
      <c r="AU36" s="122">
        <f t="shared" si="37"/>
        <v>0</v>
      </c>
      <c r="AV36" s="122">
        <f t="shared" si="37"/>
        <v>0</v>
      </c>
      <c r="AW36" s="122">
        <f t="shared" si="37"/>
        <v>0</v>
      </c>
      <c r="AX36" s="122">
        <f t="shared" si="37"/>
        <v>0</v>
      </c>
      <c r="AY36" s="122">
        <f t="shared" si="37"/>
        <v>0</v>
      </c>
      <c r="AZ36" s="122">
        <f t="shared" si="37"/>
        <v>0</v>
      </c>
      <c r="BA36" s="122">
        <f t="shared" si="37"/>
        <v>0</v>
      </c>
      <c r="BB36" s="122">
        <f t="shared" si="37"/>
        <v>0</v>
      </c>
      <c r="BC36" s="122">
        <f t="shared" si="37"/>
        <v>0</v>
      </c>
      <c r="BD36" s="122">
        <f t="shared" si="38"/>
        <v>0</v>
      </c>
      <c r="BE36" s="122">
        <f t="shared" si="38"/>
        <v>0</v>
      </c>
      <c r="BF36" s="122">
        <f t="shared" si="38"/>
        <v>0</v>
      </c>
      <c r="BG36" s="122">
        <f t="shared" si="38"/>
        <v>0</v>
      </c>
      <c r="BH36" s="122">
        <f t="shared" si="38"/>
        <v>0</v>
      </c>
      <c r="BI36" s="122">
        <f t="shared" si="38"/>
        <v>0</v>
      </c>
      <c r="BJ36" s="122">
        <f t="shared" si="38"/>
        <v>0</v>
      </c>
      <c r="BK36" s="122">
        <f t="shared" si="38"/>
        <v>0</v>
      </c>
      <c r="BL36" s="122">
        <f t="shared" si="38"/>
        <v>0</v>
      </c>
      <c r="BM36" s="122">
        <f t="shared" si="38"/>
        <v>0</v>
      </c>
      <c r="BN36" s="122">
        <f t="shared" si="38"/>
        <v>0</v>
      </c>
      <c r="BO36" s="122">
        <f t="shared" si="38"/>
        <v>0</v>
      </c>
      <c r="BP36" s="122">
        <f t="shared" si="38"/>
        <v>0</v>
      </c>
      <c r="BQ36" s="122">
        <f t="shared" si="38"/>
        <v>0</v>
      </c>
      <c r="BR36" s="122">
        <f t="shared" si="38"/>
        <v>0</v>
      </c>
      <c r="BS36" s="122">
        <f t="shared" si="38"/>
        <v>0</v>
      </c>
      <c r="BT36" s="122">
        <f t="shared" si="39"/>
        <v>0</v>
      </c>
      <c r="BU36" s="122">
        <f t="shared" si="39"/>
        <v>0</v>
      </c>
      <c r="BV36" s="122">
        <f t="shared" si="39"/>
        <v>0</v>
      </c>
      <c r="BW36" s="122">
        <f t="shared" si="39"/>
        <v>0</v>
      </c>
      <c r="BX36" s="122">
        <f t="shared" si="39"/>
        <v>0</v>
      </c>
      <c r="BY36" s="122">
        <f t="shared" si="39"/>
        <v>0</v>
      </c>
      <c r="BZ36" s="122">
        <f t="shared" si="39"/>
        <v>0</v>
      </c>
      <c r="CA36" s="122">
        <f t="shared" si="39"/>
        <v>0</v>
      </c>
      <c r="CB36" s="122">
        <f t="shared" si="39"/>
        <v>0</v>
      </c>
      <c r="CC36" s="122">
        <f t="shared" si="39"/>
        <v>0</v>
      </c>
      <c r="CD36" s="122">
        <f t="shared" si="39"/>
        <v>0</v>
      </c>
      <c r="CE36" s="122">
        <f t="shared" si="39"/>
        <v>0</v>
      </c>
      <c r="CF36" s="122">
        <f t="shared" si="39"/>
        <v>0</v>
      </c>
      <c r="CG36" s="122">
        <f t="shared" si="39"/>
        <v>0</v>
      </c>
      <c r="CH36" s="122">
        <f t="shared" si="39"/>
        <v>0</v>
      </c>
      <c r="CI36" s="122">
        <f t="shared" si="35"/>
        <v>0</v>
      </c>
      <c r="CJ36" s="122">
        <f t="shared" si="35"/>
        <v>0</v>
      </c>
      <c r="CK36" s="122">
        <f t="shared" si="35"/>
        <v>0</v>
      </c>
      <c r="CL36" s="122">
        <f t="shared" si="35"/>
        <v>0</v>
      </c>
      <c r="CM36" s="122">
        <f t="shared" si="35"/>
        <v>0</v>
      </c>
      <c r="CN36" s="122">
        <f t="shared" si="35"/>
        <v>0</v>
      </c>
      <c r="CO36" s="122">
        <f t="shared" si="35"/>
        <v>0</v>
      </c>
      <c r="CP36" s="122">
        <f t="shared" si="35"/>
        <v>0</v>
      </c>
      <c r="CQ36" s="122">
        <f t="shared" si="35"/>
        <v>0</v>
      </c>
      <c r="CR36" s="122">
        <f t="shared" si="35"/>
        <v>0</v>
      </c>
      <c r="CS36" s="122">
        <f t="shared" si="35"/>
        <v>0</v>
      </c>
      <c r="CT36" s="122">
        <f t="shared" si="35"/>
        <v>0</v>
      </c>
      <c r="CU36" s="122">
        <f t="shared" si="35"/>
        <v>0</v>
      </c>
      <c r="CV36" s="122">
        <f t="shared" si="35"/>
        <v>0</v>
      </c>
      <c r="CW36" s="122">
        <f t="shared" si="35"/>
        <v>0</v>
      </c>
      <c r="CX36" s="122">
        <f t="shared" si="35"/>
        <v>0</v>
      </c>
      <c r="CY36" s="122">
        <f t="shared" si="35"/>
        <v>0</v>
      </c>
      <c r="CZ36" s="122">
        <f t="shared" si="35"/>
        <v>0</v>
      </c>
      <c r="DA36" s="122">
        <f t="shared" si="35"/>
        <v>0</v>
      </c>
      <c r="DB36" s="122">
        <f t="shared" si="35"/>
        <v>0</v>
      </c>
      <c r="DC36" s="122">
        <f t="shared" si="35"/>
        <v>0</v>
      </c>
      <c r="DD36" s="122">
        <f t="shared" si="35"/>
        <v>0</v>
      </c>
      <c r="DE36" s="122">
        <f t="shared" si="35"/>
        <v>0</v>
      </c>
      <c r="DF36" s="122">
        <f t="shared" si="35"/>
        <v>0</v>
      </c>
      <c r="DG36" s="122">
        <f t="shared" si="35"/>
        <v>0</v>
      </c>
      <c r="DH36" s="122">
        <f t="shared" si="35"/>
        <v>0</v>
      </c>
      <c r="DI36" s="122">
        <f t="shared" si="35"/>
        <v>0</v>
      </c>
      <c r="DJ36" s="122">
        <f t="shared" si="35"/>
        <v>0</v>
      </c>
      <c r="DK36" s="122">
        <f t="shared" si="35"/>
        <v>0</v>
      </c>
      <c r="DL36" s="122">
        <f t="shared" si="35"/>
        <v>0</v>
      </c>
      <c r="DM36" s="122">
        <f t="shared" si="35"/>
        <v>0</v>
      </c>
      <c r="DN36" s="122">
        <f t="shared" si="35"/>
        <v>0</v>
      </c>
      <c r="DO36" s="122">
        <f t="shared" si="35"/>
        <v>0</v>
      </c>
      <c r="DP36" s="122">
        <f t="shared" si="35"/>
        <v>0</v>
      </c>
      <c r="DQ36" s="122">
        <f t="shared" si="35"/>
        <v>0</v>
      </c>
      <c r="DR36" s="122">
        <f t="shared" si="35"/>
        <v>0</v>
      </c>
      <c r="DS36" s="122">
        <f t="shared" si="35"/>
        <v>0</v>
      </c>
      <c r="DT36" s="122">
        <f t="shared" si="35"/>
        <v>0</v>
      </c>
      <c r="DU36" s="122">
        <f t="shared" si="35"/>
        <v>0</v>
      </c>
      <c r="DV36" s="122">
        <f t="shared" si="35"/>
        <v>0</v>
      </c>
      <c r="DW36" s="122">
        <f t="shared" si="35"/>
        <v>0</v>
      </c>
      <c r="DX36" s="122">
        <f t="shared" si="35"/>
        <v>0</v>
      </c>
      <c r="DY36" s="122">
        <f t="shared" si="35"/>
        <v>0</v>
      </c>
      <c r="DZ36" s="122">
        <f t="shared" si="35"/>
        <v>0</v>
      </c>
      <c r="EA36" s="122">
        <f t="shared" si="35"/>
        <v>0</v>
      </c>
      <c r="EB36" s="122">
        <f t="shared" si="35"/>
        <v>0</v>
      </c>
      <c r="EC36" s="122">
        <f t="shared" si="35"/>
        <v>0</v>
      </c>
      <c r="ED36" s="122">
        <f t="shared" si="35"/>
        <v>0</v>
      </c>
      <c r="EE36" s="122">
        <f t="shared" si="34"/>
        <v>0</v>
      </c>
      <c r="EF36" s="122">
        <f t="shared" si="34"/>
        <v>0</v>
      </c>
      <c r="EG36" s="122">
        <f t="shared" si="27"/>
        <v>0</v>
      </c>
      <c r="EH36" s="122">
        <f t="shared" si="27"/>
        <v>0</v>
      </c>
      <c r="EI36" s="122">
        <f t="shared" si="27"/>
        <v>0</v>
      </c>
    </row>
    <row r="37" spans="1:139" x14ac:dyDescent="0.35">
      <c r="A37" s="126" t="str">
        <f t="shared" si="28"/>
        <v>OK</v>
      </c>
      <c r="B37" s="16" t="s">
        <v>147</v>
      </c>
      <c r="C37" s="36">
        <f>D37*Revenue!$A$23</f>
        <v>0</v>
      </c>
      <c r="D37" s="116">
        <v>0</v>
      </c>
      <c r="E37" s="118">
        <v>1</v>
      </c>
      <c r="F37" s="118">
        <v>1</v>
      </c>
      <c r="G37" s="120">
        <f t="shared" si="29"/>
        <v>1</v>
      </c>
      <c r="H37" s="122">
        <f t="shared" si="30"/>
        <v>0</v>
      </c>
      <c r="I37" s="122">
        <f t="shared" si="30"/>
        <v>0</v>
      </c>
      <c r="J37" s="122">
        <f t="shared" si="30"/>
        <v>0</v>
      </c>
      <c r="K37" s="122">
        <f t="shared" si="30"/>
        <v>0</v>
      </c>
      <c r="L37" s="122">
        <f t="shared" si="30"/>
        <v>0</v>
      </c>
      <c r="M37" s="122">
        <f t="shared" si="30"/>
        <v>0</v>
      </c>
      <c r="N37" s="122">
        <f t="shared" si="30"/>
        <v>0</v>
      </c>
      <c r="O37" s="122">
        <f t="shared" si="30"/>
        <v>0</v>
      </c>
      <c r="P37" s="122">
        <f t="shared" si="30"/>
        <v>0</v>
      </c>
      <c r="Q37" s="122">
        <f t="shared" si="30"/>
        <v>0</v>
      </c>
      <c r="R37" s="122">
        <f t="shared" si="30"/>
        <v>0</v>
      </c>
      <c r="S37" s="122">
        <f t="shared" si="30"/>
        <v>0</v>
      </c>
      <c r="T37" s="122">
        <f t="shared" si="30"/>
        <v>0</v>
      </c>
      <c r="U37" s="122">
        <f t="shared" si="30"/>
        <v>0</v>
      </c>
      <c r="V37" s="122">
        <f t="shared" si="30"/>
        <v>0</v>
      </c>
      <c r="W37" s="122">
        <f t="shared" si="30"/>
        <v>0</v>
      </c>
      <c r="X37" s="122">
        <f t="shared" si="36"/>
        <v>0</v>
      </c>
      <c r="Y37" s="122">
        <f t="shared" si="36"/>
        <v>0</v>
      </c>
      <c r="Z37" s="122">
        <f t="shared" si="36"/>
        <v>0</v>
      </c>
      <c r="AA37" s="122">
        <f t="shared" si="36"/>
        <v>0</v>
      </c>
      <c r="AB37" s="122">
        <f t="shared" si="36"/>
        <v>0</v>
      </c>
      <c r="AC37" s="122">
        <f t="shared" si="36"/>
        <v>0</v>
      </c>
      <c r="AD37" s="122">
        <f t="shared" si="36"/>
        <v>0</v>
      </c>
      <c r="AE37" s="122">
        <f t="shared" si="36"/>
        <v>0</v>
      </c>
      <c r="AF37" s="122">
        <f t="shared" si="36"/>
        <v>0</v>
      </c>
      <c r="AG37" s="122">
        <f t="shared" si="36"/>
        <v>0</v>
      </c>
      <c r="AH37" s="122">
        <f t="shared" si="36"/>
        <v>0</v>
      </c>
      <c r="AI37" s="122">
        <f t="shared" si="36"/>
        <v>0</v>
      </c>
      <c r="AJ37" s="122">
        <f t="shared" si="36"/>
        <v>0</v>
      </c>
      <c r="AK37" s="122">
        <f t="shared" si="36"/>
        <v>0</v>
      </c>
      <c r="AL37" s="122">
        <f t="shared" si="36"/>
        <v>0</v>
      </c>
      <c r="AM37" s="122">
        <f t="shared" si="36"/>
        <v>0</v>
      </c>
      <c r="AN37" s="122">
        <f t="shared" si="37"/>
        <v>0</v>
      </c>
      <c r="AO37" s="122">
        <f t="shared" si="37"/>
        <v>0</v>
      </c>
      <c r="AP37" s="122">
        <f t="shared" si="37"/>
        <v>0</v>
      </c>
      <c r="AQ37" s="122">
        <f t="shared" si="37"/>
        <v>0</v>
      </c>
      <c r="AR37" s="122">
        <f t="shared" si="37"/>
        <v>0</v>
      </c>
      <c r="AS37" s="122">
        <f t="shared" si="37"/>
        <v>0</v>
      </c>
      <c r="AT37" s="122">
        <f t="shared" si="37"/>
        <v>0</v>
      </c>
      <c r="AU37" s="122">
        <f t="shared" si="37"/>
        <v>0</v>
      </c>
      <c r="AV37" s="122">
        <f t="shared" si="37"/>
        <v>0</v>
      </c>
      <c r="AW37" s="122">
        <f t="shared" si="37"/>
        <v>0</v>
      </c>
      <c r="AX37" s="122">
        <f t="shared" si="37"/>
        <v>0</v>
      </c>
      <c r="AY37" s="122">
        <f t="shared" si="37"/>
        <v>0</v>
      </c>
      <c r="AZ37" s="122">
        <f t="shared" si="37"/>
        <v>0</v>
      </c>
      <c r="BA37" s="122">
        <f t="shared" si="37"/>
        <v>0</v>
      </c>
      <c r="BB37" s="122">
        <f t="shared" si="37"/>
        <v>0</v>
      </c>
      <c r="BC37" s="122">
        <f t="shared" si="37"/>
        <v>0</v>
      </c>
      <c r="BD37" s="122">
        <f t="shared" si="38"/>
        <v>0</v>
      </c>
      <c r="BE37" s="122">
        <f t="shared" si="38"/>
        <v>0</v>
      </c>
      <c r="BF37" s="122">
        <f t="shared" si="38"/>
        <v>0</v>
      </c>
      <c r="BG37" s="122">
        <f t="shared" si="38"/>
        <v>0</v>
      </c>
      <c r="BH37" s="122">
        <f t="shared" si="38"/>
        <v>0</v>
      </c>
      <c r="BI37" s="122">
        <f t="shared" si="38"/>
        <v>0</v>
      </c>
      <c r="BJ37" s="122">
        <f t="shared" si="38"/>
        <v>0</v>
      </c>
      <c r="BK37" s="122">
        <f t="shared" si="38"/>
        <v>0</v>
      </c>
      <c r="BL37" s="122">
        <f t="shared" si="38"/>
        <v>0</v>
      </c>
      <c r="BM37" s="122">
        <f t="shared" si="38"/>
        <v>0</v>
      </c>
      <c r="BN37" s="122">
        <f t="shared" si="38"/>
        <v>0</v>
      </c>
      <c r="BO37" s="122">
        <f t="shared" si="38"/>
        <v>0</v>
      </c>
      <c r="BP37" s="122">
        <f t="shared" si="38"/>
        <v>0</v>
      </c>
      <c r="BQ37" s="122">
        <f t="shared" si="38"/>
        <v>0</v>
      </c>
      <c r="BR37" s="122">
        <f t="shared" si="38"/>
        <v>0</v>
      </c>
      <c r="BS37" s="122">
        <f t="shared" si="38"/>
        <v>0</v>
      </c>
      <c r="BT37" s="122">
        <f t="shared" si="39"/>
        <v>0</v>
      </c>
      <c r="BU37" s="122">
        <f t="shared" si="39"/>
        <v>0</v>
      </c>
      <c r="BV37" s="122">
        <f t="shared" si="39"/>
        <v>0</v>
      </c>
      <c r="BW37" s="122">
        <f t="shared" si="39"/>
        <v>0</v>
      </c>
      <c r="BX37" s="122">
        <f t="shared" si="39"/>
        <v>0</v>
      </c>
      <c r="BY37" s="122">
        <f t="shared" si="39"/>
        <v>0</v>
      </c>
      <c r="BZ37" s="122">
        <f t="shared" si="39"/>
        <v>0</v>
      </c>
      <c r="CA37" s="122">
        <f t="shared" si="39"/>
        <v>0</v>
      </c>
      <c r="CB37" s="122">
        <f t="shared" si="39"/>
        <v>0</v>
      </c>
      <c r="CC37" s="122">
        <f t="shared" si="39"/>
        <v>0</v>
      </c>
      <c r="CD37" s="122">
        <f t="shared" si="39"/>
        <v>0</v>
      </c>
      <c r="CE37" s="122">
        <f t="shared" si="39"/>
        <v>0</v>
      </c>
      <c r="CF37" s="122">
        <f t="shared" si="39"/>
        <v>0</v>
      </c>
      <c r="CG37" s="122">
        <f t="shared" si="39"/>
        <v>0</v>
      </c>
      <c r="CH37" s="122">
        <f t="shared" si="39"/>
        <v>0</v>
      </c>
      <c r="CI37" s="122">
        <f t="shared" si="35"/>
        <v>0</v>
      </c>
      <c r="CJ37" s="122">
        <f t="shared" si="35"/>
        <v>0</v>
      </c>
      <c r="CK37" s="122">
        <f t="shared" si="35"/>
        <v>0</v>
      </c>
      <c r="CL37" s="122">
        <f t="shared" si="35"/>
        <v>0</v>
      </c>
      <c r="CM37" s="122">
        <f t="shared" si="35"/>
        <v>0</v>
      </c>
      <c r="CN37" s="122">
        <f t="shared" si="35"/>
        <v>0</v>
      </c>
      <c r="CO37" s="122">
        <f t="shared" si="35"/>
        <v>0</v>
      </c>
      <c r="CP37" s="122">
        <f t="shared" si="35"/>
        <v>0</v>
      </c>
      <c r="CQ37" s="122">
        <f t="shared" si="35"/>
        <v>0</v>
      </c>
      <c r="CR37" s="122">
        <f t="shared" si="35"/>
        <v>0</v>
      </c>
      <c r="CS37" s="122">
        <f t="shared" si="35"/>
        <v>0</v>
      </c>
      <c r="CT37" s="122">
        <f t="shared" si="35"/>
        <v>0</v>
      </c>
      <c r="CU37" s="122">
        <f t="shared" si="35"/>
        <v>0</v>
      </c>
      <c r="CV37" s="122">
        <f t="shared" si="35"/>
        <v>0</v>
      </c>
      <c r="CW37" s="122">
        <f t="shared" si="35"/>
        <v>0</v>
      </c>
      <c r="CX37" s="122">
        <f t="shared" ref="CX37:DM40" si="40">IF(AND(CX$1&gt;=$E37,CX$1&lt;=$F37),$C37/$G37,0)</f>
        <v>0</v>
      </c>
      <c r="CY37" s="122">
        <f t="shared" si="40"/>
        <v>0</v>
      </c>
      <c r="CZ37" s="122">
        <f t="shared" si="40"/>
        <v>0</v>
      </c>
      <c r="DA37" s="122">
        <f t="shared" si="40"/>
        <v>0</v>
      </c>
      <c r="DB37" s="122">
        <f t="shared" si="40"/>
        <v>0</v>
      </c>
      <c r="DC37" s="122">
        <f t="shared" si="40"/>
        <v>0</v>
      </c>
      <c r="DD37" s="122">
        <f t="shared" si="40"/>
        <v>0</v>
      </c>
      <c r="DE37" s="122">
        <f t="shared" si="40"/>
        <v>0</v>
      </c>
      <c r="DF37" s="122">
        <f t="shared" si="40"/>
        <v>0</v>
      </c>
      <c r="DG37" s="122">
        <f t="shared" si="40"/>
        <v>0</v>
      </c>
      <c r="DH37" s="122">
        <f t="shared" si="40"/>
        <v>0</v>
      </c>
      <c r="DI37" s="122">
        <f t="shared" si="40"/>
        <v>0</v>
      </c>
      <c r="DJ37" s="122">
        <f t="shared" si="40"/>
        <v>0</v>
      </c>
      <c r="DK37" s="122">
        <f t="shared" si="40"/>
        <v>0</v>
      </c>
      <c r="DL37" s="122">
        <f t="shared" si="40"/>
        <v>0</v>
      </c>
      <c r="DM37" s="122">
        <f t="shared" si="40"/>
        <v>0</v>
      </c>
      <c r="DN37" s="122">
        <f t="shared" ref="DN37:EC40" si="41">IF(AND(DN$1&gt;=$E37,DN$1&lt;=$F37),$C37/$G37,0)</f>
        <v>0</v>
      </c>
      <c r="DO37" s="122">
        <f t="shared" si="41"/>
        <v>0</v>
      </c>
      <c r="DP37" s="122">
        <f t="shared" si="41"/>
        <v>0</v>
      </c>
      <c r="DQ37" s="122">
        <f t="shared" si="41"/>
        <v>0</v>
      </c>
      <c r="DR37" s="122">
        <f t="shared" si="41"/>
        <v>0</v>
      </c>
      <c r="DS37" s="122">
        <f t="shared" si="41"/>
        <v>0</v>
      </c>
      <c r="DT37" s="122">
        <f t="shared" si="41"/>
        <v>0</v>
      </c>
      <c r="DU37" s="122">
        <f t="shared" si="41"/>
        <v>0</v>
      </c>
      <c r="DV37" s="122">
        <f t="shared" si="41"/>
        <v>0</v>
      </c>
      <c r="DW37" s="122">
        <f t="shared" si="41"/>
        <v>0</v>
      </c>
      <c r="DX37" s="122">
        <f t="shared" si="41"/>
        <v>0</v>
      </c>
      <c r="DY37" s="122">
        <f t="shared" si="41"/>
        <v>0</v>
      </c>
      <c r="DZ37" s="122">
        <f t="shared" si="41"/>
        <v>0</v>
      </c>
      <c r="EA37" s="122">
        <f t="shared" si="41"/>
        <v>0</v>
      </c>
      <c r="EB37" s="122">
        <f t="shared" si="41"/>
        <v>0</v>
      </c>
      <c r="EC37" s="122">
        <f t="shared" si="41"/>
        <v>0</v>
      </c>
      <c r="ED37" s="122">
        <f t="shared" ref="ED37:ED40" si="42">IF(AND(ED$1&gt;=$E37,ED$1&lt;=$F37),$C37/$G37,0)</f>
        <v>0</v>
      </c>
      <c r="EE37" s="122">
        <f t="shared" si="34"/>
        <v>0</v>
      </c>
      <c r="EF37" s="122">
        <f t="shared" si="34"/>
        <v>0</v>
      </c>
      <c r="EG37" s="122">
        <f t="shared" si="27"/>
        <v>0</v>
      </c>
      <c r="EH37" s="122">
        <f t="shared" si="27"/>
        <v>0</v>
      </c>
      <c r="EI37" s="122">
        <f t="shared" si="27"/>
        <v>0</v>
      </c>
    </row>
    <row r="38" spans="1:139" x14ac:dyDescent="0.35">
      <c r="A38" s="126" t="str">
        <f t="shared" si="28"/>
        <v>OK</v>
      </c>
      <c r="B38" s="16" t="s">
        <v>147</v>
      </c>
      <c r="C38" s="36">
        <f>D38*Revenue!$A$23</f>
        <v>0</v>
      </c>
      <c r="D38" s="116">
        <v>0</v>
      </c>
      <c r="E38" s="118">
        <v>1</v>
      </c>
      <c r="F38" s="118">
        <v>1</v>
      </c>
      <c r="G38" s="120">
        <f t="shared" si="29"/>
        <v>1</v>
      </c>
      <c r="H38" s="122">
        <f t="shared" si="30"/>
        <v>0</v>
      </c>
      <c r="I38" s="122">
        <f t="shared" si="30"/>
        <v>0</v>
      </c>
      <c r="J38" s="122">
        <f t="shared" si="30"/>
        <v>0</v>
      </c>
      <c r="K38" s="122">
        <f t="shared" si="30"/>
        <v>0</v>
      </c>
      <c r="L38" s="122">
        <f t="shared" si="30"/>
        <v>0</v>
      </c>
      <c r="M38" s="122">
        <f t="shared" si="30"/>
        <v>0</v>
      </c>
      <c r="N38" s="122">
        <f t="shared" si="30"/>
        <v>0</v>
      </c>
      <c r="O38" s="122">
        <f t="shared" si="30"/>
        <v>0</v>
      </c>
      <c r="P38" s="122">
        <f t="shared" si="30"/>
        <v>0</v>
      </c>
      <c r="Q38" s="122">
        <f t="shared" si="30"/>
        <v>0</v>
      </c>
      <c r="R38" s="122">
        <f t="shared" si="30"/>
        <v>0</v>
      </c>
      <c r="S38" s="122">
        <f t="shared" si="30"/>
        <v>0</v>
      </c>
      <c r="T38" s="122">
        <f t="shared" si="30"/>
        <v>0</v>
      </c>
      <c r="U38" s="122">
        <f t="shared" si="30"/>
        <v>0</v>
      </c>
      <c r="V38" s="122">
        <f t="shared" si="30"/>
        <v>0</v>
      </c>
      <c r="W38" s="122">
        <f t="shared" si="30"/>
        <v>0</v>
      </c>
      <c r="X38" s="122">
        <f t="shared" si="36"/>
        <v>0</v>
      </c>
      <c r="Y38" s="122">
        <f t="shared" si="36"/>
        <v>0</v>
      </c>
      <c r="Z38" s="122">
        <f t="shared" si="36"/>
        <v>0</v>
      </c>
      <c r="AA38" s="122">
        <f t="shared" si="36"/>
        <v>0</v>
      </c>
      <c r="AB38" s="122">
        <f t="shared" si="36"/>
        <v>0</v>
      </c>
      <c r="AC38" s="122">
        <f t="shared" si="36"/>
        <v>0</v>
      </c>
      <c r="AD38" s="122">
        <f t="shared" si="36"/>
        <v>0</v>
      </c>
      <c r="AE38" s="122">
        <f t="shared" si="36"/>
        <v>0</v>
      </c>
      <c r="AF38" s="122">
        <f t="shared" si="36"/>
        <v>0</v>
      </c>
      <c r="AG38" s="122">
        <f t="shared" si="36"/>
        <v>0</v>
      </c>
      <c r="AH38" s="122">
        <f t="shared" si="36"/>
        <v>0</v>
      </c>
      <c r="AI38" s="122">
        <f t="shared" si="36"/>
        <v>0</v>
      </c>
      <c r="AJ38" s="122">
        <f t="shared" si="36"/>
        <v>0</v>
      </c>
      <c r="AK38" s="122">
        <f t="shared" si="36"/>
        <v>0</v>
      </c>
      <c r="AL38" s="122">
        <f t="shared" si="36"/>
        <v>0</v>
      </c>
      <c r="AM38" s="122">
        <f t="shared" si="36"/>
        <v>0</v>
      </c>
      <c r="AN38" s="122">
        <f t="shared" si="37"/>
        <v>0</v>
      </c>
      <c r="AO38" s="122">
        <f t="shared" si="37"/>
        <v>0</v>
      </c>
      <c r="AP38" s="122">
        <f t="shared" si="37"/>
        <v>0</v>
      </c>
      <c r="AQ38" s="122">
        <f t="shared" si="37"/>
        <v>0</v>
      </c>
      <c r="AR38" s="122">
        <f t="shared" si="37"/>
        <v>0</v>
      </c>
      <c r="AS38" s="122">
        <f t="shared" si="37"/>
        <v>0</v>
      </c>
      <c r="AT38" s="122">
        <f t="shared" si="37"/>
        <v>0</v>
      </c>
      <c r="AU38" s="122">
        <f t="shared" si="37"/>
        <v>0</v>
      </c>
      <c r="AV38" s="122">
        <f t="shared" si="37"/>
        <v>0</v>
      </c>
      <c r="AW38" s="122">
        <f t="shared" si="37"/>
        <v>0</v>
      </c>
      <c r="AX38" s="122">
        <f t="shared" si="37"/>
        <v>0</v>
      </c>
      <c r="AY38" s="122">
        <f t="shared" si="37"/>
        <v>0</v>
      </c>
      <c r="AZ38" s="122">
        <f t="shared" si="37"/>
        <v>0</v>
      </c>
      <c r="BA38" s="122">
        <f t="shared" si="37"/>
        <v>0</v>
      </c>
      <c r="BB38" s="122">
        <f t="shared" si="37"/>
        <v>0</v>
      </c>
      <c r="BC38" s="122">
        <f t="shared" si="37"/>
        <v>0</v>
      </c>
      <c r="BD38" s="122">
        <f t="shared" si="38"/>
        <v>0</v>
      </c>
      <c r="BE38" s="122">
        <f t="shared" si="38"/>
        <v>0</v>
      </c>
      <c r="BF38" s="122">
        <f t="shared" si="38"/>
        <v>0</v>
      </c>
      <c r="BG38" s="122">
        <f t="shared" si="38"/>
        <v>0</v>
      </c>
      <c r="BH38" s="122">
        <f t="shared" si="38"/>
        <v>0</v>
      </c>
      <c r="BI38" s="122">
        <f t="shared" si="38"/>
        <v>0</v>
      </c>
      <c r="BJ38" s="122">
        <f t="shared" si="38"/>
        <v>0</v>
      </c>
      <c r="BK38" s="122">
        <f t="shared" si="38"/>
        <v>0</v>
      </c>
      <c r="BL38" s="122">
        <f t="shared" si="38"/>
        <v>0</v>
      </c>
      <c r="BM38" s="122">
        <f t="shared" si="38"/>
        <v>0</v>
      </c>
      <c r="BN38" s="122">
        <f t="shared" si="38"/>
        <v>0</v>
      </c>
      <c r="BO38" s="122">
        <f t="shared" si="38"/>
        <v>0</v>
      </c>
      <c r="BP38" s="122">
        <f t="shared" si="38"/>
        <v>0</v>
      </c>
      <c r="BQ38" s="122">
        <f t="shared" si="38"/>
        <v>0</v>
      </c>
      <c r="BR38" s="122">
        <f t="shared" si="38"/>
        <v>0</v>
      </c>
      <c r="BS38" s="122">
        <f t="shared" si="38"/>
        <v>0</v>
      </c>
      <c r="BT38" s="122">
        <f t="shared" si="39"/>
        <v>0</v>
      </c>
      <c r="BU38" s="122">
        <f t="shared" si="39"/>
        <v>0</v>
      </c>
      <c r="BV38" s="122">
        <f t="shared" si="39"/>
        <v>0</v>
      </c>
      <c r="BW38" s="122">
        <f t="shared" si="39"/>
        <v>0</v>
      </c>
      <c r="BX38" s="122">
        <f t="shared" si="39"/>
        <v>0</v>
      </c>
      <c r="BY38" s="122">
        <f t="shared" si="39"/>
        <v>0</v>
      </c>
      <c r="BZ38" s="122">
        <f t="shared" si="39"/>
        <v>0</v>
      </c>
      <c r="CA38" s="122">
        <f t="shared" si="39"/>
        <v>0</v>
      </c>
      <c r="CB38" s="122">
        <f t="shared" si="39"/>
        <v>0</v>
      </c>
      <c r="CC38" s="122">
        <f t="shared" si="39"/>
        <v>0</v>
      </c>
      <c r="CD38" s="122">
        <f t="shared" si="39"/>
        <v>0</v>
      </c>
      <c r="CE38" s="122">
        <f t="shared" si="39"/>
        <v>0</v>
      </c>
      <c r="CF38" s="122">
        <f t="shared" si="39"/>
        <v>0</v>
      </c>
      <c r="CG38" s="122">
        <f t="shared" si="39"/>
        <v>0</v>
      </c>
      <c r="CH38" s="122">
        <f t="shared" si="39"/>
        <v>0</v>
      </c>
      <c r="CI38" s="122">
        <f t="shared" si="39"/>
        <v>0</v>
      </c>
      <c r="CJ38" s="122">
        <f t="shared" ref="CJ38:CX40" si="43">IF(AND(CJ$1&gt;=$E38,CJ$1&lt;=$F38),$C38/$G38,0)</f>
        <v>0</v>
      </c>
      <c r="CK38" s="122">
        <f t="shared" si="43"/>
        <v>0</v>
      </c>
      <c r="CL38" s="122">
        <f t="shared" si="43"/>
        <v>0</v>
      </c>
      <c r="CM38" s="122">
        <f t="shared" si="43"/>
        <v>0</v>
      </c>
      <c r="CN38" s="122">
        <f t="shared" si="43"/>
        <v>0</v>
      </c>
      <c r="CO38" s="122">
        <f t="shared" si="43"/>
        <v>0</v>
      </c>
      <c r="CP38" s="122">
        <f t="shared" si="43"/>
        <v>0</v>
      </c>
      <c r="CQ38" s="122">
        <f t="shared" si="43"/>
        <v>0</v>
      </c>
      <c r="CR38" s="122">
        <f t="shared" si="43"/>
        <v>0</v>
      </c>
      <c r="CS38" s="122">
        <f t="shared" si="43"/>
        <v>0</v>
      </c>
      <c r="CT38" s="122">
        <f t="shared" si="43"/>
        <v>0</v>
      </c>
      <c r="CU38" s="122">
        <f t="shared" si="43"/>
        <v>0</v>
      </c>
      <c r="CV38" s="122">
        <f t="shared" si="43"/>
        <v>0</v>
      </c>
      <c r="CW38" s="122">
        <f t="shared" si="43"/>
        <v>0</v>
      </c>
      <c r="CX38" s="122">
        <f t="shared" si="43"/>
        <v>0</v>
      </c>
      <c r="CY38" s="122">
        <f t="shared" si="40"/>
        <v>0</v>
      </c>
      <c r="CZ38" s="122">
        <f t="shared" si="40"/>
        <v>0</v>
      </c>
      <c r="DA38" s="122">
        <f t="shared" si="40"/>
        <v>0</v>
      </c>
      <c r="DB38" s="122">
        <f t="shared" si="40"/>
        <v>0</v>
      </c>
      <c r="DC38" s="122">
        <f t="shared" si="40"/>
        <v>0</v>
      </c>
      <c r="DD38" s="122">
        <f t="shared" si="40"/>
        <v>0</v>
      </c>
      <c r="DE38" s="122">
        <f t="shared" si="40"/>
        <v>0</v>
      </c>
      <c r="DF38" s="122">
        <f t="shared" si="40"/>
        <v>0</v>
      </c>
      <c r="DG38" s="122">
        <f t="shared" si="40"/>
        <v>0</v>
      </c>
      <c r="DH38" s="122">
        <f t="shared" si="40"/>
        <v>0</v>
      </c>
      <c r="DI38" s="122">
        <f t="shared" si="40"/>
        <v>0</v>
      </c>
      <c r="DJ38" s="122">
        <f t="shared" si="40"/>
        <v>0</v>
      </c>
      <c r="DK38" s="122">
        <f t="shared" si="40"/>
        <v>0</v>
      </c>
      <c r="DL38" s="122">
        <f t="shared" si="40"/>
        <v>0</v>
      </c>
      <c r="DM38" s="122">
        <f t="shared" si="40"/>
        <v>0</v>
      </c>
      <c r="DN38" s="122">
        <f t="shared" si="41"/>
        <v>0</v>
      </c>
      <c r="DO38" s="122">
        <f t="shared" si="41"/>
        <v>0</v>
      </c>
      <c r="DP38" s="122">
        <f t="shared" si="41"/>
        <v>0</v>
      </c>
      <c r="DQ38" s="122">
        <f t="shared" si="41"/>
        <v>0</v>
      </c>
      <c r="DR38" s="122">
        <f t="shared" si="41"/>
        <v>0</v>
      </c>
      <c r="DS38" s="122">
        <f t="shared" si="41"/>
        <v>0</v>
      </c>
      <c r="DT38" s="122">
        <f t="shared" si="41"/>
        <v>0</v>
      </c>
      <c r="DU38" s="122">
        <f t="shared" si="41"/>
        <v>0</v>
      </c>
      <c r="DV38" s="122">
        <f t="shared" si="41"/>
        <v>0</v>
      </c>
      <c r="DW38" s="122">
        <f t="shared" si="41"/>
        <v>0</v>
      </c>
      <c r="DX38" s="122">
        <f t="shared" si="41"/>
        <v>0</v>
      </c>
      <c r="DY38" s="122">
        <f t="shared" si="41"/>
        <v>0</v>
      </c>
      <c r="DZ38" s="122">
        <f t="shared" si="41"/>
        <v>0</v>
      </c>
      <c r="EA38" s="122">
        <f t="shared" si="41"/>
        <v>0</v>
      </c>
      <c r="EB38" s="122">
        <f t="shared" si="41"/>
        <v>0</v>
      </c>
      <c r="EC38" s="122">
        <f t="shared" si="41"/>
        <v>0</v>
      </c>
      <c r="ED38" s="122">
        <f t="shared" si="42"/>
        <v>0</v>
      </c>
      <c r="EE38" s="122">
        <f t="shared" si="34"/>
        <v>0</v>
      </c>
      <c r="EF38" s="122">
        <f t="shared" si="34"/>
        <v>0</v>
      </c>
      <c r="EG38" s="122">
        <f t="shared" si="27"/>
        <v>0</v>
      </c>
      <c r="EH38" s="122">
        <f t="shared" si="27"/>
        <v>0</v>
      </c>
      <c r="EI38" s="122">
        <f t="shared" si="27"/>
        <v>0</v>
      </c>
    </row>
    <row r="39" spans="1:139" x14ac:dyDescent="0.35">
      <c r="A39" s="126" t="str">
        <f t="shared" si="28"/>
        <v>OK</v>
      </c>
      <c r="B39" s="16" t="s">
        <v>147</v>
      </c>
      <c r="C39" s="36">
        <f>D39*Revenue!$A$23</f>
        <v>0</v>
      </c>
      <c r="D39" s="116">
        <v>0</v>
      </c>
      <c r="E39" s="118">
        <v>1</v>
      </c>
      <c r="F39" s="118">
        <v>1</v>
      </c>
      <c r="G39" s="120">
        <f t="shared" si="29"/>
        <v>1</v>
      </c>
      <c r="H39" s="122">
        <f t="shared" si="30"/>
        <v>0</v>
      </c>
      <c r="I39" s="122">
        <f t="shared" si="30"/>
        <v>0</v>
      </c>
      <c r="J39" s="122">
        <f t="shared" si="30"/>
        <v>0</v>
      </c>
      <c r="K39" s="122">
        <f t="shared" si="30"/>
        <v>0</v>
      </c>
      <c r="L39" s="122">
        <f t="shared" si="30"/>
        <v>0</v>
      </c>
      <c r="M39" s="122">
        <f t="shared" si="30"/>
        <v>0</v>
      </c>
      <c r="N39" s="122">
        <f t="shared" si="30"/>
        <v>0</v>
      </c>
      <c r="O39" s="122">
        <f t="shared" si="30"/>
        <v>0</v>
      </c>
      <c r="P39" s="122">
        <f t="shared" si="30"/>
        <v>0</v>
      </c>
      <c r="Q39" s="122">
        <f t="shared" si="30"/>
        <v>0</v>
      </c>
      <c r="R39" s="122">
        <f t="shared" si="30"/>
        <v>0</v>
      </c>
      <c r="S39" s="122">
        <f t="shared" si="30"/>
        <v>0</v>
      </c>
      <c r="T39" s="122">
        <f t="shared" si="30"/>
        <v>0</v>
      </c>
      <c r="U39" s="122">
        <f t="shared" si="30"/>
        <v>0</v>
      </c>
      <c r="V39" s="122">
        <f t="shared" si="30"/>
        <v>0</v>
      </c>
      <c r="W39" s="122">
        <f t="shared" si="30"/>
        <v>0</v>
      </c>
      <c r="X39" s="122">
        <f t="shared" si="36"/>
        <v>0</v>
      </c>
      <c r="Y39" s="122">
        <f t="shared" si="36"/>
        <v>0</v>
      </c>
      <c r="Z39" s="122">
        <f t="shared" si="36"/>
        <v>0</v>
      </c>
      <c r="AA39" s="122">
        <f t="shared" si="36"/>
        <v>0</v>
      </c>
      <c r="AB39" s="122">
        <f t="shared" si="36"/>
        <v>0</v>
      </c>
      <c r="AC39" s="122">
        <f t="shared" si="36"/>
        <v>0</v>
      </c>
      <c r="AD39" s="122">
        <f t="shared" si="36"/>
        <v>0</v>
      </c>
      <c r="AE39" s="122">
        <f t="shared" si="36"/>
        <v>0</v>
      </c>
      <c r="AF39" s="122">
        <f t="shared" si="36"/>
        <v>0</v>
      </c>
      <c r="AG39" s="122">
        <f t="shared" si="36"/>
        <v>0</v>
      </c>
      <c r="AH39" s="122">
        <f t="shared" si="36"/>
        <v>0</v>
      </c>
      <c r="AI39" s="122">
        <f t="shared" si="36"/>
        <v>0</v>
      </c>
      <c r="AJ39" s="122">
        <f t="shared" si="36"/>
        <v>0</v>
      </c>
      <c r="AK39" s="122">
        <f t="shared" si="36"/>
        <v>0</v>
      </c>
      <c r="AL39" s="122">
        <f t="shared" si="36"/>
        <v>0</v>
      </c>
      <c r="AM39" s="122">
        <f t="shared" si="36"/>
        <v>0</v>
      </c>
      <c r="AN39" s="122">
        <f t="shared" si="37"/>
        <v>0</v>
      </c>
      <c r="AO39" s="122">
        <f t="shared" si="37"/>
        <v>0</v>
      </c>
      <c r="AP39" s="122">
        <f t="shared" si="37"/>
        <v>0</v>
      </c>
      <c r="AQ39" s="122">
        <f t="shared" si="37"/>
        <v>0</v>
      </c>
      <c r="AR39" s="122">
        <f t="shared" si="37"/>
        <v>0</v>
      </c>
      <c r="AS39" s="122">
        <f t="shared" si="37"/>
        <v>0</v>
      </c>
      <c r="AT39" s="122">
        <f t="shared" si="37"/>
        <v>0</v>
      </c>
      <c r="AU39" s="122">
        <f t="shared" si="37"/>
        <v>0</v>
      </c>
      <c r="AV39" s="122">
        <f t="shared" si="37"/>
        <v>0</v>
      </c>
      <c r="AW39" s="122">
        <f t="shared" si="37"/>
        <v>0</v>
      </c>
      <c r="AX39" s="122">
        <f t="shared" si="37"/>
        <v>0</v>
      </c>
      <c r="AY39" s="122">
        <f t="shared" si="37"/>
        <v>0</v>
      </c>
      <c r="AZ39" s="122">
        <f t="shared" si="37"/>
        <v>0</v>
      </c>
      <c r="BA39" s="122">
        <f t="shared" si="37"/>
        <v>0</v>
      </c>
      <c r="BB39" s="122">
        <f t="shared" si="37"/>
        <v>0</v>
      </c>
      <c r="BC39" s="122">
        <f t="shared" si="37"/>
        <v>0</v>
      </c>
      <c r="BD39" s="122">
        <f t="shared" si="38"/>
        <v>0</v>
      </c>
      <c r="BE39" s="122">
        <f t="shared" si="38"/>
        <v>0</v>
      </c>
      <c r="BF39" s="122">
        <f t="shared" si="38"/>
        <v>0</v>
      </c>
      <c r="BG39" s="122">
        <f t="shared" si="38"/>
        <v>0</v>
      </c>
      <c r="BH39" s="122">
        <f t="shared" si="38"/>
        <v>0</v>
      </c>
      <c r="BI39" s="122">
        <f t="shared" si="38"/>
        <v>0</v>
      </c>
      <c r="BJ39" s="122">
        <f t="shared" si="38"/>
        <v>0</v>
      </c>
      <c r="BK39" s="122">
        <f t="shared" si="38"/>
        <v>0</v>
      </c>
      <c r="BL39" s="122">
        <f t="shared" si="38"/>
        <v>0</v>
      </c>
      <c r="BM39" s="122">
        <f t="shared" si="38"/>
        <v>0</v>
      </c>
      <c r="BN39" s="122">
        <f t="shared" si="38"/>
        <v>0</v>
      </c>
      <c r="BO39" s="122">
        <f t="shared" si="38"/>
        <v>0</v>
      </c>
      <c r="BP39" s="122">
        <f t="shared" si="38"/>
        <v>0</v>
      </c>
      <c r="BQ39" s="122">
        <f t="shared" si="38"/>
        <v>0</v>
      </c>
      <c r="BR39" s="122">
        <f t="shared" si="38"/>
        <v>0</v>
      </c>
      <c r="BS39" s="122">
        <f t="shared" si="38"/>
        <v>0</v>
      </c>
      <c r="BT39" s="122">
        <f t="shared" si="39"/>
        <v>0</v>
      </c>
      <c r="BU39" s="122">
        <f t="shared" si="39"/>
        <v>0</v>
      </c>
      <c r="BV39" s="122">
        <f t="shared" si="39"/>
        <v>0</v>
      </c>
      <c r="BW39" s="122">
        <f t="shared" si="39"/>
        <v>0</v>
      </c>
      <c r="BX39" s="122">
        <f t="shared" si="39"/>
        <v>0</v>
      </c>
      <c r="BY39" s="122">
        <f t="shared" si="39"/>
        <v>0</v>
      </c>
      <c r="BZ39" s="122">
        <f t="shared" si="39"/>
        <v>0</v>
      </c>
      <c r="CA39" s="122">
        <f t="shared" si="39"/>
        <v>0</v>
      </c>
      <c r="CB39" s="122">
        <f t="shared" si="39"/>
        <v>0</v>
      </c>
      <c r="CC39" s="122">
        <f t="shared" si="39"/>
        <v>0</v>
      </c>
      <c r="CD39" s="122">
        <f t="shared" si="39"/>
        <v>0</v>
      </c>
      <c r="CE39" s="122">
        <f t="shared" si="39"/>
        <v>0</v>
      </c>
      <c r="CF39" s="122">
        <f t="shared" si="39"/>
        <v>0</v>
      </c>
      <c r="CG39" s="122">
        <f t="shared" si="39"/>
        <v>0</v>
      </c>
      <c r="CH39" s="122">
        <f t="shared" si="39"/>
        <v>0</v>
      </c>
      <c r="CI39" s="122">
        <f t="shared" si="39"/>
        <v>0</v>
      </c>
      <c r="CJ39" s="122">
        <f t="shared" si="43"/>
        <v>0</v>
      </c>
      <c r="CK39" s="122">
        <f t="shared" si="43"/>
        <v>0</v>
      </c>
      <c r="CL39" s="122">
        <f t="shared" si="43"/>
        <v>0</v>
      </c>
      <c r="CM39" s="122">
        <f t="shared" si="43"/>
        <v>0</v>
      </c>
      <c r="CN39" s="122">
        <f t="shared" si="43"/>
        <v>0</v>
      </c>
      <c r="CO39" s="122">
        <f t="shared" si="43"/>
        <v>0</v>
      </c>
      <c r="CP39" s="122">
        <f t="shared" si="43"/>
        <v>0</v>
      </c>
      <c r="CQ39" s="122">
        <f t="shared" si="43"/>
        <v>0</v>
      </c>
      <c r="CR39" s="122">
        <f t="shared" si="43"/>
        <v>0</v>
      </c>
      <c r="CS39" s="122">
        <f t="shared" si="43"/>
        <v>0</v>
      </c>
      <c r="CT39" s="122">
        <f t="shared" si="43"/>
        <v>0</v>
      </c>
      <c r="CU39" s="122">
        <f t="shared" si="43"/>
        <v>0</v>
      </c>
      <c r="CV39" s="122">
        <f t="shared" si="43"/>
        <v>0</v>
      </c>
      <c r="CW39" s="122">
        <f t="shared" si="43"/>
        <v>0</v>
      </c>
      <c r="CX39" s="122">
        <f t="shared" si="43"/>
        <v>0</v>
      </c>
      <c r="CY39" s="122">
        <f t="shared" si="40"/>
        <v>0</v>
      </c>
      <c r="CZ39" s="122">
        <f t="shared" si="40"/>
        <v>0</v>
      </c>
      <c r="DA39" s="122">
        <f t="shared" si="40"/>
        <v>0</v>
      </c>
      <c r="DB39" s="122">
        <f t="shared" si="40"/>
        <v>0</v>
      </c>
      <c r="DC39" s="122">
        <f t="shared" si="40"/>
        <v>0</v>
      </c>
      <c r="DD39" s="122">
        <f t="shared" si="40"/>
        <v>0</v>
      </c>
      <c r="DE39" s="122">
        <f t="shared" si="40"/>
        <v>0</v>
      </c>
      <c r="DF39" s="122">
        <f t="shared" si="40"/>
        <v>0</v>
      </c>
      <c r="DG39" s="122">
        <f t="shared" si="40"/>
        <v>0</v>
      </c>
      <c r="DH39" s="122">
        <f t="shared" si="40"/>
        <v>0</v>
      </c>
      <c r="DI39" s="122">
        <f t="shared" si="40"/>
        <v>0</v>
      </c>
      <c r="DJ39" s="122">
        <f t="shared" si="40"/>
        <v>0</v>
      </c>
      <c r="DK39" s="122">
        <f t="shared" si="40"/>
        <v>0</v>
      </c>
      <c r="DL39" s="122">
        <f t="shared" si="40"/>
        <v>0</v>
      </c>
      <c r="DM39" s="122">
        <f t="shared" si="40"/>
        <v>0</v>
      </c>
      <c r="DN39" s="122">
        <f t="shared" si="41"/>
        <v>0</v>
      </c>
      <c r="DO39" s="122">
        <f t="shared" si="41"/>
        <v>0</v>
      </c>
      <c r="DP39" s="122">
        <f t="shared" si="41"/>
        <v>0</v>
      </c>
      <c r="DQ39" s="122">
        <f t="shared" si="41"/>
        <v>0</v>
      </c>
      <c r="DR39" s="122">
        <f t="shared" si="41"/>
        <v>0</v>
      </c>
      <c r="DS39" s="122">
        <f t="shared" si="41"/>
        <v>0</v>
      </c>
      <c r="DT39" s="122">
        <f t="shared" si="41"/>
        <v>0</v>
      </c>
      <c r="DU39" s="122">
        <f t="shared" si="41"/>
        <v>0</v>
      </c>
      <c r="DV39" s="122">
        <f t="shared" si="41"/>
        <v>0</v>
      </c>
      <c r="DW39" s="122">
        <f t="shared" si="41"/>
        <v>0</v>
      </c>
      <c r="DX39" s="122">
        <f t="shared" si="41"/>
        <v>0</v>
      </c>
      <c r="DY39" s="122">
        <f t="shared" si="41"/>
        <v>0</v>
      </c>
      <c r="DZ39" s="122">
        <f t="shared" si="41"/>
        <v>0</v>
      </c>
      <c r="EA39" s="122">
        <f t="shared" si="41"/>
        <v>0</v>
      </c>
      <c r="EB39" s="122">
        <f t="shared" si="41"/>
        <v>0</v>
      </c>
      <c r="EC39" s="122">
        <f t="shared" si="41"/>
        <v>0</v>
      </c>
      <c r="ED39" s="122">
        <f t="shared" si="42"/>
        <v>0</v>
      </c>
      <c r="EE39" s="122">
        <f t="shared" si="34"/>
        <v>0</v>
      </c>
      <c r="EF39" s="122">
        <f t="shared" si="34"/>
        <v>0</v>
      </c>
      <c r="EG39" s="122">
        <f t="shared" si="27"/>
        <v>0</v>
      </c>
      <c r="EH39" s="122">
        <f t="shared" si="27"/>
        <v>0</v>
      </c>
      <c r="EI39" s="122">
        <f t="shared" si="27"/>
        <v>0</v>
      </c>
    </row>
    <row r="40" spans="1:139" x14ac:dyDescent="0.35">
      <c r="A40" s="126" t="str">
        <f t="shared" si="28"/>
        <v>OK</v>
      </c>
      <c r="B40" s="16" t="s">
        <v>147</v>
      </c>
      <c r="C40" s="36">
        <f>D40*Revenue!$A$23</f>
        <v>0</v>
      </c>
      <c r="D40" s="116">
        <v>0</v>
      </c>
      <c r="E40" s="118">
        <v>1</v>
      </c>
      <c r="F40" s="118">
        <v>1</v>
      </c>
      <c r="G40" s="120">
        <f t="shared" si="29"/>
        <v>1</v>
      </c>
      <c r="H40" s="122">
        <f t="shared" si="30"/>
        <v>0</v>
      </c>
      <c r="I40" s="122">
        <f t="shared" si="30"/>
        <v>0</v>
      </c>
      <c r="J40" s="122">
        <f t="shared" si="30"/>
        <v>0</v>
      </c>
      <c r="K40" s="122">
        <f t="shared" si="30"/>
        <v>0</v>
      </c>
      <c r="L40" s="122">
        <f t="shared" si="30"/>
        <v>0</v>
      </c>
      <c r="M40" s="122">
        <f t="shared" si="30"/>
        <v>0</v>
      </c>
      <c r="N40" s="122">
        <f t="shared" si="30"/>
        <v>0</v>
      </c>
      <c r="O40" s="122">
        <f t="shared" si="30"/>
        <v>0</v>
      </c>
      <c r="P40" s="122">
        <f t="shared" si="30"/>
        <v>0</v>
      </c>
      <c r="Q40" s="122">
        <f t="shared" si="30"/>
        <v>0</v>
      </c>
      <c r="R40" s="122">
        <f t="shared" si="30"/>
        <v>0</v>
      </c>
      <c r="S40" s="122">
        <f t="shared" si="30"/>
        <v>0</v>
      </c>
      <c r="T40" s="122">
        <f t="shared" si="30"/>
        <v>0</v>
      </c>
      <c r="U40" s="122">
        <f t="shared" si="30"/>
        <v>0</v>
      </c>
      <c r="V40" s="122">
        <f t="shared" si="30"/>
        <v>0</v>
      </c>
      <c r="W40" s="122">
        <f t="shared" si="30"/>
        <v>0</v>
      </c>
      <c r="X40" s="122">
        <f t="shared" si="36"/>
        <v>0</v>
      </c>
      <c r="Y40" s="122">
        <f t="shared" si="36"/>
        <v>0</v>
      </c>
      <c r="Z40" s="122">
        <f t="shared" si="36"/>
        <v>0</v>
      </c>
      <c r="AA40" s="122">
        <f t="shared" si="36"/>
        <v>0</v>
      </c>
      <c r="AB40" s="122">
        <f t="shared" si="36"/>
        <v>0</v>
      </c>
      <c r="AC40" s="122">
        <f t="shared" si="36"/>
        <v>0</v>
      </c>
      <c r="AD40" s="122">
        <f t="shared" si="36"/>
        <v>0</v>
      </c>
      <c r="AE40" s="122">
        <f t="shared" si="36"/>
        <v>0</v>
      </c>
      <c r="AF40" s="122">
        <f t="shared" si="36"/>
        <v>0</v>
      </c>
      <c r="AG40" s="122">
        <f t="shared" si="36"/>
        <v>0</v>
      </c>
      <c r="AH40" s="122">
        <f t="shared" si="36"/>
        <v>0</v>
      </c>
      <c r="AI40" s="122">
        <f t="shared" si="36"/>
        <v>0</v>
      </c>
      <c r="AJ40" s="122">
        <f t="shared" si="36"/>
        <v>0</v>
      </c>
      <c r="AK40" s="122">
        <f t="shared" si="36"/>
        <v>0</v>
      </c>
      <c r="AL40" s="122">
        <f t="shared" si="36"/>
        <v>0</v>
      </c>
      <c r="AM40" s="122">
        <f t="shared" si="36"/>
        <v>0</v>
      </c>
      <c r="AN40" s="122">
        <f t="shared" si="37"/>
        <v>0</v>
      </c>
      <c r="AO40" s="122">
        <f t="shared" si="37"/>
        <v>0</v>
      </c>
      <c r="AP40" s="122">
        <f t="shared" si="37"/>
        <v>0</v>
      </c>
      <c r="AQ40" s="122">
        <f t="shared" si="37"/>
        <v>0</v>
      </c>
      <c r="AR40" s="122">
        <f t="shared" si="37"/>
        <v>0</v>
      </c>
      <c r="AS40" s="122">
        <f t="shared" si="37"/>
        <v>0</v>
      </c>
      <c r="AT40" s="122">
        <f t="shared" si="37"/>
        <v>0</v>
      </c>
      <c r="AU40" s="122">
        <f t="shared" si="37"/>
        <v>0</v>
      </c>
      <c r="AV40" s="122">
        <f t="shared" si="37"/>
        <v>0</v>
      </c>
      <c r="AW40" s="122">
        <f t="shared" si="37"/>
        <v>0</v>
      </c>
      <c r="AX40" s="122">
        <f t="shared" si="37"/>
        <v>0</v>
      </c>
      <c r="AY40" s="122">
        <f t="shared" si="37"/>
        <v>0</v>
      </c>
      <c r="AZ40" s="122">
        <f t="shared" si="37"/>
        <v>0</v>
      </c>
      <c r="BA40" s="122">
        <f t="shared" si="37"/>
        <v>0</v>
      </c>
      <c r="BB40" s="122">
        <f t="shared" si="37"/>
        <v>0</v>
      </c>
      <c r="BC40" s="122">
        <f t="shared" si="37"/>
        <v>0</v>
      </c>
      <c r="BD40" s="122">
        <f t="shared" si="38"/>
        <v>0</v>
      </c>
      <c r="BE40" s="122">
        <f t="shared" si="38"/>
        <v>0</v>
      </c>
      <c r="BF40" s="122">
        <f t="shared" si="38"/>
        <v>0</v>
      </c>
      <c r="BG40" s="122">
        <f t="shared" si="38"/>
        <v>0</v>
      </c>
      <c r="BH40" s="122">
        <f t="shared" si="38"/>
        <v>0</v>
      </c>
      <c r="BI40" s="122">
        <f t="shared" si="38"/>
        <v>0</v>
      </c>
      <c r="BJ40" s="122">
        <f t="shared" si="38"/>
        <v>0</v>
      </c>
      <c r="BK40" s="122">
        <f t="shared" si="38"/>
        <v>0</v>
      </c>
      <c r="BL40" s="122">
        <f t="shared" si="38"/>
        <v>0</v>
      </c>
      <c r="BM40" s="122">
        <f t="shared" si="38"/>
        <v>0</v>
      </c>
      <c r="BN40" s="122">
        <f t="shared" si="38"/>
        <v>0</v>
      </c>
      <c r="BO40" s="122">
        <f t="shared" si="38"/>
        <v>0</v>
      </c>
      <c r="BP40" s="122">
        <f t="shared" si="38"/>
        <v>0</v>
      </c>
      <c r="BQ40" s="122">
        <f t="shared" si="38"/>
        <v>0</v>
      </c>
      <c r="BR40" s="122">
        <f t="shared" si="38"/>
        <v>0</v>
      </c>
      <c r="BS40" s="122">
        <f t="shared" si="38"/>
        <v>0</v>
      </c>
      <c r="BT40" s="122">
        <f t="shared" si="39"/>
        <v>0</v>
      </c>
      <c r="BU40" s="122">
        <f t="shared" si="39"/>
        <v>0</v>
      </c>
      <c r="BV40" s="122">
        <f t="shared" si="39"/>
        <v>0</v>
      </c>
      <c r="BW40" s="122">
        <f t="shared" si="39"/>
        <v>0</v>
      </c>
      <c r="BX40" s="122">
        <f t="shared" si="39"/>
        <v>0</v>
      </c>
      <c r="BY40" s="122">
        <f t="shared" si="39"/>
        <v>0</v>
      </c>
      <c r="BZ40" s="122">
        <f t="shared" si="39"/>
        <v>0</v>
      </c>
      <c r="CA40" s="122">
        <f t="shared" si="39"/>
        <v>0</v>
      </c>
      <c r="CB40" s="122">
        <f t="shared" si="39"/>
        <v>0</v>
      </c>
      <c r="CC40" s="122">
        <f t="shared" si="39"/>
        <v>0</v>
      </c>
      <c r="CD40" s="122">
        <f t="shared" si="39"/>
        <v>0</v>
      </c>
      <c r="CE40" s="122">
        <f t="shared" si="39"/>
        <v>0</v>
      </c>
      <c r="CF40" s="122">
        <f t="shared" si="39"/>
        <v>0</v>
      </c>
      <c r="CG40" s="122">
        <f t="shared" si="39"/>
        <v>0</v>
      </c>
      <c r="CH40" s="122">
        <f t="shared" si="39"/>
        <v>0</v>
      </c>
      <c r="CI40" s="122">
        <f t="shared" si="39"/>
        <v>0</v>
      </c>
      <c r="CJ40" s="122">
        <f t="shared" si="43"/>
        <v>0</v>
      </c>
      <c r="CK40" s="122">
        <f t="shared" si="43"/>
        <v>0</v>
      </c>
      <c r="CL40" s="122">
        <f t="shared" si="43"/>
        <v>0</v>
      </c>
      <c r="CM40" s="122">
        <f t="shared" si="43"/>
        <v>0</v>
      </c>
      <c r="CN40" s="122">
        <f t="shared" si="43"/>
        <v>0</v>
      </c>
      <c r="CO40" s="122">
        <f t="shared" si="43"/>
        <v>0</v>
      </c>
      <c r="CP40" s="122">
        <f t="shared" si="43"/>
        <v>0</v>
      </c>
      <c r="CQ40" s="122">
        <f t="shared" si="43"/>
        <v>0</v>
      </c>
      <c r="CR40" s="122">
        <f t="shared" si="43"/>
        <v>0</v>
      </c>
      <c r="CS40" s="122">
        <f t="shared" si="43"/>
        <v>0</v>
      </c>
      <c r="CT40" s="122">
        <f t="shared" si="43"/>
        <v>0</v>
      </c>
      <c r="CU40" s="122">
        <f t="shared" si="43"/>
        <v>0</v>
      </c>
      <c r="CV40" s="122">
        <f t="shared" si="43"/>
        <v>0</v>
      </c>
      <c r="CW40" s="122">
        <f t="shared" si="43"/>
        <v>0</v>
      </c>
      <c r="CX40" s="122">
        <f t="shared" si="43"/>
        <v>0</v>
      </c>
      <c r="CY40" s="122">
        <f t="shared" si="40"/>
        <v>0</v>
      </c>
      <c r="CZ40" s="122">
        <f t="shared" si="40"/>
        <v>0</v>
      </c>
      <c r="DA40" s="122">
        <f t="shared" si="40"/>
        <v>0</v>
      </c>
      <c r="DB40" s="122">
        <f t="shared" si="40"/>
        <v>0</v>
      </c>
      <c r="DC40" s="122">
        <f t="shared" si="40"/>
        <v>0</v>
      </c>
      <c r="DD40" s="122">
        <f t="shared" si="40"/>
        <v>0</v>
      </c>
      <c r="DE40" s="122">
        <f t="shared" si="40"/>
        <v>0</v>
      </c>
      <c r="DF40" s="122">
        <f t="shared" si="40"/>
        <v>0</v>
      </c>
      <c r="DG40" s="122">
        <f t="shared" si="40"/>
        <v>0</v>
      </c>
      <c r="DH40" s="122">
        <f t="shared" si="40"/>
        <v>0</v>
      </c>
      <c r="DI40" s="122">
        <f t="shared" si="40"/>
        <v>0</v>
      </c>
      <c r="DJ40" s="122">
        <f t="shared" si="40"/>
        <v>0</v>
      </c>
      <c r="DK40" s="122">
        <f t="shared" si="40"/>
        <v>0</v>
      </c>
      <c r="DL40" s="122">
        <f t="shared" si="40"/>
        <v>0</v>
      </c>
      <c r="DM40" s="122">
        <f t="shared" si="40"/>
        <v>0</v>
      </c>
      <c r="DN40" s="122">
        <f t="shared" si="41"/>
        <v>0</v>
      </c>
      <c r="DO40" s="122">
        <f t="shared" si="41"/>
        <v>0</v>
      </c>
      <c r="DP40" s="122">
        <f t="shared" si="41"/>
        <v>0</v>
      </c>
      <c r="DQ40" s="122">
        <f t="shared" si="41"/>
        <v>0</v>
      </c>
      <c r="DR40" s="122">
        <f t="shared" si="41"/>
        <v>0</v>
      </c>
      <c r="DS40" s="122">
        <f t="shared" si="41"/>
        <v>0</v>
      </c>
      <c r="DT40" s="122">
        <f t="shared" si="41"/>
        <v>0</v>
      </c>
      <c r="DU40" s="122">
        <f t="shared" si="41"/>
        <v>0</v>
      </c>
      <c r="DV40" s="122">
        <f t="shared" si="41"/>
        <v>0</v>
      </c>
      <c r="DW40" s="122">
        <f t="shared" si="41"/>
        <v>0</v>
      </c>
      <c r="DX40" s="122">
        <f t="shared" si="41"/>
        <v>0</v>
      </c>
      <c r="DY40" s="122">
        <f t="shared" si="41"/>
        <v>0</v>
      </c>
      <c r="DZ40" s="122">
        <f t="shared" si="41"/>
        <v>0</v>
      </c>
      <c r="EA40" s="122">
        <f t="shared" si="41"/>
        <v>0</v>
      </c>
      <c r="EB40" s="122">
        <f t="shared" si="41"/>
        <v>0</v>
      </c>
      <c r="EC40" s="122">
        <f t="shared" si="41"/>
        <v>0</v>
      </c>
      <c r="ED40" s="122">
        <f t="shared" si="42"/>
        <v>0</v>
      </c>
      <c r="EE40" s="122">
        <f t="shared" si="34"/>
        <v>0</v>
      </c>
      <c r="EF40" s="122">
        <f t="shared" si="34"/>
        <v>0</v>
      </c>
      <c r="EG40" s="122">
        <f t="shared" si="27"/>
        <v>0</v>
      </c>
      <c r="EH40" s="122">
        <f t="shared" si="27"/>
        <v>0</v>
      </c>
      <c r="EI40" s="122">
        <f t="shared" si="27"/>
        <v>0</v>
      </c>
    </row>
    <row r="41" spans="1:139" x14ac:dyDescent="0.35">
      <c r="A41" s="126" t="str">
        <f t="shared" si="28"/>
        <v>OK</v>
      </c>
      <c r="B41" s="14" t="s">
        <v>148</v>
      </c>
      <c r="C41" s="127">
        <f>SUM(C25:C40)</f>
        <v>605000</v>
      </c>
      <c r="D41" s="100">
        <f>SUM(D25:D40)</f>
        <v>5500</v>
      </c>
      <c r="E41" s="119">
        <f t="array" ref="E41">MIN(IF($C$25:$C$40&gt;0,E25:E40))</f>
        <v>2</v>
      </c>
      <c r="F41" s="119">
        <f t="array" ref="F41">MAX(IF($C$25:$C$40&gt;0,F25:F40))</f>
        <v>25</v>
      </c>
      <c r="G41" s="121">
        <f t="shared" si="29"/>
        <v>24</v>
      </c>
      <c r="H41" s="123">
        <f>SUM(H25:H40)</f>
        <v>0</v>
      </c>
      <c r="I41" s="124">
        <f t="shared" ref="I41" si="44">SUM(I25:I40)</f>
        <v>25208.333333333332</v>
      </c>
      <c r="J41" s="124">
        <f t="shared" ref="J41" si="45">SUM(J25:J40)</f>
        <v>25208.333333333332</v>
      </c>
      <c r="K41" s="124">
        <f t="shared" ref="K41" si="46">SUM(K25:K40)</f>
        <v>25208.333333333332</v>
      </c>
      <c r="L41" s="124">
        <f t="shared" ref="L41" si="47">SUM(L25:L40)</f>
        <v>25208.333333333332</v>
      </c>
      <c r="M41" s="124">
        <f t="shared" ref="M41" si="48">SUM(M25:M40)</f>
        <v>25208.333333333332</v>
      </c>
      <c r="N41" s="124">
        <f t="shared" ref="N41" si="49">SUM(N25:N40)</f>
        <v>25208.333333333332</v>
      </c>
      <c r="O41" s="124">
        <f t="shared" ref="O41" si="50">SUM(O25:O40)</f>
        <v>25208.333333333332</v>
      </c>
      <c r="P41" s="124">
        <f t="shared" ref="P41" si="51">SUM(P25:P40)</f>
        <v>25208.333333333332</v>
      </c>
      <c r="Q41" s="124">
        <f t="shared" ref="Q41" si="52">SUM(Q25:Q40)</f>
        <v>25208.333333333332</v>
      </c>
      <c r="R41" s="124">
        <f t="shared" ref="R41" si="53">SUM(R25:R40)</f>
        <v>25208.333333333332</v>
      </c>
      <c r="S41" s="124">
        <f t="shared" ref="S41" si="54">SUM(S25:S40)</f>
        <v>25208.333333333332</v>
      </c>
      <c r="T41" s="124">
        <f t="shared" ref="T41" si="55">SUM(T25:T40)</f>
        <v>25208.333333333332</v>
      </c>
      <c r="U41" s="124">
        <f t="shared" ref="U41" si="56">SUM(U25:U40)</f>
        <v>25208.333333333332</v>
      </c>
      <c r="V41" s="124">
        <f t="shared" ref="V41" si="57">SUM(V25:V40)</f>
        <v>25208.333333333332</v>
      </c>
      <c r="W41" s="124">
        <f t="shared" ref="W41" si="58">SUM(W25:W40)</f>
        <v>25208.333333333332</v>
      </c>
      <c r="X41" s="124">
        <f t="shared" ref="X41" si="59">SUM(X25:X40)</f>
        <v>25208.333333333332</v>
      </c>
      <c r="Y41" s="124">
        <f t="shared" ref="Y41" si="60">SUM(Y25:Y40)</f>
        <v>25208.333333333332</v>
      </c>
      <c r="Z41" s="124">
        <f t="shared" ref="Z41" si="61">SUM(Z25:Z40)</f>
        <v>25208.333333333332</v>
      </c>
      <c r="AA41" s="124">
        <f t="shared" ref="AA41" si="62">SUM(AA25:AA40)</f>
        <v>25208.333333333332</v>
      </c>
      <c r="AB41" s="124">
        <f t="shared" ref="AB41" si="63">SUM(AB25:AB40)</f>
        <v>25208.333333333332</v>
      </c>
      <c r="AC41" s="124">
        <f t="shared" ref="AC41" si="64">SUM(AC25:AC40)</f>
        <v>25208.333333333332</v>
      </c>
      <c r="AD41" s="124">
        <f t="shared" ref="AD41" si="65">SUM(AD25:AD40)</f>
        <v>25208.333333333332</v>
      </c>
      <c r="AE41" s="124">
        <f t="shared" ref="AE41" si="66">SUM(AE25:AE40)</f>
        <v>25208.333333333332</v>
      </c>
      <c r="AF41" s="124">
        <f t="shared" ref="AF41" si="67">SUM(AF25:AF40)</f>
        <v>25208.333333333332</v>
      </c>
      <c r="AG41" s="124">
        <f t="shared" ref="AG41" si="68">SUM(AG25:AG40)</f>
        <v>0</v>
      </c>
      <c r="AH41" s="124">
        <f t="shared" ref="AH41" si="69">SUM(AH25:AH40)</f>
        <v>0</v>
      </c>
      <c r="AI41" s="124">
        <f t="shared" ref="AI41" si="70">SUM(AI25:AI40)</f>
        <v>0</v>
      </c>
      <c r="AJ41" s="124">
        <f t="shared" ref="AJ41" si="71">SUM(AJ25:AJ40)</f>
        <v>0</v>
      </c>
      <c r="AK41" s="124">
        <f t="shared" ref="AK41" si="72">SUM(AK25:AK40)</f>
        <v>0</v>
      </c>
      <c r="AL41" s="124">
        <f t="shared" ref="AL41" si="73">SUM(AL25:AL40)</f>
        <v>0</v>
      </c>
      <c r="AM41" s="124">
        <f t="shared" ref="AM41" si="74">SUM(AM25:AM40)</f>
        <v>0</v>
      </c>
      <c r="AN41" s="124">
        <f t="shared" ref="AN41" si="75">SUM(AN25:AN40)</f>
        <v>0</v>
      </c>
      <c r="AO41" s="124">
        <f t="shared" ref="AO41" si="76">SUM(AO25:AO40)</f>
        <v>0</v>
      </c>
      <c r="AP41" s="124">
        <f t="shared" ref="AP41" si="77">SUM(AP25:AP40)</f>
        <v>0</v>
      </c>
      <c r="AQ41" s="124">
        <f t="shared" ref="AQ41" si="78">SUM(AQ25:AQ40)</f>
        <v>0</v>
      </c>
      <c r="AR41" s="124">
        <f t="shared" ref="AR41" si="79">SUM(AR25:AR40)</f>
        <v>0</v>
      </c>
      <c r="AS41" s="124">
        <f t="shared" ref="AS41" si="80">SUM(AS25:AS40)</f>
        <v>0</v>
      </c>
      <c r="AT41" s="124">
        <f t="shared" ref="AT41" si="81">SUM(AT25:AT40)</f>
        <v>0</v>
      </c>
      <c r="AU41" s="124">
        <f t="shared" ref="AU41" si="82">SUM(AU25:AU40)</f>
        <v>0</v>
      </c>
      <c r="AV41" s="124">
        <f t="shared" ref="AV41" si="83">SUM(AV25:AV40)</f>
        <v>0</v>
      </c>
      <c r="AW41" s="124">
        <f t="shared" ref="AW41" si="84">SUM(AW25:AW40)</f>
        <v>0</v>
      </c>
      <c r="AX41" s="124">
        <f t="shared" ref="AX41" si="85">SUM(AX25:AX40)</f>
        <v>0</v>
      </c>
      <c r="AY41" s="124">
        <f t="shared" ref="AY41" si="86">SUM(AY25:AY40)</f>
        <v>0</v>
      </c>
      <c r="AZ41" s="124">
        <f t="shared" ref="AZ41" si="87">SUM(AZ25:AZ40)</f>
        <v>0</v>
      </c>
      <c r="BA41" s="124">
        <f t="shared" ref="BA41" si="88">SUM(BA25:BA40)</f>
        <v>0</v>
      </c>
      <c r="BB41" s="124">
        <f t="shared" ref="BB41" si="89">SUM(BB25:BB40)</f>
        <v>0</v>
      </c>
      <c r="BC41" s="124">
        <f t="shared" ref="BC41" si="90">SUM(BC25:BC40)</f>
        <v>0</v>
      </c>
      <c r="BD41" s="124">
        <f t="shared" ref="BD41" si="91">SUM(BD25:BD40)</f>
        <v>0</v>
      </c>
      <c r="BE41" s="124">
        <f t="shared" ref="BE41" si="92">SUM(BE25:BE40)</f>
        <v>0</v>
      </c>
      <c r="BF41" s="124">
        <f t="shared" ref="BF41" si="93">SUM(BF25:BF40)</f>
        <v>0</v>
      </c>
      <c r="BG41" s="124">
        <f t="shared" ref="BG41" si="94">SUM(BG25:BG40)</f>
        <v>0</v>
      </c>
      <c r="BH41" s="124">
        <f t="shared" ref="BH41" si="95">SUM(BH25:BH40)</f>
        <v>0</v>
      </c>
      <c r="BI41" s="124">
        <f t="shared" ref="BI41" si="96">SUM(BI25:BI40)</f>
        <v>0</v>
      </c>
      <c r="BJ41" s="124">
        <f t="shared" ref="BJ41" si="97">SUM(BJ25:BJ40)</f>
        <v>0</v>
      </c>
      <c r="BK41" s="124">
        <f t="shared" ref="BK41" si="98">SUM(BK25:BK40)</f>
        <v>0</v>
      </c>
      <c r="BL41" s="124">
        <f t="shared" ref="BL41" si="99">SUM(BL25:BL40)</f>
        <v>0</v>
      </c>
      <c r="BM41" s="124">
        <f t="shared" ref="BM41" si="100">SUM(BM25:BM40)</f>
        <v>0</v>
      </c>
      <c r="BN41" s="124">
        <f t="shared" ref="BN41" si="101">SUM(BN25:BN40)</f>
        <v>0</v>
      </c>
      <c r="BO41" s="124">
        <f t="shared" ref="BO41" si="102">SUM(BO25:BO40)</f>
        <v>0</v>
      </c>
      <c r="BP41" s="124">
        <f t="shared" ref="BP41" si="103">SUM(BP25:BP40)</f>
        <v>0</v>
      </c>
      <c r="BQ41" s="124">
        <f t="shared" ref="BQ41" si="104">SUM(BQ25:BQ40)</f>
        <v>0</v>
      </c>
      <c r="BR41" s="124">
        <f t="shared" ref="BR41" si="105">SUM(BR25:BR40)</f>
        <v>0</v>
      </c>
      <c r="BS41" s="124">
        <f t="shared" ref="BS41" si="106">SUM(BS25:BS40)</f>
        <v>0</v>
      </c>
      <c r="BT41" s="124">
        <f t="shared" ref="BT41" si="107">SUM(BT25:BT40)</f>
        <v>0</v>
      </c>
      <c r="BU41" s="124">
        <f t="shared" ref="BU41" si="108">SUM(BU25:BU40)</f>
        <v>0</v>
      </c>
      <c r="BV41" s="124">
        <f t="shared" ref="BV41" si="109">SUM(BV25:BV40)</f>
        <v>0</v>
      </c>
      <c r="BW41" s="124">
        <f t="shared" ref="BW41" si="110">SUM(BW25:BW40)</f>
        <v>0</v>
      </c>
      <c r="BX41" s="124">
        <f t="shared" ref="BX41" si="111">SUM(BX25:BX40)</f>
        <v>0</v>
      </c>
      <c r="BY41" s="124">
        <f t="shared" ref="BY41" si="112">SUM(BY25:BY40)</f>
        <v>0</v>
      </c>
      <c r="BZ41" s="124">
        <f t="shared" ref="BZ41" si="113">SUM(BZ25:BZ40)</f>
        <v>0</v>
      </c>
      <c r="CA41" s="124">
        <f t="shared" ref="CA41" si="114">SUM(CA25:CA40)</f>
        <v>0</v>
      </c>
      <c r="CB41" s="124">
        <f t="shared" ref="CB41" si="115">SUM(CB25:CB40)</f>
        <v>0</v>
      </c>
      <c r="CC41" s="124">
        <f t="shared" ref="CC41" si="116">SUM(CC25:CC40)</f>
        <v>0</v>
      </c>
      <c r="CD41" s="124">
        <f t="shared" ref="CD41" si="117">SUM(CD25:CD40)</f>
        <v>0</v>
      </c>
      <c r="CE41" s="124">
        <f t="shared" ref="CE41" si="118">SUM(CE25:CE40)</f>
        <v>0</v>
      </c>
      <c r="CF41" s="124">
        <f t="shared" ref="CF41" si="119">SUM(CF25:CF40)</f>
        <v>0</v>
      </c>
      <c r="CG41" s="124">
        <f t="shared" ref="CG41" si="120">SUM(CG25:CG40)</f>
        <v>0</v>
      </c>
      <c r="CH41" s="124">
        <f t="shared" ref="CH41" si="121">SUM(CH25:CH40)</f>
        <v>0</v>
      </c>
      <c r="CI41" s="124">
        <f t="shared" ref="CI41" si="122">SUM(CI25:CI40)</f>
        <v>0</v>
      </c>
      <c r="CJ41" s="124">
        <f t="shared" ref="CJ41" si="123">SUM(CJ25:CJ40)</f>
        <v>0</v>
      </c>
      <c r="CK41" s="124">
        <f t="shared" ref="CK41" si="124">SUM(CK25:CK40)</f>
        <v>0</v>
      </c>
      <c r="CL41" s="124">
        <f t="shared" ref="CL41" si="125">SUM(CL25:CL40)</f>
        <v>0</v>
      </c>
      <c r="CM41" s="124">
        <f t="shared" ref="CM41" si="126">SUM(CM25:CM40)</f>
        <v>0</v>
      </c>
      <c r="CN41" s="124">
        <f t="shared" ref="CN41" si="127">SUM(CN25:CN40)</f>
        <v>0</v>
      </c>
      <c r="CO41" s="124">
        <f t="shared" ref="CO41" si="128">SUM(CO25:CO40)</f>
        <v>0</v>
      </c>
      <c r="CP41" s="124">
        <f t="shared" ref="CP41" si="129">SUM(CP25:CP40)</f>
        <v>0</v>
      </c>
      <c r="CQ41" s="124">
        <f t="shared" ref="CQ41" si="130">SUM(CQ25:CQ40)</f>
        <v>0</v>
      </c>
      <c r="CR41" s="124">
        <f t="shared" ref="CR41" si="131">SUM(CR25:CR40)</f>
        <v>0</v>
      </c>
      <c r="CS41" s="124">
        <f t="shared" ref="CS41" si="132">SUM(CS25:CS40)</f>
        <v>0</v>
      </c>
      <c r="CT41" s="124">
        <f t="shared" ref="CT41" si="133">SUM(CT25:CT40)</f>
        <v>0</v>
      </c>
      <c r="CU41" s="124">
        <f t="shared" ref="CU41" si="134">SUM(CU25:CU40)</f>
        <v>0</v>
      </c>
      <c r="CV41" s="124">
        <f t="shared" ref="CV41" si="135">SUM(CV25:CV40)</f>
        <v>0</v>
      </c>
      <c r="CW41" s="124">
        <f t="shared" ref="CW41" si="136">SUM(CW25:CW40)</f>
        <v>0</v>
      </c>
      <c r="CX41" s="124">
        <f t="shared" ref="CX41" si="137">SUM(CX25:CX40)</f>
        <v>0</v>
      </c>
      <c r="CY41" s="124">
        <f t="shared" ref="CY41" si="138">SUM(CY25:CY40)</f>
        <v>0</v>
      </c>
      <c r="CZ41" s="124">
        <f t="shared" ref="CZ41" si="139">SUM(CZ25:CZ40)</f>
        <v>0</v>
      </c>
      <c r="DA41" s="124">
        <f t="shared" ref="DA41" si="140">SUM(DA25:DA40)</f>
        <v>0</v>
      </c>
      <c r="DB41" s="124">
        <f t="shared" ref="DB41" si="141">SUM(DB25:DB40)</f>
        <v>0</v>
      </c>
      <c r="DC41" s="124">
        <f t="shared" ref="DC41" si="142">SUM(DC25:DC40)</f>
        <v>0</v>
      </c>
      <c r="DD41" s="124">
        <f t="shared" ref="DD41" si="143">SUM(DD25:DD40)</f>
        <v>0</v>
      </c>
      <c r="DE41" s="124">
        <f t="shared" ref="DE41" si="144">SUM(DE25:DE40)</f>
        <v>0</v>
      </c>
      <c r="DF41" s="124">
        <f t="shared" ref="DF41" si="145">SUM(DF25:DF40)</f>
        <v>0</v>
      </c>
      <c r="DG41" s="124">
        <f t="shared" ref="DG41" si="146">SUM(DG25:DG40)</f>
        <v>0</v>
      </c>
      <c r="DH41" s="124">
        <f t="shared" ref="DH41" si="147">SUM(DH25:DH40)</f>
        <v>0</v>
      </c>
      <c r="DI41" s="124">
        <f t="shared" ref="DI41" si="148">SUM(DI25:DI40)</f>
        <v>0</v>
      </c>
      <c r="DJ41" s="124">
        <f t="shared" ref="DJ41" si="149">SUM(DJ25:DJ40)</f>
        <v>0</v>
      </c>
      <c r="DK41" s="124">
        <f t="shared" ref="DK41" si="150">SUM(DK25:DK40)</f>
        <v>0</v>
      </c>
      <c r="DL41" s="124">
        <f t="shared" ref="DL41" si="151">SUM(DL25:DL40)</f>
        <v>0</v>
      </c>
      <c r="DM41" s="124">
        <f t="shared" ref="DM41" si="152">SUM(DM25:DM40)</f>
        <v>0</v>
      </c>
      <c r="DN41" s="124">
        <f t="shared" ref="DN41" si="153">SUM(DN25:DN40)</f>
        <v>0</v>
      </c>
      <c r="DO41" s="124">
        <f t="shared" ref="DO41" si="154">SUM(DO25:DO40)</f>
        <v>0</v>
      </c>
      <c r="DP41" s="124">
        <f t="shared" ref="DP41" si="155">SUM(DP25:DP40)</f>
        <v>0</v>
      </c>
      <c r="DQ41" s="124">
        <f t="shared" ref="DQ41" si="156">SUM(DQ25:DQ40)</f>
        <v>0</v>
      </c>
      <c r="DR41" s="124">
        <f t="shared" ref="DR41" si="157">SUM(DR25:DR40)</f>
        <v>0</v>
      </c>
      <c r="DS41" s="124">
        <f t="shared" ref="DS41" si="158">SUM(DS25:DS40)</f>
        <v>0</v>
      </c>
      <c r="DT41" s="124">
        <f t="shared" ref="DT41" si="159">SUM(DT25:DT40)</f>
        <v>0</v>
      </c>
      <c r="DU41" s="124">
        <f t="shared" ref="DU41" si="160">SUM(DU25:DU40)</f>
        <v>0</v>
      </c>
      <c r="DV41" s="124">
        <f t="shared" ref="DV41" si="161">SUM(DV25:DV40)</f>
        <v>0</v>
      </c>
      <c r="DW41" s="124">
        <f t="shared" ref="DW41" si="162">SUM(DW25:DW40)</f>
        <v>0</v>
      </c>
      <c r="DX41" s="124">
        <f t="shared" ref="DX41" si="163">SUM(DX25:DX40)</f>
        <v>0</v>
      </c>
      <c r="DY41" s="124">
        <f t="shared" ref="DY41" si="164">SUM(DY25:DY40)</f>
        <v>0</v>
      </c>
      <c r="DZ41" s="124">
        <f t="shared" ref="DZ41" si="165">SUM(DZ25:DZ40)</f>
        <v>0</v>
      </c>
      <c r="EA41" s="124">
        <f t="shared" ref="EA41" si="166">SUM(EA25:EA40)</f>
        <v>0</v>
      </c>
      <c r="EB41" s="124">
        <f t="shared" ref="EB41" si="167">SUM(EB25:EB40)</f>
        <v>0</v>
      </c>
      <c r="EC41" s="124">
        <f t="shared" ref="EC41" si="168">SUM(EC25:EC40)</f>
        <v>0</v>
      </c>
      <c r="ED41" s="124">
        <f t="shared" ref="ED41" si="169">SUM(ED25:ED40)</f>
        <v>0</v>
      </c>
      <c r="EE41" s="124">
        <f t="shared" ref="EE41" si="170">SUM(EE25:EE40)</f>
        <v>0</v>
      </c>
      <c r="EF41" s="124">
        <f t="shared" ref="EF41" si="171">SUM(EF25:EF40)</f>
        <v>0</v>
      </c>
      <c r="EG41" s="124">
        <f t="shared" ref="EG41" si="172">SUM(EG25:EG40)</f>
        <v>0</v>
      </c>
      <c r="EH41" s="124">
        <f t="shared" ref="EH41" si="173">SUM(EH25:EH40)</f>
        <v>0</v>
      </c>
      <c r="EI41" s="125">
        <f t="shared" ref="EI41" si="174">SUM(EI25:EI40)</f>
        <v>0</v>
      </c>
    </row>
    <row r="43" spans="1:139" x14ac:dyDescent="0.35">
      <c r="B43" s="2" t="s">
        <v>155</v>
      </c>
      <c r="C43" s="38"/>
      <c r="D43" s="38"/>
      <c r="E43" s="38"/>
      <c r="F43" s="38"/>
      <c r="G43" s="3"/>
      <c r="EI43" s="1">
        <v>0</v>
      </c>
    </row>
    <row r="44" spans="1:139" x14ac:dyDescent="0.35">
      <c r="A44" s="2" t="s">
        <v>149</v>
      </c>
      <c r="B44" s="115" t="s">
        <v>156</v>
      </c>
      <c r="C44" s="95" t="s">
        <v>96</v>
      </c>
      <c r="D44" s="95" t="s">
        <v>141</v>
      </c>
      <c r="E44" s="95" t="s">
        <v>98</v>
      </c>
      <c r="F44" s="95" t="s">
        <v>99</v>
      </c>
      <c r="G44" s="96" t="s">
        <v>142</v>
      </c>
    </row>
    <row r="45" spans="1:139" x14ac:dyDescent="0.35">
      <c r="A45" s="126" t="str">
        <f>IF(ABS(SUM(H45:EI45)-C45)&lt;0.0001,"OK","ERROR")</f>
        <v>OK</v>
      </c>
      <c r="B45" s="128">
        <v>0.1</v>
      </c>
      <c r="C45" s="36">
        <f>B45*SUM(C21,C41)</f>
        <v>178500</v>
      </c>
      <c r="D45" s="36">
        <f>C45/Revenue!A23</f>
        <v>1622.7272727272727</v>
      </c>
      <c r="E45" s="129">
        <f>MIN(E21,E41)</f>
        <v>2</v>
      </c>
      <c r="F45" s="129">
        <f>MAX(F21,F41)</f>
        <v>25</v>
      </c>
      <c r="G45" s="120">
        <f>F45-E45+1</f>
        <v>24</v>
      </c>
      <c r="H45" s="123">
        <f>$B$45*SUM(H21,H41)</f>
        <v>0</v>
      </c>
      <c r="I45" s="124">
        <f t="shared" ref="I45:BT45" si="175">$B$45*SUM(I21,I41)</f>
        <v>15020.833333333336</v>
      </c>
      <c r="J45" s="124">
        <f t="shared" si="175"/>
        <v>20020.833333333336</v>
      </c>
      <c r="K45" s="124">
        <f t="shared" si="175"/>
        <v>20020.833333333336</v>
      </c>
      <c r="L45" s="124">
        <f t="shared" si="175"/>
        <v>20020.833333333336</v>
      </c>
      <c r="M45" s="124">
        <f t="shared" si="175"/>
        <v>17520.833333333336</v>
      </c>
      <c r="N45" s="124">
        <f t="shared" si="175"/>
        <v>17520.833333333336</v>
      </c>
      <c r="O45" s="124">
        <f t="shared" si="175"/>
        <v>12520.833333333334</v>
      </c>
      <c r="P45" s="124">
        <f t="shared" si="175"/>
        <v>12520.833333333334</v>
      </c>
      <c r="Q45" s="124">
        <f t="shared" si="175"/>
        <v>3520.833333333333</v>
      </c>
      <c r="R45" s="124">
        <f t="shared" si="175"/>
        <v>3520.833333333333</v>
      </c>
      <c r="S45" s="124">
        <f t="shared" si="175"/>
        <v>3520.833333333333</v>
      </c>
      <c r="T45" s="124">
        <f t="shared" si="175"/>
        <v>2520.8333333333335</v>
      </c>
      <c r="U45" s="124">
        <f t="shared" si="175"/>
        <v>2520.8333333333335</v>
      </c>
      <c r="V45" s="124">
        <f t="shared" si="175"/>
        <v>2520.8333333333335</v>
      </c>
      <c r="W45" s="124">
        <f t="shared" si="175"/>
        <v>2520.8333333333335</v>
      </c>
      <c r="X45" s="124">
        <f t="shared" si="175"/>
        <v>2520.8333333333335</v>
      </c>
      <c r="Y45" s="124">
        <f t="shared" si="175"/>
        <v>2520.8333333333335</v>
      </c>
      <c r="Z45" s="124">
        <f t="shared" si="175"/>
        <v>2520.8333333333335</v>
      </c>
      <c r="AA45" s="124">
        <f t="shared" si="175"/>
        <v>2520.8333333333335</v>
      </c>
      <c r="AB45" s="124">
        <f t="shared" si="175"/>
        <v>2520.8333333333335</v>
      </c>
      <c r="AC45" s="124">
        <f t="shared" si="175"/>
        <v>2520.8333333333335</v>
      </c>
      <c r="AD45" s="124">
        <f t="shared" si="175"/>
        <v>2520.8333333333335</v>
      </c>
      <c r="AE45" s="124">
        <f t="shared" si="175"/>
        <v>2520.8333333333335</v>
      </c>
      <c r="AF45" s="124">
        <f t="shared" si="175"/>
        <v>2520.8333333333335</v>
      </c>
      <c r="AG45" s="124">
        <f t="shared" si="175"/>
        <v>0</v>
      </c>
      <c r="AH45" s="124">
        <f t="shared" si="175"/>
        <v>0</v>
      </c>
      <c r="AI45" s="124">
        <f t="shared" si="175"/>
        <v>0</v>
      </c>
      <c r="AJ45" s="124">
        <f t="shared" si="175"/>
        <v>0</v>
      </c>
      <c r="AK45" s="124">
        <f t="shared" si="175"/>
        <v>0</v>
      </c>
      <c r="AL45" s="124">
        <f t="shared" si="175"/>
        <v>0</v>
      </c>
      <c r="AM45" s="124">
        <f t="shared" si="175"/>
        <v>0</v>
      </c>
      <c r="AN45" s="124">
        <f t="shared" si="175"/>
        <v>0</v>
      </c>
      <c r="AO45" s="124">
        <f t="shared" si="175"/>
        <v>0</v>
      </c>
      <c r="AP45" s="124">
        <f t="shared" si="175"/>
        <v>0</v>
      </c>
      <c r="AQ45" s="124">
        <f t="shared" si="175"/>
        <v>0</v>
      </c>
      <c r="AR45" s="124">
        <f t="shared" si="175"/>
        <v>0</v>
      </c>
      <c r="AS45" s="124">
        <f t="shared" si="175"/>
        <v>0</v>
      </c>
      <c r="AT45" s="124">
        <f t="shared" si="175"/>
        <v>0</v>
      </c>
      <c r="AU45" s="124">
        <f t="shared" si="175"/>
        <v>0</v>
      </c>
      <c r="AV45" s="124">
        <f t="shared" si="175"/>
        <v>0</v>
      </c>
      <c r="AW45" s="124">
        <f t="shared" si="175"/>
        <v>0</v>
      </c>
      <c r="AX45" s="124">
        <f t="shared" si="175"/>
        <v>0</v>
      </c>
      <c r="AY45" s="124">
        <f t="shared" si="175"/>
        <v>0</v>
      </c>
      <c r="AZ45" s="124">
        <f t="shared" si="175"/>
        <v>0</v>
      </c>
      <c r="BA45" s="124">
        <f t="shared" si="175"/>
        <v>0</v>
      </c>
      <c r="BB45" s="124">
        <f t="shared" si="175"/>
        <v>0</v>
      </c>
      <c r="BC45" s="124">
        <f t="shared" si="175"/>
        <v>0</v>
      </c>
      <c r="BD45" s="124">
        <f t="shared" si="175"/>
        <v>0</v>
      </c>
      <c r="BE45" s="124">
        <f t="shared" si="175"/>
        <v>0</v>
      </c>
      <c r="BF45" s="124">
        <f t="shared" si="175"/>
        <v>0</v>
      </c>
      <c r="BG45" s="124">
        <f t="shared" si="175"/>
        <v>0</v>
      </c>
      <c r="BH45" s="124">
        <f t="shared" si="175"/>
        <v>0</v>
      </c>
      <c r="BI45" s="124">
        <f t="shared" si="175"/>
        <v>0</v>
      </c>
      <c r="BJ45" s="124">
        <f t="shared" si="175"/>
        <v>0</v>
      </c>
      <c r="BK45" s="124">
        <f t="shared" si="175"/>
        <v>0</v>
      </c>
      <c r="BL45" s="124">
        <f t="shared" si="175"/>
        <v>0</v>
      </c>
      <c r="BM45" s="124">
        <f t="shared" si="175"/>
        <v>0</v>
      </c>
      <c r="BN45" s="124">
        <f t="shared" si="175"/>
        <v>0</v>
      </c>
      <c r="BO45" s="124">
        <f t="shared" si="175"/>
        <v>0</v>
      </c>
      <c r="BP45" s="124">
        <f t="shared" si="175"/>
        <v>0</v>
      </c>
      <c r="BQ45" s="124">
        <f t="shared" si="175"/>
        <v>0</v>
      </c>
      <c r="BR45" s="124">
        <f t="shared" si="175"/>
        <v>0</v>
      </c>
      <c r="BS45" s="124">
        <f t="shared" si="175"/>
        <v>0</v>
      </c>
      <c r="BT45" s="124">
        <f t="shared" si="175"/>
        <v>0</v>
      </c>
      <c r="BU45" s="124">
        <f t="shared" ref="BU45:EF45" si="176">$B$45*SUM(BU21,BU41)</f>
        <v>0</v>
      </c>
      <c r="BV45" s="124">
        <f t="shared" si="176"/>
        <v>0</v>
      </c>
      <c r="BW45" s="124">
        <f t="shared" si="176"/>
        <v>0</v>
      </c>
      <c r="BX45" s="124">
        <f t="shared" si="176"/>
        <v>0</v>
      </c>
      <c r="BY45" s="124">
        <f t="shared" si="176"/>
        <v>0</v>
      </c>
      <c r="BZ45" s="124">
        <f t="shared" si="176"/>
        <v>0</v>
      </c>
      <c r="CA45" s="124">
        <f t="shared" si="176"/>
        <v>0</v>
      </c>
      <c r="CB45" s="124">
        <f t="shared" si="176"/>
        <v>0</v>
      </c>
      <c r="CC45" s="124">
        <f t="shared" si="176"/>
        <v>0</v>
      </c>
      <c r="CD45" s="124">
        <f t="shared" si="176"/>
        <v>0</v>
      </c>
      <c r="CE45" s="124">
        <f t="shared" si="176"/>
        <v>0</v>
      </c>
      <c r="CF45" s="124">
        <f t="shared" si="176"/>
        <v>0</v>
      </c>
      <c r="CG45" s="124">
        <f t="shared" si="176"/>
        <v>0</v>
      </c>
      <c r="CH45" s="124">
        <f t="shared" si="176"/>
        <v>0</v>
      </c>
      <c r="CI45" s="124">
        <f t="shared" si="176"/>
        <v>0</v>
      </c>
      <c r="CJ45" s="124">
        <f t="shared" si="176"/>
        <v>0</v>
      </c>
      <c r="CK45" s="124">
        <f t="shared" si="176"/>
        <v>0</v>
      </c>
      <c r="CL45" s="124">
        <f t="shared" si="176"/>
        <v>0</v>
      </c>
      <c r="CM45" s="124">
        <f t="shared" si="176"/>
        <v>0</v>
      </c>
      <c r="CN45" s="124">
        <f t="shared" si="176"/>
        <v>0</v>
      </c>
      <c r="CO45" s="124">
        <f t="shared" si="176"/>
        <v>0</v>
      </c>
      <c r="CP45" s="124">
        <f t="shared" si="176"/>
        <v>0</v>
      </c>
      <c r="CQ45" s="124">
        <f t="shared" si="176"/>
        <v>0</v>
      </c>
      <c r="CR45" s="124">
        <f t="shared" si="176"/>
        <v>0</v>
      </c>
      <c r="CS45" s="124">
        <f t="shared" si="176"/>
        <v>0</v>
      </c>
      <c r="CT45" s="124">
        <f t="shared" si="176"/>
        <v>0</v>
      </c>
      <c r="CU45" s="124">
        <f t="shared" si="176"/>
        <v>0</v>
      </c>
      <c r="CV45" s="124">
        <f t="shared" si="176"/>
        <v>0</v>
      </c>
      <c r="CW45" s="124">
        <f t="shared" si="176"/>
        <v>0</v>
      </c>
      <c r="CX45" s="124">
        <f t="shared" si="176"/>
        <v>0</v>
      </c>
      <c r="CY45" s="124">
        <f t="shared" si="176"/>
        <v>0</v>
      </c>
      <c r="CZ45" s="124">
        <f t="shared" si="176"/>
        <v>0</v>
      </c>
      <c r="DA45" s="124">
        <f t="shared" si="176"/>
        <v>0</v>
      </c>
      <c r="DB45" s="124">
        <f t="shared" si="176"/>
        <v>0</v>
      </c>
      <c r="DC45" s="124">
        <f t="shared" si="176"/>
        <v>0</v>
      </c>
      <c r="DD45" s="124">
        <f t="shared" si="176"/>
        <v>0</v>
      </c>
      <c r="DE45" s="124">
        <f t="shared" si="176"/>
        <v>0</v>
      </c>
      <c r="DF45" s="124">
        <f t="shared" si="176"/>
        <v>0</v>
      </c>
      <c r="DG45" s="124">
        <f t="shared" si="176"/>
        <v>0</v>
      </c>
      <c r="DH45" s="124">
        <f t="shared" si="176"/>
        <v>0</v>
      </c>
      <c r="DI45" s="124">
        <f t="shared" si="176"/>
        <v>0</v>
      </c>
      <c r="DJ45" s="124">
        <f t="shared" si="176"/>
        <v>0</v>
      </c>
      <c r="DK45" s="124">
        <f t="shared" si="176"/>
        <v>0</v>
      </c>
      <c r="DL45" s="124">
        <f t="shared" si="176"/>
        <v>0</v>
      </c>
      <c r="DM45" s="124">
        <f t="shared" si="176"/>
        <v>0</v>
      </c>
      <c r="DN45" s="124">
        <f t="shared" si="176"/>
        <v>0</v>
      </c>
      <c r="DO45" s="124">
        <f t="shared" si="176"/>
        <v>0</v>
      </c>
      <c r="DP45" s="124">
        <f t="shared" si="176"/>
        <v>0</v>
      </c>
      <c r="DQ45" s="124">
        <f t="shared" si="176"/>
        <v>0</v>
      </c>
      <c r="DR45" s="124">
        <f t="shared" si="176"/>
        <v>0</v>
      </c>
      <c r="DS45" s="124">
        <f t="shared" si="176"/>
        <v>0</v>
      </c>
      <c r="DT45" s="124">
        <f t="shared" si="176"/>
        <v>0</v>
      </c>
      <c r="DU45" s="124">
        <f t="shared" si="176"/>
        <v>0</v>
      </c>
      <c r="DV45" s="124">
        <f t="shared" si="176"/>
        <v>0</v>
      </c>
      <c r="DW45" s="124">
        <f t="shared" si="176"/>
        <v>0</v>
      </c>
      <c r="DX45" s="124">
        <f t="shared" si="176"/>
        <v>0</v>
      </c>
      <c r="DY45" s="124">
        <f t="shared" si="176"/>
        <v>0</v>
      </c>
      <c r="DZ45" s="124">
        <f t="shared" si="176"/>
        <v>0</v>
      </c>
      <c r="EA45" s="124">
        <f t="shared" si="176"/>
        <v>0</v>
      </c>
      <c r="EB45" s="124">
        <f t="shared" si="176"/>
        <v>0</v>
      </c>
      <c r="EC45" s="124">
        <f t="shared" si="176"/>
        <v>0</v>
      </c>
      <c r="ED45" s="124">
        <f t="shared" si="176"/>
        <v>0</v>
      </c>
      <c r="EE45" s="124">
        <f t="shared" si="176"/>
        <v>0</v>
      </c>
      <c r="EF45" s="124">
        <f t="shared" si="176"/>
        <v>0</v>
      </c>
      <c r="EG45" s="124">
        <f t="shared" ref="EG45:EI45" si="177">$B$45*SUM(EG21,EG41)</f>
        <v>0</v>
      </c>
      <c r="EH45" s="124">
        <f t="shared" si="177"/>
        <v>0</v>
      </c>
      <c r="EI45" s="125">
        <f t="shared" si="177"/>
        <v>0</v>
      </c>
    </row>
    <row r="47" spans="1:139" x14ac:dyDescent="0.35">
      <c r="B47" s="2" t="s">
        <v>157</v>
      </c>
      <c r="C47" s="38"/>
      <c r="D47" s="38"/>
      <c r="E47" s="38"/>
      <c r="F47" s="38"/>
      <c r="G47" s="3"/>
      <c r="EI47" s="1">
        <v>0</v>
      </c>
    </row>
    <row r="48" spans="1:139" x14ac:dyDescent="0.35">
      <c r="A48" s="2" t="s">
        <v>149</v>
      </c>
      <c r="B48" s="115" t="s">
        <v>112</v>
      </c>
      <c r="C48" s="95" t="s">
        <v>96</v>
      </c>
      <c r="D48" s="95" t="s">
        <v>141</v>
      </c>
      <c r="E48" s="95" t="s">
        <v>98</v>
      </c>
      <c r="F48" s="95" t="s">
        <v>99</v>
      </c>
      <c r="G48" s="96" t="s">
        <v>142</v>
      </c>
    </row>
    <row r="49" spans="1:139" x14ac:dyDescent="0.35">
      <c r="A49" s="126" t="str">
        <f>IF(ABS(SUM(H49:EI49)-C49)&lt;0.0001,"OK","ERROR")</f>
        <v>OK</v>
      </c>
      <c r="B49" s="14" t="s">
        <v>158</v>
      </c>
      <c r="C49" s="36">
        <f>SUM(C21,C41,C45)</f>
        <v>1963500</v>
      </c>
      <c r="D49" s="36">
        <f>SUM(D21,D41,D45)</f>
        <v>17850</v>
      </c>
      <c r="E49" s="129">
        <f>E45</f>
        <v>2</v>
      </c>
      <c r="F49" s="129">
        <f>F45</f>
        <v>25</v>
      </c>
      <c r="G49" s="120">
        <f>F49-E49+1</f>
        <v>24</v>
      </c>
      <c r="H49" s="123">
        <f>SUM(H21,H41,H45)</f>
        <v>0</v>
      </c>
      <c r="I49" s="124">
        <f t="shared" ref="I49:BT49" si="178">SUM(I21,I41,I45)</f>
        <v>165229.16666666669</v>
      </c>
      <c r="J49" s="124">
        <f t="shared" si="178"/>
        <v>220229.16666666669</v>
      </c>
      <c r="K49" s="124">
        <f t="shared" si="178"/>
        <v>220229.16666666669</v>
      </c>
      <c r="L49" s="124">
        <f t="shared" si="178"/>
        <v>220229.16666666669</v>
      </c>
      <c r="M49" s="124">
        <f t="shared" si="178"/>
        <v>192729.16666666669</v>
      </c>
      <c r="N49" s="124">
        <f t="shared" si="178"/>
        <v>192729.16666666669</v>
      </c>
      <c r="O49" s="124">
        <f t="shared" si="178"/>
        <v>137729.16666666666</v>
      </c>
      <c r="P49" s="124">
        <f t="shared" si="178"/>
        <v>137729.16666666666</v>
      </c>
      <c r="Q49" s="124">
        <f t="shared" si="178"/>
        <v>38729.166666666664</v>
      </c>
      <c r="R49" s="124">
        <f t="shared" si="178"/>
        <v>38729.166666666664</v>
      </c>
      <c r="S49" s="124">
        <f t="shared" si="178"/>
        <v>38729.166666666664</v>
      </c>
      <c r="T49" s="124">
        <f t="shared" si="178"/>
        <v>27729.166666666664</v>
      </c>
      <c r="U49" s="124">
        <f t="shared" si="178"/>
        <v>27729.166666666664</v>
      </c>
      <c r="V49" s="124">
        <f t="shared" si="178"/>
        <v>27729.166666666664</v>
      </c>
      <c r="W49" s="124">
        <f t="shared" si="178"/>
        <v>27729.166666666664</v>
      </c>
      <c r="X49" s="124">
        <f t="shared" si="178"/>
        <v>27729.166666666664</v>
      </c>
      <c r="Y49" s="124">
        <f t="shared" si="178"/>
        <v>27729.166666666664</v>
      </c>
      <c r="Z49" s="124">
        <f t="shared" si="178"/>
        <v>27729.166666666664</v>
      </c>
      <c r="AA49" s="124">
        <f t="shared" si="178"/>
        <v>27729.166666666664</v>
      </c>
      <c r="AB49" s="124">
        <f t="shared" si="178"/>
        <v>27729.166666666664</v>
      </c>
      <c r="AC49" s="124">
        <f t="shared" si="178"/>
        <v>27729.166666666664</v>
      </c>
      <c r="AD49" s="124">
        <f t="shared" si="178"/>
        <v>27729.166666666664</v>
      </c>
      <c r="AE49" s="124">
        <f t="shared" si="178"/>
        <v>27729.166666666664</v>
      </c>
      <c r="AF49" s="124">
        <f t="shared" si="178"/>
        <v>27729.166666666664</v>
      </c>
      <c r="AG49" s="124">
        <f t="shared" si="178"/>
        <v>0</v>
      </c>
      <c r="AH49" s="124">
        <f t="shared" si="178"/>
        <v>0</v>
      </c>
      <c r="AI49" s="124">
        <f t="shared" si="178"/>
        <v>0</v>
      </c>
      <c r="AJ49" s="124">
        <f t="shared" si="178"/>
        <v>0</v>
      </c>
      <c r="AK49" s="124">
        <f t="shared" si="178"/>
        <v>0</v>
      </c>
      <c r="AL49" s="124">
        <f t="shared" si="178"/>
        <v>0</v>
      </c>
      <c r="AM49" s="124">
        <f t="shared" si="178"/>
        <v>0</v>
      </c>
      <c r="AN49" s="124">
        <f t="shared" si="178"/>
        <v>0</v>
      </c>
      <c r="AO49" s="124">
        <f t="shared" si="178"/>
        <v>0</v>
      </c>
      <c r="AP49" s="124">
        <f t="shared" si="178"/>
        <v>0</v>
      </c>
      <c r="AQ49" s="124">
        <f t="shared" si="178"/>
        <v>0</v>
      </c>
      <c r="AR49" s="124">
        <f t="shared" si="178"/>
        <v>0</v>
      </c>
      <c r="AS49" s="124">
        <f t="shared" si="178"/>
        <v>0</v>
      </c>
      <c r="AT49" s="124">
        <f t="shared" si="178"/>
        <v>0</v>
      </c>
      <c r="AU49" s="124">
        <f t="shared" si="178"/>
        <v>0</v>
      </c>
      <c r="AV49" s="124">
        <f t="shared" si="178"/>
        <v>0</v>
      </c>
      <c r="AW49" s="124">
        <f t="shared" si="178"/>
        <v>0</v>
      </c>
      <c r="AX49" s="124">
        <f t="shared" si="178"/>
        <v>0</v>
      </c>
      <c r="AY49" s="124">
        <f t="shared" si="178"/>
        <v>0</v>
      </c>
      <c r="AZ49" s="124">
        <f t="shared" si="178"/>
        <v>0</v>
      </c>
      <c r="BA49" s="124">
        <f t="shared" si="178"/>
        <v>0</v>
      </c>
      <c r="BB49" s="124">
        <f t="shared" si="178"/>
        <v>0</v>
      </c>
      <c r="BC49" s="124">
        <f t="shared" si="178"/>
        <v>0</v>
      </c>
      <c r="BD49" s="124">
        <f t="shared" si="178"/>
        <v>0</v>
      </c>
      <c r="BE49" s="124">
        <f t="shared" si="178"/>
        <v>0</v>
      </c>
      <c r="BF49" s="124">
        <f t="shared" si="178"/>
        <v>0</v>
      </c>
      <c r="BG49" s="124">
        <f t="shared" si="178"/>
        <v>0</v>
      </c>
      <c r="BH49" s="124">
        <f t="shared" si="178"/>
        <v>0</v>
      </c>
      <c r="BI49" s="124">
        <f t="shared" si="178"/>
        <v>0</v>
      </c>
      <c r="BJ49" s="124">
        <f t="shared" si="178"/>
        <v>0</v>
      </c>
      <c r="BK49" s="124">
        <f t="shared" si="178"/>
        <v>0</v>
      </c>
      <c r="BL49" s="124">
        <f t="shared" si="178"/>
        <v>0</v>
      </c>
      <c r="BM49" s="124">
        <f t="shared" si="178"/>
        <v>0</v>
      </c>
      <c r="BN49" s="124">
        <f t="shared" si="178"/>
        <v>0</v>
      </c>
      <c r="BO49" s="124">
        <f t="shared" si="178"/>
        <v>0</v>
      </c>
      <c r="BP49" s="124">
        <f t="shared" si="178"/>
        <v>0</v>
      </c>
      <c r="BQ49" s="124">
        <f t="shared" si="178"/>
        <v>0</v>
      </c>
      <c r="BR49" s="124">
        <f t="shared" si="178"/>
        <v>0</v>
      </c>
      <c r="BS49" s="124">
        <f t="shared" si="178"/>
        <v>0</v>
      </c>
      <c r="BT49" s="124">
        <f t="shared" si="178"/>
        <v>0</v>
      </c>
      <c r="BU49" s="124">
        <f t="shared" ref="BU49:EF49" si="179">SUM(BU21,BU41,BU45)</f>
        <v>0</v>
      </c>
      <c r="BV49" s="124">
        <f t="shared" si="179"/>
        <v>0</v>
      </c>
      <c r="BW49" s="124">
        <f t="shared" si="179"/>
        <v>0</v>
      </c>
      <c r="BX49" s="124">
        <f t="shared" si="179"/>
        <v>0</v>
      </c>
      <c r="BY49" s="124">
        <f t="shared" si="179"/>
        <v>0</v>
      </c>
      <c r="BZ49" s="124">
        <f t="shared" si="179"/>
        <v>0</v>
      </c>
      <c r="CA49" s="124">
        <f t="shared" si="179"/>
        <v>0</v>
      </c>
      <c r="CB49" s="124">
        <f t="shared" si="179"/>
        <v>0</v>
      </c>
      <c r="CC49" s="124">
        <f t="shared" si="179"/>
        <v>0</v>
      </c>
      <c r="CD49" s="124">
        <f t="shared" si="179"/>
        <v>0</v>
      </c>
      <c r="CE49" s="124">
        <f t="shared" si="179"/>
        <v>0</v>
      </c>
      <c r="CF49" s="124">
        <f t="shared" si="179"/>
        <v>0</v>
      </c>
      <c r="CG49" s="124">
        <f t="shared" si="179"/>
        <v>0</v>
      </c>
      <c r="CH49" s="124">
        <f t="shared" si="179"/>
        <v>0</v>
      </c>
      <c r="CI49" s="124">
        <f t="shared" si="179"/>
        <v>0</v>
      </c>
      <c r="CJ49" s="124">
        <f t="shared" si="179"/>
        <v>0</v>
      </c>
      <c r="CK49" s="124">
        <f t="shared" si="179"/>
        <v>0</v>
      </c>
      <c r="CL49" s="124">
        <f t="shared" si="179"/>
        <v>0</v>
      </c>
      <c r="CM49" s="124">
        <f t="shared" si="179"/>
        <v>0</v>
      </c>
      <c r="CN49" s="124">
        <f t="shared" si="179"/>
        <v>0</v>
      </c>
      <c r="CO49" s="124">
        <f t="shared" si="179"/>
        <v>0</v>
      </c>
      <c r="CP49" s="124">
        <f t="shared" si="179"/>
        <v>0</v>
      </c>
      <c r="CQ49" s="124">
        <f t="shared" si="179"/>
        <v>0</v>
      </c>
      <c r="CR49" s="124">
        <f t="shared" si="179"/>
        <v>0</v>
      </c>
      <c r="CS49" s="124">
        <f t="shared" si="179"/>
        <v>0</v>
      </c>
      <c r="CT49" s="124">
        <f t="shared" si="179"/>
        <v>0</v>
      </c>
      <c r="CU49" s="124">
        <f t="shared" si="179"/>
        <v>0</v>
      </c>
      <c r="CV49" s="124">
        <f t="shared" si="179"/>
        <v>0</v>
      </c>
      <c r="CW49" s="124">
        <f t="shared" si="179"/>
        <v>0</v>
      </c>
      <c r="CX49" s="124">
        <f t="shared" si="179"/>
        <v>0</v>
      </c>
      <c r="CY49" s="124">
        <f t="shared" si="179"/>
        <v>0</v>
      </c>
      <c r="CZ49" s="124">
        <f t="shared" si="179"/>
        <v>0</v>
      </c>
      <c r="DA49" s="124">
        <f t="shared" si="179"/>
        <v>0</v>
      </c>
      <c r="DB49" s="124">
        <f t="shared" si="179"/>
        <v>0</v>
      </c>
      <c r="DC49" s="124">
        <f t="shared" si="179"/>
        <v>0</v>
      </c>
      <c r="DD49" s="124">
        <f t="shared" si="179"/>
        <v>0</v>
      </c>
      <c r="DE49" s="124">
        <f t="shared" si="179"/>
        <v>0</v>
      </c>
      <c r="DF49" s="124">
        <f t="shared" si="179"/>
        <v>0</v>
      </c>
      <c r="DG49" s="124">
        <f t="shared" si="179"/>
        <v>0</v>
      </c>
      <c r="DH49" s="124">
        <f t="shared" si="179"/>
        <v>0</v>
      </c>
      <c r="DI49" s="124">
        <f t="shared" si="179"/>
        <v>0</v>
      </c>
      <c r="DJ49" s="124">
        <f t="shared" si="179"/>
        <v>0</v>
      </c>
      <c r="DK49" s="124">
        <f t="shared" si="179"/>
        <v>0</v>
      </c>
      <c r="DL49" s="124">
        <f t="shared" si="179"/>
        <v>0</v>
      </c>
      <c r="DM49" s="124">
        <f t="shared" si="179"/>
        <v>0</v>
      </c>
      <c r="DN49" s="124">
        <f t="shared" si="179"/>
        <v>0</v>
      </c>
      <c r="DO49" s="124">
        <f t="shared" si="179"/>
        <v>0</v>
      </c>
      <c r="DP49" s="124">
        <f t="shared" si="179"/>
        <v>0</v>
      </c>
      <c r="DQ49" s="124">
        <f t="shared" si="179"/>
        <v>0</v>
      </c>
      <c r="DR49" s="124">
        <f t="shared" si="179"/>
        <v>0</v>
      </c>
      <c r="DS49" s="124">
        <f t="shared" si="179"/>
        <v>0</v>
      </c>
      <c r="DT49" s="124">
        <f t="shared" si="179"/>
        <v>0</v>
      </c>
      <c r="DU49" s="124">
        <f t="shared" si="179"/>
        <v>0</v>
      </c>
      <c r="DV49" s="124">
        <f t="shared" si="179"/>
        <v>0</v>
      </c>
      <c r="DW49" s="124">
        <f t="shared" si="179"/>
        <v>0</v>
      </c>
      <c r="DX49" s="124">
        <f t="shared" si="179"/>
        <v>0</v>
      </c>
      <c r="DY49" s="124">
        <f t="shared" si="179"/>
        <v>0</v>
      </c>
      <c r="DZ49" s="124">
        <f t="shared" si="179"/>
        <v>0</v>
      </c>
      <c r="EA49" s="124">
        <f t="shared" si="179"/>
        <v>0</v>
      </c>
      <c r="EB49" s="124">
        <f t="shared" si="179"/>
        <v>0</v>
      </c>
      <c r="EC49" s="124">
        <f t="shared" si="179"/>
        <v>0</v>
      </c>
      <c r="ED49" s="124">
        <f t="shared" si="179"/>
        <v>0</v>
      </c>
      <c r="EE49" s="124">
        <f t="shared" si="179"/>
        <v>0</v>
      </c>
      <c r="EF49" s="124">
        <f t="shared" si="179"/>
        <v>0</v>
      </c>
      <c r="EG49" s="124">
        <f t="shared" ref="EG49:EI49" si="180">SUM(EG21,EG41,EG45)</f>
        <v>0</v>
      </c>
      <c r="EH49" s="124">
        <f t="shared" si="180"/>
        <v>0</v>
      </c>
      <c r="EI49" s="125">
        <f t="shared" si="180"/>
        <v>0</v>
      </c>
    </row>
  </sheetData>
  <conditionalFormatting sqref="A5:A21">
    <cfRule type="containsText" dxfId="11" priority="7" operator="containsText" text="ERROR">
      <formula>NOT(ISERROR(SEARCH("ERROR",A5)))</formula>
    </cfRule>
    <cfRule type="containsText" dxfId="10" priority="8" operator="containsText" text="OK">
      <formula>NOT(ISERROR(SEARCH("OK",A5)))</formula>
    </cfRule>
  </conditionalFormatting>
  <conditionalFormatting sqref="A25:A41">
    <cfRule type="containsText" dxfId="9" priority="5" operator="containsText" text="ERROR">
      <formula>NOT(ISERROR(SEARCH("ERROR",A25)))</formula>
    </cfRule>
    <cfRule type="containsText" dxfId="8" priority="6" operator="containsText" text="OK">
      <formula>NOT(ISERROR(SEARCH("OK",A25)))</formula>
    </cfRule>
  </conditionalFormatting>
  <conditionalFormatting sqref="A45">
    <cfRule type="containsText" dxfId="7" priority="3" operator="containsText" text="ERROR">
      <formula>NOT(ISERROR(SEARCH("ERROR",A45)))</formula>
    </cfRule>
    <cfRule type="containsText" dxfId="6" priority="4" operator="containsText" text="OK">
      <formula>NOT(ISERROR(SEARCH("OK",A45)))</formula>
    </cfRule>
  </conditionalFormatting>
  <conditionalFormatting sqref="A49">
    <cfRule type="containsText" dxfId="5" priority="1" operator="containsText" text="ERROR">
      <formula>NOT(ISERROR(SEARCH("ERROR",A49)))</formula>
    </cfRule>
    <cfRule type="containsText" dxfId="4" priority="2" operator="containsText" text="OK">
      <formula>NOT(ISERROR(SEARCH("OK",A49)))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ADB7-C00E-47FE-BED6-02317854C803}">
  <dimension ref="A1:ED19"/>
  <sheetViews>
    <sheetView showGridLines="0" workbookViewId="0">
      <selection activeCell="C8" sqref="C8"/>
    </sheetView>
  </sheetViews>
  <sheetFormatPr defaultColWidth="8.81640625" defaultRowHeight="13.5" x14ac:dyDescent="0.35"/>
  <cols>
    <col min="1" max="1" width="12.6328125" style="1" bestFit="1" customWidth="1"/>
    <col min="2" max="2" width="19.54296875" style="1" bestFit="1" customWidth="1"/>
    <col min="3" max="121" width="13.453125" style="1" bestFit="1" customWidth="1"/>
    <col min="122" max="122" width="12.6328125" style="1" bestFit="1" customWidth="1"/>
    <col min="123" max="130" width="10.08984375" style="1" bestFit="1" customWidth="1"/>
    <col min="131" max="133" width="11.1796875" style="1" bestFit="1" customWidth="1"/>
    <col min="134" max="134" width="10.08984375" style="1" bestFit="1" customWidth="1"/>
    <col min="135" max="16384" width="8.81640625" style="1"/>
  </cols>
  <sheetData>
    <row r="1" spans="1:134" x14ac:dyDescent="0.35">
      <c r="A1" s="144" t="s">
        <v>149</v>
      </c>
      <c r="B1" s="130" t="s">
        <v>159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/>
      <c r="CU1" s="131"/>
      <c r="CV1" s="131"/>
      <c r="CW1" s="131"/>
      <c r="CX1" s="131"/>
      <c r="CY1" s="131"/>
      <c r="CZ1" s="131"/>
      <c r="DA1" s="131"/>
      <c r="DB1" s="131"/>
      <c r="DC1" s="131"/>
      <c r="DD1" s="131"/>
      <c r="DE1" s="131"/>
      <c r="DF1" s="131"/>
      <c r="DG1" s="131"/>
      <c r="DH1" s="131"/>
      <c r="DI1" s="131"/>
      <c r="DJ1" s="131"/>
      <c r="DK1" s="131"/>
      <c r="DL1" s="131"/>
      <c r="DM1" s="131"/>
      <c r="DN1" s="131"/>
      <c r="DO1" s="131"/>
      <c r="DP1" s="131"/>
      <c r="DQ1" s="131"/>
      <c r="DR1" s="131"/>
      <c r="DS1" s="131"/>
      <c r="DT1" s="131"/>
      <c r="DU1" s="131"/>
      <c r="DV1" s="131"/>
      <c r="DW1" s="131"/>
      <c r="DX1" s="131"/>
      <c r="DY1" s="131"/>
      <c r="DZ1" s="131"/>
      <c r="EA1" s="131"/>
      <c r="EB1" s="131"/>
      <c r="EC1" s="131"/>
      <c r="ED1" s="132">
        <v>0</v>
      </c>
    </row>
    <row r="2" spans="1:134" x14ac:dyDescent="0.35">
      <c r="A2" s="126" t="str">
        <f>IF(ABS(A6-A8-A4)&lt;0.0001,"OK","ERROR")</f>
        <v>OK</v>
      </c>
      <c r="B2" s="133" t="s">
        <v>160</v>
      </c>
      <c r="C2" s="134">
        <v>1</v>
      </c>
      <c r="D2" s="134">
        <f>C2+1</f>
        <v>2</v>
      </c>
      <c r="E2" s="134">
        <f t="shared" ref="E2:BP2" si="0">D2+1</f>
        <v>3</v>
      </c>
      <c r="F2" s="134">
        <f t="shared" si="0"/>
        <v>4</v>
      </c>
      <c r="G2" s="134">
        <f t="shared" si="0"/>
        <v>5</v>
      </c>
      <c r="H2" s="134">
        <f t="shared" si="0"/>
        <v>6</v>
      </c>
      <c r="I2" s="134">
        <f t="shared" si="0"/>
        <v>7</v>
      </c>
      <c r="J2" s="134">
        <f t="shared" si="0"/>
        <v>8</v>
      </c>
      <c r="K2" s="134">
        <f t="shared" si="0"/>
        <v>9</v>
      </c>
      <c r="L2" s="134">
        <f t="shared" si="0"/>
        <v>10</v>
      </c>
      <c r="M2" s="134">
        <f t="shared" si="0"/>
        <v>11</v>
      </c>
      <c r="N2" s="134">
        <f t="shared" si="0"/>
        <v>12</v>
      </c>
      <c r="O2" s="134">
        <f t="shared" si="0"/>
        <v>13</v>
      </c>
      <c r="P2" s="134">
        <f t="shared" si="0"/>
        <v>14</v>
      </c>
      <c r="Q2" s="134">
        <f t="shared" si="0"/>
        <v>15</v>
      </c>
      <c r="R2" s="134">
        <f t="shared" si="0"/>
        <v>16</v>
      </c>
      <c r="S2" s="134">
        <f t="shared" si="0"/>
        <v>17</v>
      </c>
      <c r="T2" s="134">
        <f t="shared" si="0"/>
        <v>18</v>
      </c>
      <c r="U2" s="134">
        <f t="shared" si="0"/>
        <v>19</v>
      </c>
      <c r="V2" s="134">
        <f t="shared" si="0"/>
        <v>20</v>
      </c>
      <c r="W2" s="134">
        <f t="shared" si="0"/>
        <v>21</v>
      </c>
      <c r="X2" s="134">
        <f t="shared" si="0"/>
        <v>22</v>
      </c>
      <c r="Y2" s="134">
        <f t="shared" si="0"/>
        <v>23</v>
      </c>
      <c r="Z2" s="134">
        <f t="shared" si="0"/>
        <v>24</v>
      </c>
      <c r="AA2" s="134">
        <f t="shared" si="0"/>
        <v>25</v>
      </c>
      <c r="AB2" s="134">
        <f t="shared" si="0"/>
        <v>26</v>
      </c>
      <c r="AC2" s="134">
        <f t="shared" si="0"/>
        <v>27</v>
      </c>
      <c r="AD2" s="134">
        <f t="shared" si="0"/>
        <v>28</v>
      </c>
      <c r="AE2" s="134">
        <f t="shared" si="0"/>
        <v>29</v>
      </c>
      <c r="AF2" s="134">
        <f t="shared" si="0"/>
        <v>30</v>
      </c>
      <c r="AG2" s="134">
        <f t="shared" si="0"/>
        <v>31</v>
      </c>
      <c r="AH2" s="134">
        <f t="shared" si="0"/>
        <v>32</v>
      </c>
      <c r="AI2" s="134">
        <f t="shared" si="0"/>
        <v>33</v>
      </c>
      <c r="AJ2" s="134">
        <f t="shared" si="0"/>
        <v>34</v>
      </c>
      <c r="AK2" s="134">
        <f t="shared" si="0"/>
        <v>35</v>
      </c>
      <c r="AL2" s="134">
        <f t="shared" si="0"/>
        <v>36</v>
      </c>
      <c r="AM2" s="134">
        <f t="shared" si="0"/>
        <v>37</v>
      </c>
      <c r="AN2" s="134">
        <f t="shared" si="0"/>
        <v>38</v>
      </c>
      <c r="AO2" s="134">
        <f t="shared" si="0"/>
        <v>39</v>
      </c>
      <c r="AP2" s="134">
        <f t="shared" si="0"/>
        <v>40</v>
      </c>
      <c r="AQ2" s="134">
        <f t="shared" si="0"/>
        <v>41</v>
      </c>
      <c r="AR2" s="134">
        <f t="shared" si="0"/>
        <v>42</v>
      </c>
      <c r="AS2" s="134">
        <f t="shared" si="0"/>
        <v>43</v>
      </c>
      <c r="AT2" s="134">
        <f t="shared" si="0"/>
        <v>44</v>
      </c>
      <c r="AU2" s="134">
        <f t="shared" si="0"/>
        <v>45</v>
      </c>
      <c r="AV2" s="134">
        <f t="shared" si="0"/>
        <v>46</v>
      </c>
      <c r="AW2" s="134">
        <f t="shared" si="0"/>
        <v>47</v>
      </c>
      <c r="AX2" s="134">
        <f t="shared" si="0"/>
        <v>48</v>
      </c>
      <c r="AY2" s="134">
        <f t="shared" si="0"/>
        <v>49</v>
      </c>
      <c r="AZ2" s="134">
        <f t="shared" si="0"/>
        <v>50</v>
      </c>
      <c r="BA2" s="134">
        <f t="shared" si="0"/>
        <v>51</v>
      </c>
      <c r="BB2" s="134">
        <f t="shared" si="0"/>
        <v>52</v>
      </c>
      <c r="BC2" s="134">
        <f t="shared" si="0"/>
        <v>53</v>
      </c>
      <c r="BD2" s="134">
        <f t="shared" si="0"/>
        <v>54</v>
      </c>
      <c r="BE2" s="134">
        <f t="shared" si="0"/>
        <v>55</v>
      </c>
      <c r="BF2" s="134">
        <f t="shared" si="0"/>
        <v>56</v>
      </c>
      <c r="BG2" s="134">
        <f t="shared" si="0"/>
        <v>57</v>
      </c>
      <c r="BH2" s="134">
        <f t="shared" si="0"/>
        <v>58</v>
      </c>
      <c r="BI2" s="134">
        <f t="shared" si="0"/>
        <v>59</v>
      </c>
      <c r="BJ2" s="134">
        <f t="shared" si="0"/>
        <v>60</v>
      </c>
      <c r="BK2" s="134">
        <f t="shared" si="0"/>
        <v>61</v>
      </c>
      <c r="BL2" s="134">
        <f t="shared" si="0"/>
        <v>62</v>
      </c>
      <c r="BM2" s="134">
        <f t="shared" si="0"/>
        <v>63</v>
      </c>
      <c r="BN2" s="134">
        <f t="shared" si="0"/>
        <v>64</v>
      </c>
      <c r="BO2" s="134">
        <f t="shared" si="0"/>
        <v>65</v>
      </c>
      <c r="BP2" s="134">
        <f t="shared" si="0"/>
        <v>66</v>
      </c>
      <c r="BQ2" s="134">
        <f t="shared" ref="BQ2:EB2" si="1">BP2+1</f>
        <v>67</v>
      </c>
      <c r="BR2" s="134">
        <f t="shared" si="1"/>
        <v>68</v>
      </c>
      <c r="BS2" s="134">
        <f t="shared" si="1"/>
        <v>69</v>
      </c>
      <c r="BT2" s="134">
        <f t="shared" si="1"/>
        <v>70</v>
      </c>
      <c r="BU2" s="134">
        <f t="shared" si="1"/>
        <v>71</v>
      </c>
      <c r="BV2" s="134">
        <f t="shared" si="1"/>
        <v>72</v>
      </c>
      <c r="BW2" s="134">
        <f t="shared" si="1"/>
        <v>73</v>
      </c>
      <c r="BX2" s="134">
        <f t="shared" si="1"/>
        <v>74</v>
      </c>
      <c r="BY2" s="134">
        <f t="shared" si="1"/>
        <v>75</v>
      </c>
      <c r="BZ2" s="134">
        <f t="shared" si="1"/>
        <v>76</v>
      </c>
      <c r="CA2" s="134">
        <f t="shared" si="1"/>
        <v>77</v>
      </c>
      <c r="CB2" s="134">
        <f t="shared" si="1"/>
        <v>78</v>
      </c>
      <c r="CC2" s="134">
        <f t="shared" si="1"/>
        <v>79</v>
      </c>
      <c r="CD2" s="134">
        <f t="shared" si="1"/>
        <v>80</v>
      </c>
      <c r="CE2" s="134">
        <f t="shared" si="1"/>
        <v>81</v>
      </c>
      <c r="CF2" s="134">
        <f t="shared" si="1"/>
        <v>82</v>
      </c>
      <c r="CG2" s="134">
        <f t="shared" si="1"/>
        <v>83</v>
      </c>
      <c r="CH2" s="134">
        <f t="shared" si="1"/>
        <v>84</v>
      </c>
      <c r="CI2" s="134">
        <f t="shared" si="1"/>
        <v>85</v>
      </c>
      <c r="CJ2" s="134">
        <f t="shared" si="1"/>
        <v>86</v>
      </c>
      <c r="CK2" s="134">
        <f t="shared" si="1"/>
        <v>87</v>
      </c>
      <c r="CL2" s="134">
        <f t="shared" si="1"/>
        <v>88</v>
      </c>
      <c r="CM2" s="134">
        <f t="shared" si="1"/>
        <v>89</v>
      </c>
      <c r="CN2" s="134">
        <f t="shared" si="1"/>
        <v>90</v>
      </c>
      <c r="CO2" s="134">
        <f t="shared" si="1"/>
        <v>91</v>
      </c>
      <c r="CP2" s="134">
        <f t="shared" si="1"/>
        <v>92</v>
      </c>
      <c r="CQ2" s="134">
        <f t="shared" si="1"/>
        <v>93</v>
      </c>
      <c r="CR2" s="134">
        <f t="shared" si="1"/>
        <v>94</v>
      </c>
      <c r="CS2" s="134">
        <f t="shared" si="1"/>
        <v>95</v>
      </c>
      <c r="CT2" s="134">
        <f t="shared" si="1"/>
        <v>96</v>
      </c>
      <c r="CU2" s="134">
        <f t="shared" si="1"/>
        <v>97</v>
      </c>
      <c r="CV2" s="134">
        <f t="shared" si="1"/>
        <v>98</v>
      </c>
      <c r="CW2" s="134">
        <f t="shared" si="1"/>
        <v>99</v>
      </c>
      <c r="CX2" s="134">
        <f t="shared" si="1"/>
        <v>100</v>
      </c>
      <c r="CY2" s="134">
        <f t="shared" si="1"/>
        <v>101</v>
      </c>
      <c r="CZ2" s="134">
        <f t="shared" si="1"/>
        <v>102</v>
      </c>
      <c r="DA2" s="134">
        <f t="shared" si="1"/>
        <v>103</v>
      </c>
      <c r="DB2" s="134">
        <f t="shared" si="1"/>
        <v>104</v>
      </c>
      <c r="DC2" s="134">
        <f t="shared" si="1"/>
        <v>105</v>
      </c>
      <c r="DD2" s="134">
        <f t="shared" si="1"/>
        <v>106</v>
      </c>
      <c r="DE2" s="134">
        <f t="shared" si="1"/>
        <v>107</v>
      </c>
      <c r="DF2" s="134">
        <f t="shared" si="1"/>
        <v>108</v>
      </c>
      <c r="DG2" s="134">
        <f t="shared" si="1"/>
        <v>109</v>
      </c>
      <c r="DH2" s="134">
        <f t="shared" si="1"/>
        <v>110</v>
      </c>
      <c r="DI2" s="134">
        <f t="shared" si="1"/>
        <v>111</v>
      </c>
      <c r="DJ2" s="134">
        <f t="shared" si="1"/>
        <v>112</v>
      </c>
      <c r="DK2" s="134">
        <f t="shared" si="1"/>
        <v>113</v>
      </c>
      <c r="DL2" s="134">
        <f t="shared" si="1"/>
        <v>114</v>
      </c>
      <c r="DM2" s="134">
        <f t="shared" si="1"/>
        <v>115</v>
      </c>
      <c r="DN2" s="134">
        <f t="shared" si="1"/>
        <v>116</v>
      </c>
      <c r="DO2" s="134">
        <f t="shared" si="1"/>
        <v>117</v>
      </c>
      <c r="DP2" s="134">
        <f t="shared" si="1"/>
        <v>118</v>
      </c>
      <c r="DQ2" s="134">
        <f t="shared" si="1"/>
        <v>119</v>
      </c>
      <c r="DR2" s="134">
        <f t="shared" si="1"/>
        <v>120</v>
      </c>
      <c r="DS2" s="134">
        <f t="shared" si="1"/>
        <v>121</v>
      </c>
      <c r="DT2" s="134">
        <f t="shared" si="1"/>
        <v>122</v>
      </c>
      <c r="DU2" s="134">
        <f t="shared" si="1"/>
        <v>123</v>
      </c>
      <c r="DV2" s="134">
        <f t="shared" si="1"/>
        <v>124</v>
      </c>
      <c r="DW2" s="134">
        <f t="shared" si="1"/>
        <v>125</v>
      </c>
      <c r="DX2" s="134">
        <f t="shared" si="1"/>
        <v>126</v>
      </c>
      <c r="DY2" s="134">
        <f t="shared" si="1"/>
        <v>127</v>
      </c>
      <c r="DZ2" s="134">
        <f t="shared" si="1"/>
        <v>128</v>
      </c>
      <c r="EA2" s="134">
        <f t="shared" si="1"/>
        <v>129</v>
      </c>
      <c r="EB2" s="134">
        <f t="shared" si="1"/>
        <v>130</v>
      </c>
      <c r="EC2" s="134">
        <f t="shared" ref="EC2:ED2" si="2">EB2+1</f>
        <v>131</v>
      </c>
      <c r="ED2" s="135">
        <f t="shared" si="2"/>
        <v>132</v>
      </c>
    </row>
    <row r="3" spans="1:134" x14ac:dyDescent="0.35">
      <c r="B3" s="136" t="s">
        <v>161</v>
      </c>
      <c r="C3" s="137">
        <f>EOMONTH(Summary!B25,1)</f>
        <v>44255</v>
      </c>
      <c r="D3" s="137">
        <f>EOMONTH(C3,1)</f>
        <v>44286</v>
      </c>
      <c r="E3" s="137">
        <f t="shared" ref="E3:BP3" si="3">EOMONTH(D3,1)</f>
        <v>44316</v>
      </c>
      <c r="F3" s="137">
        <f t="shared" si="3"/>
        <v>44347</v>
      </c>
      <c r="G3" s="137">
        <f t="shared" si="3"/>
        <v>44377</v>
      </c>
      <c r="H3" s="137">
        <f t="shared" si="3"/>
        <v>44408</v>
      </c>
      <c r="I3" s="137">
        <f t="shared" si="3"/>
        <v>44439</v>
      </c>
      <c r="J3" s="137">
        <f t="shared" si="3"/>
        <v>44469</v>
      </c>
      <c r="K3" s="137">
        <f t="shared" si="3"/>
        <v>44500</v>
      </c>
      <c r="L3" s="137">
        <f t="shared" si="3"/>
        <v>44530</v>
      </c>
      <c r="M3" s="137">
        <f t="shared" si="3"/>
        <v>44561</v>
      </c>
      <c r="N3" s="137">
        <f t="shared" si="3"/>
        <v>44592</v>
      </c>
      <c r="O3" s="137">
        <f t="shared" si="3"/>
        <v>44620</v>
      </c>
      <c r="P3" s="137">
        <f t="shared" si="3"/>
        <v>44651</v>
      </c>
      <c r="Q3" s="137">
        <f t="shared" si="3"/>
        <v>44681</v>
      </c>
      <c r="R3" s="137">
        <f t="shared" si="3"/>
        <v>44712</v>
      </c>
      <c r="S3" s="137">
        <f t="shared" si="3"/>
        <v>44742</v>
      </c>
      <c r="T3" s="137">
        <f t="shared" si="3"/>
        <v>44773</v>
      </c>
      <c r="U3" s="137">
        <f t="shared" si="3"/>
        <v>44804</v>
      </c>
      <c r="V3" s="137">
        <f t="shared" si="3"/>
        <v>44834</v>
      </c>
      <c r="W3" s="137">
        <f t="shared" si="3"/>
        <v>44865</v>
      </c>
      <c r="X3" s="137">
        <f t="shared" si="3"/>
        <v>44895</v>
      </c>
      <c r="Y3" s="137">
        <f t="shared" si="3"/>
        <v>44926</v>
      </c>
      <c r="Z3" s="137">
        <f t="shared" si="3"/>
        <v>44957</v>
      </c>
      <c r="AA3" s="137">
        <f t="shared" si="3"/>
        <v>44985</v>
      </c>
      <c r="AB3" s="137">
        <f t="shared" si="3"/>
        <v>45016</v>
      </c>
      <c r="AC3" s="137">
        <f t="shared" si="3"/>
        <v>45046</v>
      </c>
      <c r="AD3" s="137">
        <f t="shared" si="3"/>
        <v>45077</v>
      </c>
      <c r="AE3" s="137">
        <f t="shared" si="3"/>
        <v>45107</v>
      </c>
      <c r="AF3" s="137">
        <f t="shared" si="3"/>
        <v>45138</v>
      </c>
      <c r="AG3" s="137">
        <f t="shared" si="3"/>
        <v>45169</v>
      </c>
      <c r="AH3" s="137">
        <f t="shared" si="3"/>
        <v>45199</v>
      </c>
      <c r="AI3" s="137">
        <f t="shared" si="3"/>
        <v>45230</v>
      </c>
      <c r="AJ3" s="137">
        <f t="shared" si="3"/>
        <v>45260</v>
      </c>
      <c r="AK3" s="137">
        <f t="shared" si="3"/>
        <v>45291</v>
      </c>
      <c r="AL3" s="137">
        <f t="shared" si="3"/>
        <v>45322</v>
      </c>
      <c r="AM3" s="137">
        <f t="shared" si="3"/>
        <v>45351</v>
      </c>
      <c r="AN3" s="137">
        <f t="shared" si="3"/>
        <v>45382</v>
      </c>
      <c r="AO3" s="137">
        <f t="shared" si="3"/>
        <v>45412</v>
      </c>
      <c r="AP3" s="137">
        <f t="shared" si="3"/>
        <v>45443</v>
      </c>
      <c r="AQ3" s="137">
        <f t="shared" si="3"/>
        <v>45473</v>
      </c>
      <c r="AR3" s="137">
        <f t="shared" si="3"/>
        <v>45504</v>
      </c>
      <c r="AS3" s="137">
        <f t="shared" si="3"/>
        <v>45535</v>
      </c>
      <c r="AT3" s="137">
        <f t="shared" si="3"/>
        <v>45565</v>
      </c>
      <c r="AU3" s="137">
        <f t="shared" si="3"/>
        <v>45596</v>
      </c>
      <c r="AV3" s="137">
        <f t="shared" si="3"/>
        <v>45626</v>
      </c>
      <c r="AW3" s="137">
        <f t="shared" si="3"/>
        <v>45657</v>
      </c>
      <c r="AX3" s="137">
        <f t="shared" si="3"/>
        <v>45688</v>
      </c>
      <c r="AY3" s="137">
        <f t="shared" si="3"/>
        <v>45716</v>
      </c>
      <c r="AZ3" s="137">
        <f t="shared" si="3"/>
        <v>45747</v>
      </c>
      <c r="BA3" s="137">
        <f t="shared" si="3"/>
        <v>45777</v>
      </c>
      <c r="BB3" s="137">
        <f t="shared" si="3"/>
        <v>45808</v>
      </c>
      <c r="BC3" s="137">
        <f t="shared" si="3"/>
        <v>45838</v>
      </c>
      <c r="BD3" s="137">
        <f t="shared" si="3"/>
        <v>45869</v>
      </c>
      <c r="BE3" s="137">
        <f t="shared" si="3"/>
        <v>45900</v>
      </c>
      <c r="BF3" s="137">
        <f t="shared" si="3"/>
        <v>45930</v>
      </c>
      <c r="BG3" s="137">
        <f t="shared" si="3"/>
        <v>45961</v>
      </c>
      <c r="BH3" s="137">
        <f t="shared" si="3"/>
        <v>45991</v>
      </c>
      <c r="BI3" s="137">
        <f t="shared" si="3"/>
        <v>46022</v>
      </c>
      <c r="BJ3" s="137">
        <f t="shared" si="3"/>
        <v>46053</v>
      </c>
      <c r="BK3" s="137">
        <f t="shared" si="3"/>
        <v>46081</v>
      </c>
      <c r="BL3" s="137">
        <f t="shared" si="3"/>
        <v>46112</v>
      </c>
      <c r="BM3" s="137">
        <f t="shared" si="3"/>
        <v>46142</v>
      </c>
      <c r="BN3" s="137">
        <f t="shared" si="3"/>
        <v>46173</v>
      </c>
      <c r="BO3" s="137">
        <f t="shared" si="3"/>
        <v>46203</v>
      </c>
      <c r="BP3" s="137">
        <f t="shared" si="3"/>
        <v>46234</v>
      </c>
      <c r="BQ3" s="137">
        <f t="shared" ref="BQ3:EB3" si="4">EOMONTH(BP3,1)</f>
        <v>46265</v>
      </c>
      <c r="BR3" s="137">
        <f t="shared" si="4"/>
        <v>46295</v>
      </c>
      <c r="BS3" s="137">
        <f t="shared" si="4"/>
        <v>46326</v>
      </c>
      <c r="BT3" s="137">
        <f t="shared" si="4"/>
        <v>46356</v>
      </c>
      <c r="BU3" s="137">
        <f t="shared" si="4"/>
        <v>46387</v>
      </c>
      <c r="BV3" s="137">
        <f t="shared" si="4"/>
        <v>46418</v>
      </c>
      <c r="BW3" s="137">
        <f t="shared" si="4"/>
        <v>46446</v>
      </c>
      <c r="BX3" s="137">
        <f t="shared" si="4"/>
        <v>46477</v>
      </c>
      <c r="BY3" s="137">
        <f t="shared" si="4"/>
        <v>46507</v>
      </c>
      <c r="BZ3" s="137">
        <f t="shared" si="4"/>
        <v>46538</v>
      </c>
      <c r="CA3" s="137">
        <f t="shared" si="4"/>
        <v>46568</v>
      </c>
      <c r="CB3" s="137">
        <f t="shared" si="4"/>
        <v>46599</v>
      </c>
      <c r="CC3" s="137">
        <f t="shared" si="4"/>
        <v>46630</v>
      </c>
      <c r="CD3" s="137">
        <f t="shared" si="4"/>
        <v>46660</v>
      </c>
      <c r="CE3" s="137">
        <f t="shared" si="4"/>
        <v>46691</v>
      </c>
      <c r="CF3" s="137">
        <f t="shared" si="4"/>
        <v>46721</v>
      </c>
      <c r="CG3" s="137">
        <f t="shared" si="4"/>
        <v>46752</v>
      </c>
      <c r="CH3" s="137">
        <f t="shared" si="4"/>
        <v>46783</v>
      </c>
      <c r="CI3" s="137">
        <f t="shared" si="4"/>
        <v>46812</v>
      </c>
      <c r="CJ3" s="137">
        <f t="shared" si="4"/>
        <v>46843</v>
      </c>
      <c r="CK3" s="137">
        <f t="shared" si="4"/>
        <v>46873</v>
      </c>
      <c r="CL3" s="137">
        <f t="shared" si="4"/>
        <v>46904</v>
      </c>
      <c r="CM3" s="137">
        <f t="shared" si="4"/>
        <v>46934</v>
      </c>
      <c r="CN3" s="137">
        <f t="shared" si="4"/>
        <v>46965</v>
      </c>
      <c r="CO3" s="137">
        <f t="shared" si="4"/>
        <v>46996</v>
      </c>
      <c r="CP3" s="137">
        <f t="shared" si="4"/>
        <v>47026</v>
      </c>
      <c r="CQ3" s="137">
        <f t="shared" si="4"/>
        <v>47057</v>
      </c>
      <c r="CR3" s="137">
        <f t="shared" si="4"/>
        <v>47087</v>
      </c>
      <c r="CS3" s="137">
        <f t="shared" si="4"/>
        <v>47118</v>
      </c>
      <c r="CT3" s="137">
        <f t="shared" si="4"/>
        <v>47149</v>
      </c>
      <c r="CU3" s="137">
        <f t="shared" si="4"/>
        <v>47177</v>
      </c>
      <c r="CV3" s="137">
        <f t="shared" si="4"/>
        <v>47208</v>
      </c>
      <c r="CW3" s="137">
        <f t="shared" si="4"/>
        <v>47238</v>
      </c>
      <c r="CX3" s="137">
        <f t="shared" si="4"/>
        <v>47269</v>
      </c>
      <c r="CY3" s="137">
        <f t="shared" si="4"/>
        <v>47299</v>
      </c>
      <c r="CZ3" s="137">
        <f t="shared" si="4"/>
        <v>47330</v>
      </c>
      <c r="DA3" s="137">
        <f t="shared" si="4"/>
        <v>47361</v>
      </c>
      <c r="DB3" s="137">
        <f t="shared" si="4"/>
        <v>47391</v>
      </c>
      <c r="DC3" s="137">
        <f t="shared" si="4"/>
        <v>47422</v>
      </c>
      <c r="DD3" s="137">
        <f t="shared" si="4"/>
        <v>47452</v>
      </c>
      <c r="DE3" s="137">
        <f t="shared" si="4"/>
        <v>47483</v>
      </c>
      <c r="DF3" s="137">
        <f t="shared" si="4"/>
        <v>47514</v>
      </c>
      <c r="DG3" s="137">
        <f t="shared" si="4"/>
        <v>47542</v>
      </c>
      <c r="DH3" s="137">
        <f t="shared" si="4"/>
        <v>47573</v>
      </c>
      <c r="DI3" s="137">
        <f t="shared" si="4"/>
        <v>47603</v>
      </c>
      <c r="DJ3" s="137">
        <f t="shared" si="4"/>
        <v>47634</v>
      </c>
      <c r="DK3" s="137">
        <f t="shared" si="4"/>
        <v>47664</v>
      </c>
      <c r="DL3" s="137">
        <f t="shared" si="4"/>
        <v>47695</v>
      </c>
      <c r="DM3" s="137">
        <f t="shared" si="4"/>
        <v>47726</v>
      </c>
      <c r="DN3" s="137">
        <f t="shared" si="4"/>
        <v>47756</v>
      </c>
      <c r="DO3" s="137">
        <f t="shared" si="4"/>
        <v>47787</v>
      </c>
      <c r="DP3" s="137">
        <f t="shared" si="4"/>
        <v>47817</v>
      </c>
      <c r="DQ3" s="137">
        <f t="shared" si="4"/>
        <v>47848</v>
      </c>
      <c r="DR3" s="137">
        <f t="shared" si="4"/>
        <v>47879</v>
      </c>
      <c r="DS3" s="137">
        <f t="shared" si="4"/>
        <v>47907</v>
      </c>
      <c r="DT3" s="137">
        <f t="shared" si="4"/>
        <v>47938</v>
      </c>
      <c r="DU3" s="137">
        <f t="shared" si="4"/>
        <v>47968</v>
      </c>
      <c r="DV3" s="137">
        <f t="shared" si="4"/>
        <v>47999</v>
      </c>
      <c r="DW3" s="137">
        <f t="shared" si="4"/>
        <v>48029</v>
      </c>
      <c r="DX3" s="137">
        <f t="shared" si="4"/>
        <v>48060</v>
      </c>
      <c r="DY3" s="137">
        <f t="shared" si="4"/>
        <v>48091</v>
      </c>
      <c r="DZ3" s="137">
        <f t="shared" si="4"/>
        <v>48121</v>
      </c>
      <c r="EA3" s="137">
        <f t="shared" si="4"/>
        <v>48152</v>
      </c>
      <c r="EB3" s="137">
        <f t="shared" si="4"/>
        <v>48182</v>
      </c>
      <c r="EC3" s="137">
        <f t="shared" ref="EC3:ED3" si="5">EOMONTH(EB3,1)</f>
        <v>48213</v>
      </c>
      <c r="ED3" s="138">
        <f t="shared" si="5"/>
        <v>48244</v>
      </c>
    </row>
    <row r="4" spans="1:134" x14ac:dyDescent="0.35">
      <c r="A4" s="139">
        <f>MAX(C4:ED4)</f>
        <v>26000000</v>
      </c>
      <c r="B4" s="4" t="s">
        <v>162</v>
      </c>
      <c r="C4" s="140">
        <f>Summary!E2</f>
        <v>26000000</v>
      </c>
      <c r="D4" s="140">
        <f>C9</f>
        <v>26000000</v>
      </c>
      <c r="E4" s="140">
        <f t="shared" ref="E4:BP4" si="6">D9</f>
        <v>26000000</v>
      </c>
      <c r="F4" s="140">
        <f t="shared" si="6"/>
        <v>26000000</v>
      </c>
      <c r="G4" s="140">
        <f t="shared" si="6"/>
        <v>26000000</v>
      </c>
      <c r="H4" s="140">
        <f t="shared" si="6"/>
        <v>26000000</v>
      </c>
      <c r="I4" s="140">
        <f t="shared" si="6"/>
        <v>26000000</v>
      </c>
      <c r="J4" s="140">
        <f t="shared" si="6"/>
        <v>26000000</v>
      </c>
      <c r="K4" s="140">
        <f t="shared" si="6"/>
        <v>26000000</v>
      </c>
      <c r="L4" s="140">
        <f t="shared" si="6"/>
        <v>26000000</v>
      </c>
      <c r="M4" s="140">
        <f t="shared" si="6"/>
        <v>26000000</v>
      </c>
      <c r="N4" s="140">
        <f t="shared" si="6"/>
        <v>26000000</v>
      </c>
      <c r="O4" s="140">
        <f t="shared" si="6"/>
        <v>26000000</v>
      </c>
      <c r="P4" s="140">
        <f t="shared" si="6"/>
        <v>26000000</v>
      </c>
      <c r="Q4" s="140">
        <f t="shared" si="6"/>
        <v>26000000</v>
      </c>
      <c r="R4" s="140">
        <f t="shared" si="6"/>
        <v>26000000</v>
      </c>
      <c r="S4" s="140">
        <f t="shared" si="6"/>
        <v>26000000</v>
      </c>
      <c r="T4" s="140">
        <f t="shared" si="6"/>
        <v>26000000</v>
      </c>
      <c r="U4" s="140">
        <f t="shared" si="6"/>
        <v>26000000</v>
      </c>
      <c r="V4" s="140">
        <f t="shared" si="6"/>
        <v>26000000</v>
      </c>
      <c r="W4" s="140">
        <f t="shared" si="6"/>
        <v>26000000</v>
      </c>
      <c r="X4" s="140">
        <f t="shared" si="6"/>
        <v>26000000</v>
      </c>
      <c r="Y4" s="140">
        <f t="shared" si="6"/>
        <v>26000000</v>
      </c>
      <c r="Z4" s="140">
        <f t="shared" si="6"/>
        <v>26000000</v>
      </c>
      <c r="AA4" s="140">
        <f t="shared" si="6"/>
        <v>26000000</v>
      </c>
      <c r="AB4" s="140">
        <f t="shared" si="6"/>
        <v>26000000</v>
      </c>
      <c r="AC4" s="140">
        <f t="shared" si="6"/>
        <v>26000000</v>
      </c>
      <c r="AD4" s="140">
        <f t="shared" si="6"/>
        <v>26000000</v>
      </c>
      <c r="AE4" s="140">
        <f t="shared" si="6"/>
        <v>26000000</v>
      </c>
      <c r="AF4" s="140">
        <f t="shared" si="6"/>
        <v>26000000</v>
      </c>
      <c r="AG4" s="140">
        <f t="shared" si="6"/>
        <v>26000000</v>
      </c>
      <c r="AH4" s="140">
        <f t="shared" si="6"/>
        <v>26000000</v>
      </c>
      <c r="AI4" s="140">
        <f t="shared" si="6"/>
        <v>26000000</v>
      </c>
      <c r="AJ4" s="140">
        <f t="shared" si="6"/>
        <v>26000000</v>
      </c>
      <c r="AK4" s="140">
        <f t="shared" si="6"/>
        <v>26000000</v>
      </c>
      <c r="AL4" s="140">
        <f t="shared" si="6"/>
        <v>26000000</v>
      </c>
      <c r="AM4" s="140">
        <f t="shared" si="6"/>
        <v>26000000</v>
      </c>
      <c r="AN4" s="140">
        <f t="shared" si="6"/>
        <v>25962538.689845648</v>
      </c>
      <c r="AO4" s="140">
        <f t="shared" si="6"/>
        <v>25924952.508657448</v>
      </c>
      <c r="AP4" s="140">
        <f t="shared" si="6"/>
        <v>25887241.04019862</v>
      </c>
      <c r="AQ4" s="140">
        <f t="shared" si="6"/>
        <v>25849403.86684493</v>
      </c>
      <c r="AR4" s="140">
        <f t="shared" si="6"/>
        <v>25811440.569580059</v>
      </c>
      <c r="AS4" s="140">
        <f t="shared" si="6"/>
        <v>25773350.727990974</v>
      </c>
      <c r="AT4" s="140">
        <f t="shared" si="6"/>
        <v>25735133.920263257</v>
      </c>
      <c r="AU4" s="140">
        <f t="shared" si="6"/>
        <v>25696789.72317645</v>
      </c>
      <c r="AV4" s="140">
        <f t="shared" si="6"/>
        <v>25658317.712099351</v>
      </c>
      <c r="AW4" s="140">
        <f t="shared" si="6"/>
        <v>25619717.460985329</v>
      </c>
      <c r="AX4" s="140">
        <f t="shared" si="6"/>
        <v>25580988.542367592</v>
      </c>
      <c r="AY4" s="140">
        <f t="shared" si="6"/>
        <v>25542130.527354464</v>
      </c>
      <c r="AZ4" s="140">
        <f t="shared" si="6"/>
        <v>25503142.985624626</v>
      </c>
      <c r="BA4" s="140">
        <f t="shared" si="6"/>
        <v>25464025.485422354</v>
      </c>
      <c r="BB4" s="140">
        <f t="shared" si="6"/>
        <v>25424777.593552742</v>
      </c>
      <c r="BC4" s="140">
        <f t="shared" si="6"/>
        <v>25385398.875376899</v>
      </c>
      <c r="BD4" s="140">
        <f t="shared" si="6"/>
        <v>25345888.894807134</v>
      </c>
      <c r="BE4" s="140">
        <f t="shared" si="6"/>
        <v>25306247.214302137</v>
      </c>
      <c r="BF4" s="140">
        <f t="shared" si="6"/>
        <v>25266473.394862127</v>
      </c>
      <c r="BG4" s="140">
        <f t="shared" si="6"/>
        <v>25226566.996023979</v>
      </c>
      <c r="BH4" s="140">
        <f t="shared" si="6"/>
        <v>25186527.575856373</v>
      </c>
      <c r="BI4" s="140">
        <f t="shared" si="6"/>
        <v>25146354.690954875</v>
      </c>
      <c r="BJ4" s="140">
        <f t="shared" si="6"/>
        <v>25106047.896437038</v>
      </c>
      <c r="BK4" s="140">
        <f t="shared" si="6"/>
        <v>0</v>
      </c>
      <c r="BL4" s="140">
        <f t="shared" si="6"/>
        <v>0</v>
      </c>
      <c r="BM4" s="140">
        <f t="shared" si="6"/>
        <v>0</v>
      </c>
      <c r="BN4" s="140">
        <f t="shared" si="6"/>
        <v>0</v>
      </c>
      <c r="BO4" s="140">
        <f t="shared" si="6"/>
        <v>0</v>
      </c>
      <c r="BP4" s="140">
        <f t="shared" si="6"/>
        <v>0</v>
      </c>
      <c r="BQ4" s="140">
        <f t="shared" ref="BQ4:EB4" si="7">BP9</f>
        <v>0</v>
      </c>
      <c r="BR4" s="140">
        <f t="shared" si="7"/>
        <v>0</v>
      </c>
      <c r="BS4" s="140">
        <f t="shared" si="7"/>
        <v>0</v>
      </c>
      <c r="BT4" s="140">
        <f t="shared" si="7"/>
        <v>0</v>
      </c>
      <c r="BU4" s="140">
        <f t="shared" si="7"/>
        <v>0</v>
      </c>
      <c r="BV4" s="140">
        <f t="shared" si="7"/>
        <v>0</v>
      </c>
      <c r="BW4" s="140">
        <f t="shared" si="7"/>
        <v>0</v>
      </c>
      <c r="BX4" s="140">
        <f t="shared" si="7"/>
        <v>0</v>
      </c>
      <c r="BY4" s="140">
        <f t="shared" si="7"/>
        <v>0</v>
      </c>
      <c r="BZ4" s="140">
        <f t="shared" si="7"/>
        <v>0</v>
      </c>
      <c r="CA4" s="140">
        <f t="shared" si="7"/>
        <v>0</v>
      </c>
      <c r="CB4" s="140">
        <f t="shared" si="7"/>
        <v>0</v>
      </c>
      <c r="CC4" s="140">
        <f t="shared" si="7"/>
        <v>0</v>
      </c>
      <c r="CD4" s="140">
        <f t="shared" si="7"/>
        <v>0</v>
      </c>
      <c r="CE4" s="140">
        <f t="shared" si="7"/>
        <v>0</v>
      </c>
      <c r="CF4" s="140">
        <f t="shared" si="7"/>
        <v>0</v>
      </c>
      <c r="CG4" s="140">
        <f t="shared" si="7"/>
        <v>0</v>
      </c>
      <c r="CH4" s="140">
        <f t="shared" si="7"/>
        <v>0</v>
      </c>
      <c r="CI4" s="140">
        <f t="shared" si="7"/>
        <v>0</v>
      </c>
      <c r="CJ4" s="140">
        <f t="shared" si="7"/>
        <v>0</v>
      </c>
      <c r="CK4" s="140">
        <f t="shared" si="7"/>
        <v>0</v>
      </c>
      <c r="CL4" s="140">
        <f t="shared" si="7"/>
        <v>0</v>
      </c>
      <c r="CM4" s="140">
        <f t="shared" si="7"/>
        <v>0</v>
      </c>
      <c r="CN4" s="140">
        <f t="shared" si="7"/>
        <v>0</v>
      </c>
      <c r="CO4" s="140">
        <f t="shared" si="7"/>
        <v>0</v>
      </c>
      <c r="CP4" s="140">
        <f t="shared" si="7"/>
        <v>0</v>
      </c>
      <c r="CQ4" s="140">
        <f t="shared" si="7"/>
        <v>0</v>
      </c>
      <c r="CR4" s="140">
        <f t="shared" si="7"/>
        <v>0</v>
      </c>
      <c r="CS4" s="140">
        <f t="shared" si="7"/>
        <v>0</v>
      </c>
      <c r="CT4" s="140">
        <f t="shared" si="7"/>
        <v>0</v>
      </c>
      <c r="CU4" s="140">
        <f t="shared" si="7"/>
        <v>0</v>
      </c>
      <c r="CV4" s="140">
        <f t="shared" si="7"/>
        <v>0</v>
      </c>
      <c r="CW4" s="140">
        <f t="shared" si="7"/>
        <v>0</v>
      </c>
      <c r="CX4" s="140">
        <f t="shared" si="7"/>
        <v>0</v>
      </c>
      <c r="CY4" s="140">
        <f t="shared" si="7"/>
        <v>0</v>
      </c>
      <c r="CZ4" s="140">
        <f t="shared" si="7"/>
        <v>0</v>
      </c>
      <c r="DA4" s="140">
        <f t="shared" si="7"/>
        <v>0</v>
      </c>
      <c r="DB4" s="140">
        <f t="shared" si="7"/>
        <v>0</v>
      </c>
      <c r="DC4" s="140">
        <f t="shared" si="7"/>
        <v>0</v>
      </c>
      <c r="DD4" s="140">
        <f t="shared" si="7"/>
        <v>0</v>
      </c>
      <c r="DE4" s="140">
        <f t="shared" si="7"/>
        <v>0</v>
      </c>
      <c r="DF4" s="140">
        <f t="shared" si="7"/>
        <v>0</v>
      </c>
      <c r="DG4" s="140">
        <f t="shared" si="7"/>
        <v>0</v>
      </c>
      <c r="DH4" s="140">
        <f t="shared" si="7"/>
        <v>0</v>
      </c>
      <c r="DI4" s="140">
        <f t="shared" si="7"/>
        <v>0</v>
      </c>
      <c r="DJ4" s="140">
        <f t="shared" si="7"/>
        <v>0</v>
      </c>
      <c r="DK4" s="140">
        <f t="shared" si="7"/>
        <v>0</v>
      </c>
      <c r="DL4" s="140">
        <f t="shared" si="7"/>
        <v>0</v>
      </c>
      <c r="DM4" s="140">
        <f t="shared" si="7"/>
        <v>0</v>
      </c>
      <c r="DN4" s="140">
        <f t="shared" si="7"/>
        <v>0</v>
      </c>
      <c r="DO4" s="140">
        <f t="shared" si="7"/>
        <v>0</v>
      </c>
      <c r="DP4" s="140">
        <f t="shared" si="7"/>
        <v>0</v>
      </c>
      <c r="DQ4" s="140">
        <f t="shared" si="7"/>
        <v>0</v>
      </c>
      <c r="DR4" s="140">
        <f t="shared" si="7"/>
        <v>0</v>
      </c>
      <c r="DS4" s="140">
        <f t="shared" si="7"/>
        <v>0</v>
      </c>
      <c r="DT4" s="140">
        <f t="shared" si="7"/>
        <v>0</v>
      </c>
      <c r="DU4" s="140">
        <f t="shared" si="7"/>
        <v>0</v>
      </c>
      <c r="DV4" s="140">
        <f t="shared" si="7"/>
        <v>0</v>
      </c>
      <c r="DW4" s="140">
        <f t="shared" si="7"/>
        <v>0</v>
      </c>
      <c r="DX4" s="140">
        <f t="shared" si="7"/>
        <v>0</v>
      </c>
      <c r="DY4" s="140">
        <f t="shared" si="7"/>
        <v>0</v>
      </c>
      <c r="DZ4" s="140">
        <f t="shared" si="7"/>
        <v>0</v>
      </c>
      <c r="EA4" s="140">
        <f t="shared" si="7"/>
        <v>0</v>
      </c>
      <c r="EB4" s="140">
        <f t="shared" si="7"/>
        <v>0</v>
      </c>
      <c r="EC4" s="140">
        <f t="shared" ref="EC4:ED4" si="8">EB9</f>
        <v>0</v>
      </c>
      <c r="ED4" s="141">
        <f t="shared" si="8"/>
        <v>0</v>
      </c>
    </row>
    <row r="5" spans="1:134" x14ac:dyDescent="0.35">
      <c r="A5" s="139">
        <f>SUM(C5:ED5)</f>
        <v>6099071.4437044626</v>
      </c>
      <c r="B5" s="5" t="s">
        <v>163</v>
      </c>
      <c r="C5" s="140">
        <f>IF(C2&gt;MIN(Summary!$E$10,Summary!$K$19),0,IF(C2&lt;=Summary!$E$7,Summary!$E$6/12*Financing!C4,PMT(Summary!$E$6/12,Summary!$E$9,-Summary!$E$2,0,0)))</f>
        <v>86666.666666666672</v>
      </c>
      <c r="D5" s="140">
        <f>IF(D2&gt;MIN(Summary!$E$10,Summary!$K$19),0,IF(D2&lt;=Summary!$E$7,Summary!$E$6/12*Financing!D4,PMT(Summary!$E$6/12,Summary!$E$9,-Summary!$E$2,0,0)))</f>
        <v>86666.666666666672</v>
      </c>
      <c r="E5" s="140">
        <f>IF(E2&gt;MIN(Summary!$E$10,Summary!$K$19),0,IF(E2&lt;=Summary!$E$7,Summary!$E$6/12*Financing!E4,PMT(Summary!$E$6/12,Summary!$E$9,-Summary!$E$2,0,0)))</f>
        <v>86666.666666666672</v>
      </c>
      <c r="F5" s="140">
        <f>IF(F2&gt;MIN(Summary!$E$10,Summary!$K$19),0,IF(F2&lt;=Summary!$E$7,Summary!$E$6/12*Financing!F4,PMT(Summary!$E$6/12,Summary!$E$9,-Summary!$E$2,0,0)))</f>
        <v>86666.666666666672</v>
      </c>
      <c r="G5" s="140">
        <f>IF(G2&gt;MIN(Summary!$E$10,Summary!$K$19),0,IF(G2&lt;=Summary!$E$7,Summary!$E$6/12*Financing!G4,PMT(Summary!$E$6/12,Summary!$E$9,-Summary!$E$2,0,0)))</f>
        <v>86666.666666666672</v>
      </c>
      <c r="H5" s="140">
        <f>IF(H2&gt;MIN(Summary!$E$10,Summary!$K$19),0,IF(H2&lt;=Summary!$E$7,Summary!$E$6/12*Financing!H4,PMT(Summary!$E$6/12,Summary!$E$9,-Summary!$E$2,0,0)))</f>
        <v>86666.666666666672</v>
      </c>
      <c r="I5" s="140">
        <f>IF(I2&gt;MIN(Summary!$E$10,Summary!$K$19),0,IF(I2&lt;=Summary!$E$7,Summary!$E$6/12*Financing!I4,PMT(Summary!$E$6/12,Summary!$E$9,-Summary!$E$2,0,0)))</f>
        <v>86666.666666666672</v>
      </c>
      <c r="J5" s="140">
        <f>IF(J2&gt;MIN(Summary!$E$10,Summary!$K$19),0,IF(J2&lt;=Summary!$E$7,Summary!$E$6/12*Financing!J4,PMT(Summary!$E$6/12,Summary!$E$9,-Summary!$E$2,0,0)))</f>
        <v>86666.666666666672</v>
      </c>
      <c r="K5" s="140">
        <f>IF(K2&gt;MIN(Summary!$E$10,Summary!$K$19),0,IF(K2&lt;=Summary!$E$7,Summary!$E$6/12*Financing!K4,PMT(Summary!$E$6/12,Summary!$E$9,-Summary!$E$2,0,0)))</f>
        <v>86666.666666666672</v>
      </c>
      <c r="L5" s="140">
        <f>IF(L2&gt;MIN(Summary!$E$10,Summary!$K$19),0,IF(L2&lt;=Summary!$E$7,Summary!$E$6/12*Financing!L4,PMT(Summary!$E$6/12,Summary!$E$9,-Summary!$E$2,0,0)))</f>
        <v>86666.666666666672</v>
      </c>
      <c r="M5" s="140">
        <f>IF(M2&gt;MIN(Summary!$E$10,Summary!$K$19),0,IF(M2&lt;=Summary!$E$7,Summary!$E$6/12*Financing!M4,PMT(Summary!$E$6/12,Summary!$E$9,-Summary!$E$2,0,0)))</f>
        <v>86666.666666666672</v>
      </c>
      <c r="N5" s="140">
        <f>IF(N2&gt;MIN(Summary!$E$10,Summary!$K$19),0,IF(N2&lt;=Summary!$E$7,Summary!$E$6/12*Financing!N4,PMT(Summary!$E$6/12,Summary!$E$9,-Summary!$E$2,0,0)))</f>
        <v>86666.666666666672</v>
      </c>
      <c r="O5" s="140">
        <f>IF(O2&gt;MIN(Summary!$E$10,Summary!$K$19),0,IF(O2&lt;=Summary!$E$7,Summary!$E$6/12*Financing!O4,PMT(Summary!$E$6/12,Summary!$E$9,-Summary!$E$2,0,0)))</f>
        <v>86666.666666666672</v>
      </c>
      <c r="P5" s="140">
        <f>IF(P2&gt;MIN(Summary!$E$10,Summary!$K$19),0,IF(P2&lt;=Summary!$E$7,Summary!$E$6/12*Financing!P4,PMT(Summary!$E$6/12,Summary!$E$9,-Summary!$E$2,0,0)))</f>
        <v>86666.666666666672</v>
      </c>
      <c r="Q5" s="140">
        <f>IF(Q2&gt;MIN(Summary!$E$10,Summary!$K$19),0,IF(Q2&lt;=Summary!$E$7,Summary!$E$6/12*Financing!Q4,PMT(Summary!$E$6/12,Summary!$E$9,-Summary!$E$2,0,0)))</f>
        <v>86666.666666666672</v>
      </c>
      <c r="R5" s="140">
        <f>IF(R2&gt;MIN(Summary!$E$10,Summary!$K$19),0,IF(R2&lt;=Summary!$E$7,Summary!$E$6/12*Financing!R4,PMT(Summary!$E$6/12,Summary!$E$9,-Summary!$E$2,0,0)))</f>
        <v>86666.666666666672</v>
      </c>
      <c r="S5" s="140">
        <f>IF(S2&gt;MIN(Summary!$E$10,Summary!$K$19),0,IF(S2&lt;=Summary!$E$7,Summary!$E$6/12*Financing!S4,PMT(Summary!$E$6/12,Summary!$E$9,-Summary!$E$2,0,0)))</f>
        <v>86666.666666666672</v>
      </c>
      <c r="T5" s="140">
        <f>IF(T2&gt;MIN(Summary!$E$10,Summary!$K$19),0,IF(T2&lt;=Summary!$E$7,Summary!$E$6/12*Financing!T4,PMT(Summary!$E$6/12,Summary!$E$9,-Summary!$E$2,0,0)))</f>
        <v>86666.666666666672</v>
      </c>
      <c r="U5" s="140">
        <f>IF(U2&gt;MIN(Summary!$E$10,Summary!$K$19),0,IF(U2&lt;=Summary!$E$7,Summary!$E$6/12*Financing!U4,PMT(Summary!$E$6/12,Summary!$E$9,-Summary!$E$2,0,0)))</f>
        <v>86666.666666666672</v>
      </c>
      <c r="V5" s="140">
        <f>IF(V2&gt;MIN(Summary!$E$10,Summary!$K$19),0,IF(V2&lt;=Summary!$E$7,Summary!$E$6/12*Financing!V4,PMT(Summary!$E$6/12,Summary!$E$9,-Summary!$E$2,0,0)))</f>
        <v>86666.666666666672</v>
      </c>
      <c r="W5" s="140">
        <f>IF(W2&gt;MIN(Summary!$E$10,Summary!$K$19),0,IF(W2&lt;=Summary!$E$7,Summary!$E$6/12*Financing!W4,PMT(Summary!$E$6/12,Summary!$E$9,-Summary!$E$2,0,0)))</f>
        <v>86666.666666666672</v>
      </c>
      <c r="X5" s="140">
        <f>IF(X2&gt;MIN(Summary!$E$10,Summary!$K$19),0,IF(X2&lt;=Summary!$E$7,Summary!$E$6/12*Financing!X4,PMT(Summary!$E$6/12,Summary!$E$9,-Summary!$E$2,0,0)))</f>
        <v>86666.666666666672</v>
      </c>
      <c r="Y5" s="140">
        <f>IF(Y2&gt;MIN(Summary!$E$10,Summary!$K$19),0,IF(Y2&lt;=Summary!$E$7,Summary!$E$6/12*Financing!Y4,PMT(Summary!$E$6/12,Summary!$E$9,-Summary!$E$2,0,0)))</f>
        <v>86666.666666666672</v>
      </c>
      <c r="Z5" s="140">
        <f>IF(Z2&gt;MIN(Summary!$E$10,Summary!$K$19),0,IF(Z2&lt;=Summary!$E$7,Summary!$E$6/12*Financing!Z4,PMT(Summary!$E$6/12,Summary!$E$9,-Summary!$E$2,0,0)))</f>
        <v>86666.666666666672</v>
      </c>
      <c r="AA5" s="140">
        <f>IF(AA2&gt;MIN(Summary!$E$10,Summary!$K$19),0,IF(AA2&lt;=Summary!$E$7,Summary!$E$6/12*Financing!AA4,PMT(Summary!$E$6/12,Summary!$E$9,-Summary!$E$2,0,0)))</f>
        <v>86666.666666666672</v>
      </c>
      <c r="AB5" s="140">
        <f>IF(AB2&gt;MIN(Summary!$E$10,Summary!$K$19),0,IF(AB2&lt;=Summary!$E$7,Summary!$E$6/12*Financing!AB4,PMT(Summary!$E$6/12,Summary!$E$9,-Summary!$E$2,0,0)))</f>
        <v>86666.666666666672</v>
      </c>
      <c r="AC5" s="140">
        <f>IF(AC2&gt;MIN(Summary!$E$10,Summary!$K$19),0,IF(AC2&lt;=Summary!$E$7,Summary!$E$6/12*Financing!AC4,PMT(Summary!$E$6/12,Summary!$E$9,-Summary!$E$2,0,0)))</f>
        <v>86666.666666666672</v>
      </c>
      <c r="AD5" s="140">
        <f>IF(AD2&gt;MIN(Summary!$E$10,Summary!$K$19),0,IF(AD2&lt;=Summary!$E$7,Summary!$E$6/12*Financing!AD4,PMT(Summary!$E$6/12,Summary!$E$9,-Summary!$E$2,0,0)))</f>
        <v>86666.666666666672</v>
      </c>
      <c r="AE5" s="140">
        <f>IF(AE2&gt;MIN(Summary!$E$10,Summary!$K$19),0,IF(AE2&lt;=Summary!$E$7,Summary!$E$6/12*Financing!AE4,PMT(Summary!$E$6/12,Summary!$E$9,-Summary!$E$2,0,0)))</f>
        <v>86666.666666666672</v>
      </c>
      <c r="AF5" s="140">
        <f>IF(AF2&gt;MIN(Summary!$E$10,Summary!$K$19),0,IF(AF2&lt;=Summary!$E$7,Summary!$E$6/12*Financing!AF4,PMT(Summary!$E$6/12,Summary!$E$9,-Summary!$E$2,0,0)))</f>
        <v>86666.666666666672</v>
      </c>
      <c r="AG5" s="140">
        <f>IF(AG2&gt;MIN(Summary!$E$10,Summary!$K$19),0,IF(AG2&lt;=Summary!$E$7,Summary!$E$6/12*Financing!AG4,PMT(Summary!$E$6/12,Summary!$E$9,-Summary!$E$2,0,0)))</f>
        <v>86666.666666666672</v>
      </c>
      <c r="AH5" s="140">
        <f>IF(AH2&gt;MIN(Summary!$E$10,Summary!$K$19),0,IF(AH2&lt;=Summary!$E$7,Summary!$E$6/12*Financing!AH4,PMT(Summary!$E$6/12,Summary!$E$9,-Summary!$E$2,0,0)))</f>
        <v>86666.666666666672</v>
      </c>
      <c r="AI5" s="140">
        <f>IF(AI2&gt;MIN(Summary!$E$10,Summary!$K$19),0,IF(AI2&lt;=Summary!$E$7,Summary!$E$6/12*Financing!AI4,PMT(Summary!$E$6/12,Summary!$E$9,-Summary!$E$2,0,0)))</f>
        <v>86666.666666666672</v>
      </c>
      <c r="AJ5" s="140">
        <f>IF(AJ2&gt;MIN(Summary!$E$10,Summary!$K$19),0,IF(AJ2&lt;=Summary!$E$7,Summary!$E$6/12*Financing!AJ4,PMT(Summary!$E$6/12,Summary!$E$9,-Summary!$E$2,0,0)))</f>
        <v>86666.666666666672</v>
      </c>
      <c r="AK5" s="140">
        <f>IF(AK2&gt;MIN(Summary!$E$10,Summary!$K$19),0,IF(AK2&lt;=Summary!$E$7,Summary!$E$6/12*Financing!AK4,PMT(Summary!$E$6/12,Summary!$E$9,-Summary!$E$2,0,0)))</f>
        <v>86666.666666666672</v>
      </c>
      <c r="AL5" s="140">
        <f>IF(AL2&gt;MIN(Summary!$E$10,Summary!$K$19),0,IF(AL2&lt;=Summary!$E$7,Summary!$E$6/12*Financing!AL4,PMT(Summary!$E$6/12,Summary!$E$9,-Summary!$E$2,0,0)))</f>
        <v>86666.666666666672</v>
      </c>
      <c r="AM5" s="140">
        <f>IF(AM2&gt;MIN(Summary!$E$10,Summary!$K$19),0,IF(AM2&lt;=Summary!$E$7,Summary!$E$6/12*Financing!AM4,PMT(Summary!$E$6/12,Summary!$E$9,-Summary!$E$2,0,0)))</f>
        <v>124127.97682101946</v>
      </c>
      <c r="AN5" s="140">
        <f>IF(AN2&gt;MIN(Summary!$E$10,Summary!$K$19),0,IF(AN2&lt;=Summary!$E$7,Summary!$E$6/12*Financing!AN4,PMT(Summary!$E$6/12,Summary!$E$9,-Summary!$E$2,0,0)))</f>
        <v>124127.97682101946</v>
      </c>
      <c r="AO5" s="140">
        <f>IF(AO2&gt;MIN(Summary!$E$10,Summary!$K$19),0,IF(AO2&lt;=Summary!$E$7,Summary!$E$6/12*Financing!AO4,PMT(Summary!$E$6/12,Summary!$E$9,-Summary!$E$2,0,0)))</f>
        <v>124127.97682101946</v>
      </c>
      <c r="AP5" s="140">
        <f>IF(AP2&gt;MIN(Summary!$E$10,Summary!$K$19),0,IF(AP2&lt;=Summary!$E$7,Summary!$E$6/12*Financing!AP4,PMT(Summary!$E$6/12,Summary!$E$9,-Summary!$E$2,0,0)))</f>
        <v>124127.97682101946</v>
      </c>
      <c r="AQ5" s="140">
        <f>IF(AQ2&gt;MIN(Summary!$E$10,Summary!$K$19),0,IF(AQ2&lt;=Summary!$E$7,Summary!$E$6/12*Financing!AQ4,PMT(Summary!$E$6/12,Summary!$E$9,-Summary!$E$2,0,0)))</f>
        <v>124127.97682101946</v>
      </c>
      <c r="AR5" s="140">
        <f>IF(AR2&gt;MIN(Summary!$E$10,Summary!$K$19),0,IF(AR2&lt;=Summary!$E$7,Summary!$E$6/12*Financing!AR4,PMT(Summary!$E$6/12,Summary!$E$9,-Summary!$E$2,0,0)))</f>
        <v>124127.97682101946</v>
      </c>
      <c r="AS5" s="140">
        <f>IF(AS2&gt;MIN(Summary!$E$10,Summary!$K$19),0,IF(AS2&lt;=Summary!$E$7,Summary!$E$6/12*Financing!AS4,PMT(Summary!$E$6/12,Summary!$E$9,-Summary!$E$2,0,0)))</f>
        <v>124127.97682101946</v>
      </c>
      <c r="AT5" s="140">
        <f>IF(AT2&gt;MIN(Summary!$E$10,Summary!$K$19),0,IF(AT2&lt;=Summary!$E$7,Summary!$E$6/12*Financing!AT4,PMT(Summary!$E$6/12,Summary!$E$9,-Summary!$E$2,0,0)))</f>
        <v>124127.97682101946</v>
      </c>
      <c r="AU5" s="140">
        <f>IF(AU2&gt;MIN(Summary!$E$10,Summary!$K$19),0,IF(AU2&lt;=Summary!$E$7,Summary!$E$6/12*Financing!AU4,PMT(Summary!$E$6/12,Summary!$E$9,-Summary!$E$2,0,0)))</f>
        <v>124127.97682101946</v>
      </c>
      <c r="AV5" s="140">
        <f>IF(AV2&gt;MIN(Summary!$E$10,Summary!$K$19),0,IF(AV2&lt;=Summary!$E$7,Summary!$E$6/12*Financing!AV4,PMT(Summary!$E$6/12,Summary!$E$9,-Summary!$E$2,0,0)))</f>
        <v>124127.97682101946</v>
      </c>
      <c r="AW5" s="140">
        <f>IF(AW2&gt;MIN(Summary!$E$10,Summary!$K$19),0,IF(AW2&lt;=Summary!$E$7,Summary!$E$6/12*Financing!AW4,PMT(Summary!$E$6/12,Summary!$E$9,-Summary!$E$2,0,0)))</f>
        <v>124127.97682101946</v>
      </c>
      <c r="AX5" s="140">
        <f>IF(AX2&gt;MIN(Summary!$E$10,Summary!$K$19),0,IF(AX2&lt;=Summary!$E$7,Summary!$E$6/12*Financing!AX4,PMT(Summary!$E$6/12,Summary!$E$9,-Summary!$E$2,0,0)))</f>
        <v>124127.97682101946</v>
      </c>
      <c r="AY5" s="140">
        <f>IF(AY2&gt;MIN(Summary!$E$10,Summary!$K$19),0,IF(AY2&lt;=Summary!$E$7,Summary!$E$6/12*Financing!AY4,PMT(Summary!$E$6/12,Summary!$E$9,-Summary!$E$2,0,0)))</f>
        <v>124127.97682101946</v>
      </c>
      <c r="AZ5" s="140">
        <f>IF(AZ2&gt;MIN(Summary!$E$10,Summary!$K$19),0,IF(AZ2&lt;=Summary!$E$7,Summary!$E$6/12*Financing!AZ4,PMT(Summary!$E$6/12,Summary!$E$9,-Summary!$E$2,0,0)))</f>
        <v>124127.97682101946</v>
      </c>
      <c r="BA5" s="140">
        <f>IF(BA2&gt;MIN(Summary!$E$10,Summary!$K$19),0,IF(BA2&lt;=Summary!$E$7,Summary!$E$6/12*Financing!BA4,PMT(Summary!$E$6/12,Summary!$E$9,-Summary!$E$2,0,0)))</f>
        <v>124127.97682101946</v>
      </c>
      <c r="BB5" s="140">
        <f>IF(BB2&gt;MIN(Summary!$E$10,Summary!$K$19),0,IF(BB2&lt;=Summary!$E$7,Summary!$E$6/12*Financing!BB4,PMT(Summary!$E$6/12,Summary!$E$9,-Summary!$E$2,0,0)))</f>
        <v>124127.97682101946</v>
      </c>
      <c r="BC5" s="140">
        <f>IF(BC2&gt;MIN(Summary!$E$10,Summary!$K$19),0,IF(BC2&lt;=Summary!$E$7,Summary!$E$6/12*Financing!BC4,PMT(Summary!$E$6/12,Summary!$E$9,-Summary!$E$2,0,0)))</f>
        <v>124127.97682101946</v>
      </c>
      <c r="BD5" s="140">
        <f>IF(BD2&gt;MIN(Summary!$E$10,Summary!$K$19),0,IF(BD2&lt;=Summary!$E$7,Summary!$E$6/12*Financing!BD4,PMT(Summary!$E$6/12,Summary!$E$9,-Summary!$E$2,0,0)))</f>
        <v>124127.97682101946</v>
      </c>
      <c r="BE5" s="140">
        <f>IF(BE2&gt;MIN(Summary!$E$10,Summary!$K$19),0,IF(BE2&lt;=Summary!$E$7,Summary!$E$6/12*Financing!BE4,PMT(Summary!$E$6/12,Summary!$E$9,-Summary!$E$2,0,0)))</f>
        <v>124127.97682101946</v>
      </c>
      <c r="BF5" s="140">
        <f>IF(BF2&gt;MIN(Summary!$E$10,Summary!$K$19),0,IF(BF2&lt;=Summary!$E$7,Summary!$E$6/12*Financing!BF4,PMT(Summary!$E$6/12,Summary!$E$9,-Summary!$E$2,0,0)))</f>
        <v>124127.97682101946</v>
      </c>
      <c r="BG5" s="140">
        <f>IF(BG2&gt;MIN(Summary!$E$10,Summary!$K$19),0,IF(BG2&lt;=Summary!$E$7,Summary!$E$6/12*Financing!BG4,PMT(Summary!$E$6/12,Summary!$E$9,-Summary!$E$2,0,0)))</f>
        <v>124127.97682101946</v>
      </c>
      <c r="BH5" s="140">
        <f>IF(BH2&gt;MIN(Summary!$E$10,Summary!$K$19),0,IF(BH2&lt;=Summary!$E$7,Summary!$E$6/12*Financing!BH4,PMT(Summary!$E$6/12,Summary!$E$9,-Summary!$E$2,0,0)))</f>
        <v>124127.97682101946</v>
      </c>
      <c r="BI5" s="140">
        <f>IF(BI2&gt;MIN(Summary!$E$10,Summary!$K$19),0,IF(BI2&lt;=Summary!$E$7,Summary!$E$6/12*Financing!BI4,PMT(Summary!$E$6/12,Summary!$E$9,-Summary!$E$2,0,0)))</f>
        <v>124127.97682101946</v>
      </c>
      <c r="BJ5" s="140">
        <f>IF(BJ2&gt;MIN(Summary!$E$10,Summary!$K$19),0,IF(BJ2&lt;=Summary!$E$7,Summary!$E$6/12*Financing!BJ4,PMT(Summary!$E$6/12,Summary!$E$9,-Summary!$E$2,0,0)))</f>
        <v>124127.97682101946</v>
      </c>
      <c r="BK5" s="140">
        <f>IF(BK2&gt;MIN(Summary!$E$10,Summary!$K$19),0,IF(BK2&lt;=Summary!$E$7,Summary!$E$6/12*Financing!BK4,PMT(Summary!$E$6/12,Summary!$E$9,-Summary!$E$2,0,0)))</f>
        <v>0</v>
      </c>
      <c r="BL5" s="140">
        <f>IF(BL2&gt;MIN(Summary!$E$10,Summary!$K$19),0,IF(BL2&lt;=Summary!$E$7,Summary!$E$6/12*Financing!BL4,PMT(Summary!$E$6/12,Summary!$E$9,-Summary!$E$2,0,0)))</f>
        <v>0</v>
      </c>
      <c r="BM5" s="140">
        <f>IF(BM2&gt;MIN(Summary!$E$10,Summary!$K$19),0,IF(BM2&lt;=Summary!$E$7,Summary!$E$6/12*Financing!BM4,PMT(Summary!$E$6/12,Summary!$E$9,-Summary!$E$2,0,0)))</f>
        <v>0</v>
      </c>
      <c r="BN5" s="140">
        <f>IF(BN2&gt;MIN(Summary!$E$10,Summary!$K$19),0,IF(BN2&lt;=Summary!$E$7,Summary!$E$6/12*Financing!BN4,PMT(Summary!$E$6/12,Summary!$E$9,-Summary!$E$2,0,0)))</f>
        <v>0</v>
      </c>
      <c r="BO5" s="140">
        <f>IF(BO2&gt;MIN(Summary!$E$10,Summary!$K$19),0,IF(BO2&lt;=Summary!$E$7,Summary!$E$6/12*Financing!BO4,PMT(Summary!$E$6/12,Summary!$E$9,-Summary!$E$2,0,0)))</f>
        <v>0</v>
      </c>
      <c r="BP5" s="140">
        <f>IF(BP2&gt;MIN(Summary!$E$10,Summary!$K$19),0,IF(BP2&lt;=Summary!$E$7,Summary!$E$6/12*Financing!BP4,PMT(Summary!$E$6/12,Summary!$E$9,-Summary!$E$2,0,0)))</f>
        <v>0</v>
      </c>
      <c r="BQ5" s="140">
        <f>IF(BQ2&gt;MIN(Summary!$E$10,Summary!$K$19),0,IF(BQ2&lt;=Summary!$E$7,Summary!$E$6/12*Financing!BQ4,PMT(Summary!$E$6/12,Summary!$E$9,-Summary!$E$2,0,0)))</f>
        <v>0</v>
      </c>
      <c r="BR5" s="140">
        <f>IF(BR2&gt;MIN(Summary!$E$10,Summary!$K$19),0,IF(BR2&lt;=Summary!$E$7,Summary!$E$6/12*Financing!BR4,PMT(Summary!$E$6/12,Summary!$E$9,-Summary!$E$2,0,0)))</f>
        <v>0</v>
      </c>
      <c r="BS5" s="140">
        <f>IF(BS2&gt;MIN(Summary!$E$10,Summary!$K$19),0,IF(BS2&lt;=Summary!$E$7,Summary!$E$6/12*Financing!BS4,PMT(Summary!$E$6/12,Summary!$E$9,-Summary!$E$2,0,0)))</f>
        <v>0</v>
      </c>
      <c r="BT5" s="140">
        <f>IF(BT2&gt;MIN(Summary!$E$10,Summary!$K$19),0,IF(BT2&lt;=Summary!$E$7,Summary!$E$6/12*Financing!BT4,PMT(Summary!$E$6/12,Summary!$E$9,-Summary!$E$2,0,0)))</f>
        <v>0</v>
      </c>
      <c r="BU5" s="140">
        <f>IF(BU2&gt;MIN(Summary!$E$10,Summary!$K$19),0,IF(BU2&lt;=Summary!$E$7,Summary!$E$6/12*Financing!BU4,PMT(Summary!$E$6/12,Summary!$E$9,-Summary!$E$2,0,0)))</f>
        <v>0</v>
      </c>
      <c r="BV5" s="140">
        <f>IF(BV2&gt;MIN(Summary!$E$10,Summary!$K$19),0,IF(BV2&lt;=Summary!$E$7,Summary!$E$6/12*Financing!BV4,PMT(Summary!$E$6/12,Summary!$E$9,-Summary!$E$2,0,0)))</f>
        <v>0</v>
      </c>
      <c r="BW5" s="140">
        <f>IF(BW2&gt;MIN(Summary!$E$10,Summary!$K$19),0,IF(BW2&lt;=Summary!$E$7,Summary!$E$6/12*Financing!BW4,PMT(Summary!$E$6/12,Summary!$E$9,-Summary!$E$2,0,0)))</f>
        <v>0</v>
      </c>
      <c r="BX5" s="140">
        <f>IF(BX2&gt;MIN(Summary!$E$10,Summary!$K$19),0,IF(BX2&lt;=Summary!$E$7,Summary!$E$6/12*Financing!BX4,PMT(Summary!$E$6/12,Summary!$E$9,-Summary!$E$2,0,0)))</f>
        <v>0</v>
      </c>
      <c r="BY5" s="140">
        <f>IF(BY2&gt;MIN(Summary!$E$10,Summary!$K$19),0,IF(BY2&lt;=Summary!$E$7,Summary!$E$6/12*Financing!BY4,PMT(Summary!$E$6/12,Summary!$E$9,-Summary!$E$2,0,0)))</f>
        <v>0</v>
      </c>
      <c r="BZ5" s="140">
        <f>IF(BZ2&gt;MIN(Summary!$E$10,Summary!$K$19),0,IF(BZ2&lt;=Summary!$E$7,Summary!$E$6/12*Financing!BZ4,PMT(Summary!$E$6/12,Summary!$E$9,-Summary!$E$2,0,0)))</f>
        <v>0</v>
      </c>
      <c r="CA5" s="140">
        <f>IF(CA2&gt;MIN(Summary!$E$10,Summary!$K$19),0,IF(CA2&lt;=Summary!$E$7,Summary!$E$6/12*Financing!CA4,PMT(Summary!$E$6/12,Summary!$E$9,-Summary!$E$2,0,0)))</f>
        <v>0</v>
      </c>
      <c r="CB5" s="140">
        <f>IF(CB2&gt;MIN(Summary!$E$10,Summary!$K$19),0,IF(CB2&lt;=Summary!$E$7,Summary!$E$6/12*Financing!CB4,PMT(Summary!$E$6/12,Summary!$E$9,-Summary!$E$2,0,0)))</f>
        <v>0</v>
      </c>
      <c r="CC5" s="140">
        <f>IF(CC2&gt;MIN(Summary!$E$10,Summary!$K$19),0,IF(CC2&lt;=Summary!$E$7,Summary!$E$6/12*Financing!CC4,PMT(Summary!$E$6/12,Summary!$E$9,-Summary!$E$2,0,0)))</f>
        <v>0</v>
      </c>
      <c r="CD5" s="140">
        <f>IF(CD2&gt;MIN(Summary!$E$10,Summary!$K$19),0,IF(CD2&lt;=Summary!$E$7,Summary!$E$6/12*Financing!CD4,PMT(Summary!$E$6/12,Summary!$E$9,-Summary!$E$2,0,0)))</f>
        <v>0</v>
      </c>
      <c r="CE5" s="140">
        <f>IF(CE2&gt;MIN(Summary!$E$10,Summary!$K$19),0,IF(CE2&lt;=Summary!$E$7,Summary!$E$6/12*Financing!CE4,PMT(Summary!$E$6/12,Summary!$E$9,-Summary!$E$2,0,0)))</f>
        <v>0</v>
      </c>
      <c r="CF5" s="140">
        <f>IF(CF2&gt;MIN(Summary!$E$10,Summary!$K$19),0,IF(CF2&lt;=Summary!$E$7,Summary!$E$6/12*Financing!CF4,PMT(Summary!$E$6/12,Summary!$E$9,-Summary!$E$2,0,0)))</f>
        <v>0</v>
      </c>
      <c r="CG5" s="140">
        <f>IF(CG2&gt;MIN(Summary!$E$10,Summary!$K$19),0,IF(CG2&lt;=Summary!$E$7,Summary!$E$6/12*Financing!CG4,PMT(Summary!$E$6/12,Summary!$E$9,-Summary!$E$2,0,0)))</f>
        <v>0</v>
      </c>
      <c r="CH5" s="140">
        <f>IF(CH2&gt;MIN(Summary!$E$10,Summary!$K$19),0,IF(CH2&lt;=Summary!$E$7,Summary!$E$6/12*Financing!CH4,PMT(Summary!$E$6/12,Summary!$E$9,-Summary!$E$2,0,0)))</f>
        <v>0</v>
      </c>
      <c r="CI5" s="140">
        <f>IF(CI2&gt;MIN(Summary!$E$10,Summary!$K$19),0,IF(CI2&lt;=Summary!$E$7,Summary!$E$6/12*Financing!CI4,PMT(Summary!$E$6/12,Summary!$E$9,-Summary!$E$2,0,0)))</f>
        <v>0</v>
      </c>
      <c r="CJ5" s="140">
        <f>IF(CJ2&gt;MIN(Summary!$E$10,Summary!$K$19),0,IF(CJ2&lt;=Summary!$E$7,Summary!$E$6/12*Financing!CJ4,PMT(Summary!$E$6/12,Summary!$E$9,-Summary!$E$2,0,0)))</f>
        <v>0</v>
      </c>
      <c r="CK5" s="140">
        <f>IF(CK2&gt;MIN(Summary!$E$10,Summary!$K$19),0,IF(CK2&lt;=Summary!$E$7,Summary!$E$6/12*Financing!CK4,PMT(Summary!$E$6/12,Summary!$E$9,-Summary!$E$2,0,0)))</f>
        <v>0</v>
      </c>
      <c r="CL5" s="140">
        <f>IF(CL2&gt;MIN(Summary!$E$10,Summary!$K$19),0,IF(CL2&lt;=Summary!$E$7,Summary!$E$6/12*Financing!CL4,PMT(Summary!$E$6/12,Summary!$E$9,-Summary!$E$2,0,0)))</f>
        <v>0</v>
      </c>
      <c r="CM5" s="140">
        <f>IF(CM2&gt;MIN(Summary!$E$10,Summary!$K$19),0,IF(CM2&lt;=Summary!$E$7,Summary!$E$6/12*Financing!CM4,PMT(Summary!$E$6/12,Summary!$E$9,-Summary!$E$2,0,0)))</f>
        <v>0</v>
      </c>
      <c r="CN5" s="140">
        <f>IF(CN2&gt;MIN(Summary!$E$10,Summary!$K$19),0,IF(CN2&lt;=Summary!$E$7,Summary!$E$6/12*Financing!CN4,PMT(Summary!$E$6/12,Summary!$E$9,-Summary!$E$2,0,0)))</f>
        <v>0</v>
      </c>
      <c r="CO5" s="140">
        <f>IF(CO2&gt;MIN(Summary!$E$10,Summary!$K$19),0,IF(CO2&lt;=Summary!$E$7,Summary!$E$6/12*Financing!CO4,PMT(Summary!$E$6/12,Summary!$E$9,-Summary!$E$2,0,0)))</f>
        <v>0</v>
      </c>
      <c r="CP5" s="140">
        <f>IF(CP2&gt;MIN(Summary!$E$10,Summary!$K$19),0,IF(CP2&lt;=Summary!$E$7,Summary!$E$6/12*Financing!CP4,PMT(Summary!$E$6/12,Summary!$E$9,-Summary!$E$2,0,0)))</f>
        <v>0</v>
      </c>
      <c r="CQ5" s="140">
        <f>IF(CQ2&gt;MIN(Summary!$E$10,Summary!$K$19),0,IF(CQ2&lt;=Summary!$E$7,Summary!$E$6/12*Financing!CQ4,PMT(Summary!$E$6/12,Summary!$E$9,-Summary!$E$2,0,0)))</f>
        <v>0</v>
      </c>
      <c r="CR5" s="140">
        <f>IF(CR2&gt;MIN(Summary!$E$10,Summary!$K$19),0,IF(CR2&lt;=Summary!$E$7,Summary!$E$6/12*Financing!CR4,PMT(Summary!$E$6/12,Summary!$E$9,-Summary!$E$2,0,0)))</f>
        <v>0</v>
      </c>
      <c r="CS5" s="140">
        <f>IF(CS2&gt;MIN(Summary!$E$10,Summary!$K$19),0,IF(CS2&lt;=Summary!$E$7,Summary!$E$6/12*Financing!CS4,PMT(Summary!$E$6/12,Summary!$E$9,-Summary!$E$2,0,0)))</f>
        <v>0</v>
      </c>
      <c r="CT5" s="140">
        <f>IF(CT2&gt;MIN(Summary!$E$10,Summary!$K$19),0,IF(CT2&lt;=Summary!$E$7,Summary!$E$6/12*Financing!CT4,PMT(Summary!$E$6/12,Summary!$E$9,-Summary!$E$2,0,0)))</f>
        <v>0</v>
      </c>
      <c r="CU5" s="140">
        <f>IF(CU2&gt;MIN(Summary!$E$10,Summary!$K$19),0,IF(CU2&lt;=Summary!$E$7,Summary!$E$6/12*Financing!CU4,PMT(Summary!$E$6/12,Summary!$E$9,-Summary!$E$2,0,0)))</f>
        <v>0</v>
      </c>
      <c r="CV5" s="140">
        <f>IF(CV2&gt;MIN(Summary!$E$10,Summary!$K$19),0,IF(CV2&lt;=Summary!$E$7,Summary!$E$6/12*Financing!CV4,PMT(Summary!$E$6/12,Summary!$E$9,-Summary!$E$2,0,0)))</f>
        <v>0</v>
      </c>
      <c r="CW5" s="140">
        <f>IF(CW2&gt;MIN(Summary!$E$10,Summary!$K$19),0,IF(CW2&lt;=Summary!$E$7,Summary!$E$6/12*Financing!CW4,PMT(Summary!$E$6/12,Summary!$E$9,-Summary!$E$2,0,0)))</f>
        <v>0</v>
      </c>
      <c r="CX5" s="140">
        <f>IF(CX2&gt;MIN(Summary!$E$10,Summary!$K$19),0,IF(CX2&lt;=Summary!$E$7,Summary!$E$6/12*Financing!CX4,PMT(Summary!$E$6/12,Summary!$E$9,-Summary!$E$2,0,0)))</f>
        <v>0</v>
      </c>
      <c r="CY5" s="140">
        <f>IF(CY2&gt;MIN(Summary!$E$10,Summary!$K$19),0,IF(CY2&lt;=Summary!$E$7,Summary!$E$6/12*Financing!CY4,PMT(Summary!$E$6/12,Summary!$E$9,-Summary!$E$2,0,0)))</f>
        <v>0</v>
      </c>
      <c r="CZ5" s="140">
        <f>IF(CZ2&gt;MIN(Summary!$E$10,Summary!$K$19),0,IF(CZ2&lt;=Summary!$E$7,Summary!$E$6/12*Financing!CZ4,PMT(Summary!$E$6/12,Summary!$E$9,-Summary!$E$2,0,0)))</f>
        <v>0</v>
      </c>
      <c r="DA5" s="140">
        <f>IF(DA2&gt;MIN(Summary!$E$10,Summary!$K$19),0,IF(DA2&lt;=Summary!$E$7,Summary!$E$6/12*Financing!DA4,PMT(Summary!$E$6/12,Summary!$E$9,-Summary!$E$2,0,0)))</f>
        <v>0</v>
      </c>
      <c r="DB5" s="140">
        <f>IF(DB2&gt;MIN(Summary!$E$10,Summary!$K$19),0,IF(DB2&lt;=Summary!$E$7,Summary!$E$6/12*Financing!DB4,PMT(Summary!$E$6/12,Summary!$E$9,-Summary!$E$2,0,0)))</f>
        <v>0</v>
      </c>
      <c r="DC5" s="140">
        <f>IF(DC2&gt;MIN(Summary!$E$10,Summary!$K$19),0,IF(DC2&lt;=Summary!$E$7,Summary!$E$6/12*Financing!DC4,PMT(Summary!$E$6/12,Summary!$E$9,-Summary!$E$2,0,0)))</f>
        <v>0</v>
      </c>
      <c r="DD5" s="140">
        <f>IF(DD2&gt;MIN(Summary!$E$10,Summary!$K$19),0,IF(DD2&lt;=Summary!$E$7,Summary!$E$6/12*Financing!DD4,PMT(Summary!$E$6/12,Summary!$E$9,-Summary!$E$2,0,0)))</f>
        <v>0</v>
      </c>
      <c r="DE5" s="140">
        <f>IF(DE2&gt;MIN(Summary!$E$10,Summary!$K$19),0,IF(DE2&lt;=Summary!$E$7,Summary!$E$6/12*Financing!DE4,PMT(Summary!$E$6/12,Summary!$E$9,-Summary!$E$2,0,0)))</f>
        <v>0</v>
      </c>
      <c r="DF5" s="140">
        <f>IF(DF2&gt;MIN(Summary!$E$10,Summary!$K$19),0,IF(DF2&lt;=Summary!$E$7,Summary!$E$6/12*Financing!DF4,PMT(Summary!$E$6/12,Summary!$E$9,-Summary!$E$2,0,0)))</f>
        <v>0</v>
      </c>
      <c r="DG5" s="140">
        <f>IF(DG2&gt;MIN(Summary!$E$10,Summary!$K$19),0,IF(DG2&lt;=Summary!$E$7,Summary!$E$6/12*Financing!DG4,PMT(Summary!$E$6/12,Summary!$E$9,-Summary!$E$2,0,0)))</f>
        <v>0</v>
      </c>
      <c r="DH5" s="140">
        <f>IF(DH2&gt;MIN(Summary!$E$10,Summary!$K$19),0,IF(DH2&lt;=Summary!$E$7,Summary!$E$6/12*Financing!DH4,PMT(Summary!$E$6/12,Summary!$E$9,-Summary!$E$2,0,0)))</f>
        <v>0</v>
      </c>
      <c r="DI5" s="140">
        <f>IF(DI2&gt;MIN(Summary!$E$10,Summary!$K$19),0,IF(DI2&lt;=Summary!$E$7,Summary!$E$6/12*Financing!DI4,PMT(Summary!$E$6/12,Summary!$E$9,-Summary!$E$2,0,0)))</f>
        <v>0</v>
      </c>
      <c r="DJ5" s="140">
        <f>IF(DJ2&gt;MIN(Summary!$E$10,Summary!$K$19),0,IF(DJ2&lt;=Summary!$E$7,Summary!$E$6/12*Financing!DJ4,PMT(Summary!$E$6/12,Summary!$E$9,-Summary!$E$2,0,0)))</f>
        <v>0</v>
      </c>
      <c r="DK5" s="140">
        <f>IF(DK2&gt;MIN(Summary!$E$10,Summary!$K$19),0,IF(DK2&lt;=Summary!$E$7,Summary!$E$6/12*Financing!DK4,PMT(Summary!$E$6/12,Summary!$E$9,-Summary!$E$2,0,0)))</f>
        <v>0</v>
      </c>
      <c r="DL5" s="140">
        <f>IF(DL2&gt;MIN(Summary!$E$10,Summary!$K$19),0,IF(DL2&lt;=Summary!$E$7,Summary!$E$6/12*Financing!DL4,PMT(Summary!$E$6/12,Summary!$E$9,-Summary!$E$2,0,0)))</f>
        <v>0</v>
      </c>
      <c r="DM5" s="140">
        <f>IF(DM2&gt;MIN(Summary!$E$10,Summary!$K$19),0,IF(DM2&lt;=Summary!$E$7,Summary!$E$6/12*Financing!DM4,PMT(Summary!$E$6/12,Summary!$E$9,-Summary!$E$2,0,0)))</f>
        <v>0</v>
      </c>
      <c r="DN5" s="140">
        <f>IF(DN2&gt;MIN(Summary!$E$10,Summary!$K$19),0,IF(DN2&lt;=Summary!$E$7,Summary!$E$6/12*Financing!DN4,PMT(Summary!$E$6/12,Summary!$E$9,-Summary!$E$2,0,0)))</f>
        <v>0</v>
      </c>
      <c r="DO5" s="140">
        <f>IF(DO2&gt;MIN(Summary!$E$10,Summary!$K$19),0,IF(DO2&lt;=Summary!$E$7,Summary!$E$6/12*Financing!DO4,PMT(Summary!$E$6/12,Summary!$E$9,-Summary!$E$2,0,0)))</f>
        <v>0</v>
      </c>
      <c r="DP5" s="140">
        <f>IF(DP2&gt;MIN(Summary!$E$10,Summary!$K$19),0,IF(DP2&lt;=Summary!$E$7,Summary!$E$6/12*Financing!DP4,PMT(Summary!$E$6/12,Summary!$E$9,-Summary!$E$2,0,0)))</f>
        <v>0</v>
      </c>
      <c r="DQ5" s="140">
        <f>IF(DQ2&gt;MIN(Summary!$E$10,Summary!$K$19),0,IF(DQ2&lt;=Summary!$E$7,Summary!$E$6/12*Financing!DQ4,PMT(Summary!$E$6/12,Summary!$E$9,-Summary!$E$2,0,0)))</f>
        <v>0</v>
      </c>
      <c r="DR5" s="140">
        <f>IF(DR2&gt;MIN(Summary!$E$10,Summary!$K$19),0,IF(DR2&lt;=Summary!$E$7,Summary!$E$6/12*Financing!DR4,PMT(Summary!$E$6/12,Summary!$E$9,-Summary!$E$2,0,0)))</f>
        <v>0</v>
      </c>
      <c r="DS5" s="140">
        <f>IF(DS2&gt;MIN(Summary!$E$10,Summary!$K$19),0,IF(DS2&lt;=Summary!$E$7,Summary!$E$6/12*Financing!DS4,PMT(Summary!$E$6/12,Summary!$E$9,-Summary!$E$2,0,0)))</f>
        <v>0</v>
      </c>
      <c r="DT5" s="140">
        <f>IF(DT2&gt;MIN(Summary!$E$10,Summary!$K$19),0,IF(DT2&lt;=Summary!$E$7,Summary!$E$6/12*Financing!DT4,PMT(Summary!$E$6/12,Summary!$E$9,-Summary!$E$2,0,0)))</f>
        <v>0</v>
      </c>
      <c r="DU5" s="140">
        <f>IF(DU2&gt;MIN(Summary!$E$10,Summary!$K$19),0,IF(DU2&lt;=Summary!$E$7,Summary!$E$6/12*Financing!DU4,PMT(Summary!$E$6/12,Summary!$E$9,-Summary!$E$2,0,0)))</f>
        <v>0</v>
      </c>
      <c r="DV5" s="140">
        <f>IF(DV2&gt;MIN(Summary!$E$10,Summary!$K$19),0,IF(DV2&lt;=Summary!$E$7,Summary!$E$6/12*Financing!DV4,PMT(Summary!$E$6/12,Summary!$E$9,-Summary!$E$2,0,0)))</f>
        <v>0</v>
      </c>
      <c r="DW5" s="140">
        <f>IF(DW2&gt;MIN(Summary!$E$10,Summary!$K$19),0,IF(DW2&lt;=Summary!$E$7,Summary!$E$6/12*Financing!DW4,PMT(Summary!$E$6/12,Summary!$E$9,-Summary!$E$2,0,0)))</f>
        <v>0</v>
      </c>
      <c r="DX5" s="140">
        <f>IF(DX2&gt;MIN(Summary!$E$10,Summary!$K$19),0,IF(DX2&lt;=Summary!$E$7,Summary!$E$6/12*Financing!DX4,PMT(Summary!$E$6/12,Summary!$E$9,-Summary!$E$2,0,0)))</f>
        <v>0</v>
      </c>
      <c r="DY5" s="140">
        <f>IF(DY2&gt;MIN(Summary!$E$10,Summary!$K$19),0,IF(DY2&lt;=Summary!$E$7,Summary!$E$6/12*Financing!DY4,PMT(Summary!$E$6/12,Summary!$E$9,-Summary!$E$2,0,0)))</f>
        <v>0</v>
      </c>
      <c r="DZ5" s="140">
        <f>IF(DZ2&gt;MIN(Summary!$E$10,Summary!$K$19),0,IF(DZ2&lt;=Summary!$E$7,Summary!$E$6/12*Financing!DZ4,PMT(Summary!$E$6/12,Summary!$E$9,-Summary!$E$2,0,0)))</f>
        <v>0</v>
      </c>
      <c r="EA5" s="140">
        <f>IF(EA2&gt;MIN(Summary!$E$10,Summary!$K$19),0,IF(EA2&lt;=Summary!$E$7,Summary!$E$6/12*Financing!EA4,PMT(Summary!$E$6/12,Summary!$E$9,-Summary!$E$2,0,0)))</f>
        <v>0</v>
      </c>
      <c r="EB5" s="140">
        <f>IF(EB2&gt;MIN(Summary!$E$10,Summary!$K$19),0,IF(EB2&lt;=Summary!$E$7,Summary!$E$6/12*Financing!EB4,PMT(Summary!$E$6/12,Summary!$E$9,-Summary!$E$2,0,0)))</f>
        <v>0</v>
      </c>
      <c r="EC5" s="140">
        <f>IF(EC2&gt;MIN(Summary!$E$10,Summary!$K$19),0,IF(EC2&lt;=Summary!$E$7,Summary!$E$6/12*Financing!EC4,PMT(Summary!$E$6/12,Summary!$E$9,-Summary!$E$2,0,0)))</f>
        <v>0</v>
      </c>
      <c r="ED5" s="141">
        <f>IF(ED2&gt;MIN(Summary!$E$10,Summary!$K$19),0,IF(ED2&lt;=Summary!$E$7,Summary!$E$6/12*Financing!ED4,PMT(Summary!$E$6/12,Summary!$E$9,-Summary!$E$2,0,0)))</f>
        <v>0</v>
      </c>
    </row>
    <row r="6" spans="1:134" x14ac:dyDescent="0.35">
      <c r="A6" s="139">
        <f t="shared" ref="A6:A8" si="9">SUM(C6:ED6)</f>
        <v>934393.25406251871</v>
      </c>
      <c r="B6" s="5" t="s">
        <v>164</v>
      </c>
      <c r="C6" s="140">
        <f>C5-C7</f>
        <v>0</v>
      </c>
      <c r="D6" s="140">
        <f>D5-D7</f>
        <v>0</v>
      </c>
      <c r="E6" s="140">
        <f t="shared" ref="E6:BP6" si="10">E5-E7</f>
        <v>0</v>
      </c>
      <c r="F6" s="140">
        <f t="shared" si="10"/>
        <v>0</v>
      </c>
      <c r="G6" s="140">
        <f t="shared" si="10"/>
        <v>0</v>
      </c>
      <c r="H6" s="140">
        <f t="shared" si="10"/>
        <v>0</v>
      </c>
      <c r="I6" s="140">
        <f t="shared" si="10"/>
        <v>0</v>
      </c>
      <c r="J6" s="140">
        <f t="shared" si="10"/>
        <v>0</v>
      </c>
      <c r="K6" s="140">
        <f t="shared" si="10"/>
        <v>0</v>
      </c>
      <c r="L6" s="140">
        <f t="shared" si="10"/>
        <v>0</v>
      </c>
      <c r="M6" s="140">
        <f t="shared" si="10"/>
        <v>0</v>
      </c>
      <c r="N6" s="140">
        <f t="shared" si="10"/>
        <v>0</v>
      </c>
      <c r="O6" s="140">
        <f t="shared" si="10"/>
        <v>0</v>
      </c>
      <c r="P6" s="140">
        <f t="shared" si="10"/>
        <v>0</v>
      </c>
      <c r="Q6" s="140">
        <f t="shared" si="10"/>
        <v>0</v>
      </c>
      <c r="R6" s="140">
        <f t="shared" si="10"/>
        <v>0</v>
      </c>
      <c r="S6" s="140">
        <f t="shared" si="10"/>
        <v>0</v>
      </c>
      <c r="T6" s="140">
        <f t="shared" si="10"/>
        <v>0</v>
      </c>
      <c r="U6" s="140">
        <f t="shared" si="10"/>
        <v>0</v>
      </c>
      <c r="V6" s="140">
        <f t="shared" si="10"/>
        <v>0</v>
      </c>
      <c r="W6" s="140">
        <f t="shared" si="10"/>
        <v>0</v>
      </c>
      <c r="X6" s="140">
        <f t="shared" si="10"/>
        <v>0</v>
      </c>
      <c r="Y6" s="140">
        <f t="shared" si="10"/>
        <v>0</v>
      </c>
      <c r="Z6" s="140">
        <f t="shared" si="10"/>
        <v>0</v>
      </c>
      <c r="AA6" s="140">
        <f t="shared" si="10"/>
        <v>0</v>
      </c>
      <c r="AB6" s="140">
        <f t="shared" si="10"/>
        <v>0</v>
      </c>
      <c r="AC6" s="140">
        <f t="shared" si="10"/>
        <v>0</v>
      </c>
      <c r="AD6" s="140">
        <f t="shared" si="10"/>
        <v>0</v>
      </c>
      <c r="AE6" s="140">
        <f t="shared" si="10"/>
        <v>0</v>
      </c>
      <c r="AF6" s="140">
        <f t="shared" si="10"/>
        <v>0</v>
      </c>
      <c r="AG6" s="140">
        <f t="shared" si="10"/>
        <v>0</v>
      </c>
      <c r="AH6" s="140">
        <f t="shared" si="10"/>
        <v>0</v>
      </c>
      <c r="AI6" s="140">
        <f t="shared" si="10"/>
        <v>0</v>
      </c>
      <c r="AJ6" s="140">
        <f t="shared" si="10"/>
        <v>0</v>
      </c>
      <c r="AK6" s="140">
        <f t="shared" si="10"/>
        <v>0</v>
      </c>
      <c r="AL6" s="140">
        <f t="shared" si="10"/>
        <v>0</v>
      </c>
      <c r="AM6" s="140">
        <f t="shared" si="10"/>
        <v>37461.310154352788</v>
      </c>
      <c r="AN6" s="140">
        <f t="shared" si="10"/>
        <v>37586.18118820063</v>
      </c>
      <c r="AO6" s="140">
        <f t="shared" si="10"/>
        <v>37711.468458827963</v>
      </c>
      <c r="AP6" s="140">
        <f t="shared" si="10"/>
        <v>37837.173353690727</v>
      </c>
      <c r="AQ6" s="140">
        <f t="shared" si="10"/>
        <v>37963.297264869689</v>
      </c>
      <c r="AR6" s="140">
        <f t="shared" si="10"/>
        <v>38089.841589085918</v>
      </c>
      <c r="AS6" s="140">
        <f t="shared" si="10"/>
        <v>38216.807727716208</v>
      </c>
      <c r="AT6" s="140">
        <f t="shared" si="10"/>
        <v>38344.197086808606</v>
      </c>
      <c r="AU6" s="140">
        <f t="shared" si="10"/>
        <v>38472.011077097952</v>
      </c>
      <c r="AV6" s="140">
        <f t="shared" si="10"/>
        <v>38600.251114021623</v>
      </c>
      <c r="AW6" s="140">
        <f t="shared" si="10"/>
        <v>38728.91861773502</v>
      </c>
      <c r="AX6" s="140">
        <f t="shared" si="10"/>
        <v>38858.015013127486</v>
      </c>
      <c r="AY6" s="140">
        <f t="shared" si="10"/>
        <v>38987.541729837903</v>
      </c>
      <c r="AZ6" s="140">
        <f t="shared" si="10"/>
        <v>39117.500202270705</v>
      </c>
      <c r="BA6" s="140">
        <f t="shared" si="10"/>
        <v>39247.891869611616</v>
      </c>
      <c r="BB6" s="140">
        <f t="shared" si="10"/>
        <v>39378.718175843649</v>
      </c>
      <c r="BC6" s="140">
        <f t="shared" si="10"/>
        <v>39509.980569763124</v>
      </c>
      <c r="BD6" s="140">
        <f t="shared" si="10"/>
        <v>39641.680504995675</v>
      </c>
      <c r="BE6" s="140">
        <f t="shared" si="10"/>
        <v>39773.819440012332</v>
      </c>
      <c r="BF6" s="140">
        <f t="shared" si="10"/>
        <v>39906.398838145702</v>
      </c>
      <c r="BG6" s="140">
        <f t="shared" si="10"/>
        <v>40039.420167606193</v>
      </c>
      <c r="BH6" s="140">
        <f t="shared" si="10"/>
        <v>40172.884901498212</v>
      </c>
      <c r="BI6" s="140">
        <f t="shared" si="10"/>
        <v>40306.794517836548</v>
      </c>
      <c r="BJ6" s="140">
        <f t="shared" si="10"/>
        <v>40441.15049956266</v>
      </c>
      <c r="BK6" s="140">
        <f t="shared" si="10"/>
        <v>0</v>
      </c>
      <c r="BL6" s="140">
        <f t="shared" si="10"/>
        <v>0</v>
      </c>
      <c r="BM6" s="140">
        <f t="shared" si="10"/>
        <v>0</v>
      </c>
      <c r="BN6" s="140">
        <f t="shared" si="10"/>
        <v>0</v>
      </c>
      <c r="BO6" s="140">
        <f t="shared" si="10"/>
        <v>0</v>
      </c>
      <c r="BP6" s="140">
        <f t="shared" si="10"/>
        <v>0</v>
      </c>
      <c r="BQ6" s="140">
        <f t="shared" ref="BQ6:EB6" si="11">BQ5-BQ7</f>
        <v>0</v>
      </c>
      <c r="BR6" s="140">
        <f t="shared" si="11"/>
        <v>0</v>
      </c>
      <c r="BS6" s="140">
        <f t="shared" si="11"/>
        <v>0</v>
      </c>
      <c r="BT6" s="140">
        <f t="shared" si="11"/>
        <v>0</v>
      </c>
      <c r="BU6" s="140">
        <f t="shared" si="11"/>
        <v>0</v>
      </c>
      <c r="BV6" s="140">
        <f t="shared" si="11"/>
        <v>0</v>
      </c>
      <c r="BW6" s="140">
        <f t="shared" si="11"/>
        <v>0</v>
      </c>
      <c r="BX6" s="140">
        <f t="shared" si="11"/>
        <v>0</v>
      </c>
      <c r="BY6" s="140">
        <f t="shared" si="11"/>
        <v>0</v>
      </c>
      <c r="BZ6" s="140">
        <f t="shared" si="11"/>
        <v>0</v>
      </c>
      <c r="CA6" s="140">
        <f t="shared" si="11"/>
        <v>0</v>
      </c>
      <c r="CB6" s="140">
        <f t="shared" si="11"/>
        <v>0</v>
      </c>
      <c r="CC6" s="140">
        <f t="shared" si="11"/>
        <v>0</v>
      </c>
      <c r="CD6" s="140">
        <f t="shared" si="11"/>
        <v>0</v>
      </c>
      <c r="CE6" s="140">
        <f t="shared" si="11"/>
        <v>0</v>
      </c>
      <c r="CF6" s="140">
        <f t="shared" si="11"/>
        <v>0</v>
      </c>
      <c r="CG6" s="140">
        <f t="shared" si="11"/>
        <v>0</v>
      </c>
      <c r="CH6" s="140">
        <f t="shared" si="11"/>
        <v>0</v>
      </c>
      <c r="CI6" s="140">
        <f t="shared" si="11"/>
        <v>0</v>
      </c>
      <c r="CJ6" s="140">
        <f t="shared" si="11"/>
        <v>0</v>
      </c>
      <c r="CK6" s="140">
        <f t="shared" si="11"/>
        <v>0</v>
      </c>
      <c r="CL6" s="140">
        <f t="shared" si="11"/>
        <v>0</v>
      </c>
      <c r="CM6" s="140">
        <f t="shared" si="11"/>
        <v>0</v>
      </c>
      <c r="CN6" s="140">
        <f t="shared" si="11"/>
        <v>0</v>
      </c>
      <c r="CO6" s="140">
        <f t="shared" si="11"/>
        <v>0</v>
      </c>
      <c r="CP6" s="140">
        <f t="shared" si="11"/>
        <v>0</v>
      </c>
      <c r="CQ6" s="140">
        <f t="shared" si="11"/>
        <v>0</v>
      </c>
      <c r="CR6" s="140">
        <f t="shared" si="11"/>
        <v>0</v>
      </c>
      <c r="CS6" s="140">
        <f t="shared" si="11"/>
        <v>0</v>
      </c>
      <c r="CT6" s="140">
        <f t="shared" si="11"/>
        <v>0</v>
      </c>
      <c r="CU6" s="140">
        <f t="shared" si="11"/>
        <v>0</v>
      </c>
      <c r="CV6" s="140">
        <f t="shared" si="11"/>
        <v>0</v>
      </c>
      <c r="CW6" s="140">
        <f t="shared" si="11"/>
        <v>0</v>
      </c>
      <c r="CX6" s="140">
        <f t="shared" si="11"/>
        <v>0</v>
      </c>
      <c r="CY6" s="140">
        <f t="shared" si="11"/>
        <v>0</v>
      </c>
      <c r="CZ6" s="140">
        <f t="shared" si="11"/>
        <v>0</v>
      </c>
      <c r="DA6" s="140">
        <f t="shared" si="11"/>
        <v>0</v>
      </c>
      <c r="DB6" s="140">
        <f t="shared" si="11"/>
        <v>0</v>
      </c>
      <c r="DC6" s="140">
        <f t="shared" si="11"/>
        <v>0</v>
      </c>
      <c r="DD6" s="140">
        <f t="shared" si="11"/>
        <v>0</v>
      </c>
      <c r="DE6" s="140">
        <f t="shared" si="11"/>
        <v>0</v>
      </c>
      <c r="DF6" s="140">
        <f t="shared" si="11"/>
        <v>0</v>
      </c>
      <c r="DG6" s="140">
        <f t="shared" si="11"/>
        <v>0</v>
      </c>
      <c r="DH6" s="140">
        <f t="shared" si="11"/>
        <v>0</v>
      </c>
      <c r="DI6" s="140">
        <f t="shared" si="11"/>
        <v>0</v>
      </c>
      <c r="DJ6" s="140">
        <f t="shared" si="11"/>
        <v>0</v>
      </c>
      <c r="DK6" s="140">
        <f t="shared" si="11"/>
        <v>0</v>
      </c>
      <c r="DL6" s="140">
        <f t="shared" si="11"/>
        <v>0</v>
      </c>
      <c r="DM6" s="140">
        <f t="shared" si="11"/>
        <v>0</v>
      </c>
      <c r="DN6" s="140">
        <f t="shared" si="11"/>
        <v>0</v>
      </c>
      <c r="DO6" s="140">
        <f t="shared" si="11"/>
        <v>0</v>
      </c>
      <c r="DP6" s="140">
        <f t="shared" si="11"/>
        <v>0</v>
      </c>
      <c r="DQ6" s="140">
        <f t="shared" si="11"/>
        <v>0</v>
      </c>
      <c r="DR6" s="140">
        <f t="shared" si="11"/>
        <v>0</v>
      </c>
      <c r="DS6" s="140">
        <f t="shared" si="11"/>
        <v>0</v>
      </c>
      <c r="DT6" s="140">
        <f t="shared" si="11"/>
        <v>0</v>
      </c>
      <c r="DU6" s="140">
        <f t="shared" si="11"/>
        <v>0</v>
      </c>
      <c r="DV6" s="140">
        <f t="shared" si="11"/>
        <v>0</v>
      </c>
      <c r="DW6" s="140">
        <f t="shared" si="11"/>
        <v>0</v>
      </c>
      <c r="DX6" s="140">
        <f t="shared" si="11"/>
        <v>0</v>
      </c>
      <c r="DY6" s="140">
        <f t="shared" si="11"/>
        <v>0</v>
      </c>
      <c r="DZ6" s="140">
        <f t="shared" si="11"/>
        <v>0</v>
      </c>
      <c r="EA6" s="140">
        <f t="shared" si="11"/>
        <v>0</v>
      </c>
      <c r="EB6" s="140">
        <f t="shared" si="11"/>
        <v>0</v>
      </c>
      <c r="EC6" s="140">
        <f t="shared" ref="EC6:ED6" si="12">EC5-EC7</f>
        <v>0</v>
      </c>
      <c r="ED6" s="141">
        <f t="shared" si="12"/>
        <v>0</v>
      </c>
    </row>
    <row r="7" spans="1:134" x14ac:dyDescent="0.35">
      <c r="A7" s="139">
        <f t="shared" si="9"/>
        <v>5164678.1896419479</v>
      </c>
      <c r="B7" s="5" t="s">
        <v>165</v>
      </c>
      <c r="C7" s="140">
        <f>C4*Summary!$E$6/12</f>
        <v>86666.666666666672</v>
      </c>
      <c r="D7" s="140">
        <f>D4*Summary!$E$6/12</f>
        <v>86666.666666666672</v>
      </c>
      <c r="E7" s="140">
        <f>E4*Summary!$E$6/12</f>
        <v>86666.666666666672</v>
      </c>
      <c r="F7" s="140">
        <f>F4*Summary!$E$6/12</f>
        <v>86666.666666666672</v>
      </c>
      <c r="G7" s="140">
        <f>G4*Summary!$E$6/12</f>
        <v>86666.666666666672</v>
      </c>
      <c r="H7" s="140">
        <f>H4*Summary!$E$6/12</f>
        <v>86666.666666666672</v>
      </c>
      <c r="I7" s="140">
        <f>I4*Summary!$E$6/12</f>
        <v>86666.666666666672</v>
      </c>
      <c r="J7" s="140">
        <f>J4*Summary!$E$6/12</f>
        <v>86666.666666666672</v>
      </c>
      <c r="K7" s="140">
        <f>K4*Summary!$E$6/12</f>
        <v>86666.666666666672</v>
      </c>
      <c r="L7" s="140">
        <f>L4*Summary!$E$6/12</f>
        <v>86666.666666666672</v>
      </c>
      <c r="M7" s="140">
        <f>M4*Summary!$E$6/12</f>
        <v>86666.666666666672</v>
      </c>
      <c r="N7" s="140">
        <f>N4*Summary!$E$6/12</f>
        <v>86666.666666666672</v>
      </c>
      <c r="O7" s="140">
        <f>O4*Summary!$E$6/12</f>
        <v>86666.666666666672</v>
      </c>
      <c r="P7" s="140">
        <f>P4*Summary!$E$6/12</f>
        <v>86666.666666666672</v>
      </c>
      <c r="Q7" s="140">
        <f>Q4*Summary!$E$6/12</f>
        <v>86666.666666666672</v>
      </c>
      <c r="R7" s="140">
        <f>R4*Summary!$E$6/12</f>
        <v>86666.666666666672</v>
      </c>
      <c r="S7" s="140">
        <f>S4*Summary!$E$6/12</f>
        <v>86666.666666666672</v>
      </c>
      <c r="T7" s="140">
        <f>T4*Summary!$E$6/12</f>
        <v>86666.666666666672</v>
      </c>
      <c r="U7" s="140">
        <f>U4*Summary!$E$6/12</f>
        <v>86666.666666666672</v>
      </c>
      <c r="V7" s="140">
        <f>V4*Summary!$E$6/12</f>
        <v>86666.666666666672</v>
      </c>
      <c r="W7" s="140">
        <f>W4*Summary!$E$6/12</f>
        <v>86666.666666666672</v>
      </c>
      <c r="X7" s="140">
        <f>X4*Summary!$E$6/12</f>
        <v>86666.666666666672</v>
      </c>
      <c r="Y7" s="140">
        <f>Y4*Summary!$E$6/12</f>
        <v>86666.666666666672</v>
      </c>
      <c r="Z7" s="140">
        <f>Z4*Summary!$E$6/12</f>
        <v>86666.666666666672</v>
      </c>
      <c r="AA7" s="140">
        <f>AA4*Summary!$E$6/12</f>
        <v>86666.666666666672</v>
      </c>
      <c r="AB7" s="140">
        <f>AB4*Summary!$E$6/12</f>
        <v>86666.666666666672</v>
      </c>
      <c r="AC7" s="140">
        <f>AC4*Summary!$E$6/12</f>
        <v>86666.666666666672</v>
      </c>
      <c r="AD7" s="140">
        <f>AD4*Summary!$E$6/12</f>
        <v>86666.666666666672</v>
      </c>
      <c r="AE7" s="140">
        <f>AE4*Summary!$E$6/12</f>
        <v>86666.666666666672</v>
      </c>
      <c r="AF7" s="140">
        <f>AF4*Summary!$E$6/12</f>
        <v>86666.666666666672</v>
      </c>
      <c r="AG7" s="140">
        <f>AG4*Summary!$E$6/12</f>
        <v>86666.666666666672</v>
      </c>
      <c r="AH7" s="140">
        <f>AH4*Summary!$E$6/12</f>
        <v>86666.666666666672</v>
      </c>
      <c r="AI7" s="140">
        <f>AI4*Summary!$E$6/12</f>
        <v>86666.666666666672</v>
      </c>
      <c r="AJ7" s="140">
        <f>AJ4*Summary!$E$6/12</f>
        <v>86666.666666666672</v>
      </c>
      <c r="AK7" s="140">
        <f>AK4*Summary!$E$6/12</f>
        <v>86666.666666666672</v>
      </c>
      <c r="AL7" s="140">
        <f>AL4*Summary!$E$6/12</f>
        <v>86666.666666666672</v>
      </c>
      <c r="AM7" s="140">
        <f>AM4*Summary!$E$6/12</f>
        <v>86666.666666666672</v>
      </c>
      <c r="AN7" s="140">
        <f>AN4*Summary!$E$6/12</f>
        <v>86541.79563281883</v>
      </c>
      <c r="AO7" s="140">
        <f>AO4*Summary!$E$6/12</f>
        <v>86416.508362191496</v>
      </c>
      <c r="AP7" s="140">
        <f>AP4*Summary!$E$6/12</f>
        <v>86290.803467328733</v>
      </c>
      <c r="AQ7" s="140">
        <f>AQ4*Summary!$E$6/12</f>
        <v>86164.679556149771</v>
      </c>
      <c r="AR7" s="140">
        <f>AR4*Summary!$E$6/12</f>
        <v>86038.135231933542</v>
      </c>
      <c r="AS7" s="140">
        <f>AS4*Summary!$E$6/12</f>
        <v>85911.169093303251</v>
      </c>
      <c r="AT7" s="140">
        <f>AT4*Summary!$E$6/12</f>
        <v>85783.779734210853</v>
      </c>
      <c r="AU7" s="140">
        <f>AU4*Summary!$E$6/12</f>
        <v>85655.965743921508</v>
      </c>
      <c r="AV7" s="140">
        <f>AV4*Summary!$E$6/12</f>
        <v>85527.725706997837</v>
      </c>
      <c r="AW7" s="140">
        <f>AW4*Summary!$E$6/12</f>
        <v>85399.05820328444</v>
      </c>
      <c r="AX7" s="140">
        <f>AX4*Summary!$E$6/12</f>
        <v>85269.961807891974</v>
      </c>
      <c r="AY7" s="140">
        <f>AY4*Summary!$E$6/12</f>
        <v>85140.435091181556</v>
      </c>
      <c r="AZ7" s="140">
        <f>AZ4*Summary!$E$6/12</f>
        <v>85010.476618748755</v>
      </c>
      <c r="BA7" s="140">
        <f>BA4*Summary!$E$6/12</f>
        <v>84880.084951407844</v>
      </c>
      <c r="BB7" s="140">
        <f>BB4*Summary!$E$6/12</f>
        <v>84749.258645175811</v>
      </c>
      <c r="BC7" s="140">
        <f>BC4*Summary!$E$6/12</f>
        <v>84617.996251256336</v>
      </c>
      <c r="BD7" s="140">
        <f>BD4*Summary!$E$6/12</f>
        <v>84486.296316023785</v>
      </c>
      <c r="BE7" s="140">
        <f>BE4*Summary!$E$6/12</f>
        <v>84354.157381007128</v>
      </c>
      <c r="BF7" s="140">
        <f>BF4*Summary!$E$6/12</f>
        <v>84221.577982873758</v>
      </c>
      <c r="BG7" s="140">
        <f>BG4*Summary!$E$6/12</f>
        <v>84088.556653413267</v>
      </c>
      <c r="BH7" s="140">
        <f>BH4*Summary!$E$6/12</f>
        <v>83955.091919521248</v>
      </c>
      <c r="BI7" s="140">
        <f>BI4*Summary!$E$6/12</f>
        <v>83821.182303182912</v>
      </c>
      <c r="BJ7" s="140">
        <f>BJ4*Summary!$E$6/12</f>
        <v>83686.8263214568</v>
      </c>
      <c r="BK7" s="140">
        <f>BK4*Summary!$E$6/12</f>
        <v>0</v>
      </c>
      <c r="BL7" s="140">
        <f>BL4*Summary!$E$6/12</f>
        <v>0</v>
      </c>
      <c r="BM7" s="140">
        <f>BM4*Summary!$E$6/12</f>
        <v>0</v>
      </c>
      <c r="BN7" s="140">
        <f>BN4*Summary!$E$6/12</f>
        <v>0</v>
      </c>
      <c r="BO7" s="140">
        <f>BO4*Summary!$E$6/12</f>
        <v>0</v>
      </c>
      <c r="BP7" s="140">
        <f>BP4*Summary!$E$6/12</f>
        <v>0</v>
      </c>
      <c r="BQ7" s="140">
        <f>BQ4*Summary!$E$6/12</f>
        <v>0</v>
      </c>
      <c r="BR7" s="140">
        <f>BR4*Summary!$E$6/12</f>
        <v>0</v>
      </c>
      <c r="BS7" s="140">
        <f>BS4*Summary!$E$6/12</f>
        <v>0</v>
      </c>
      <c r="BT7" s="140">
        <f>BT4*Summary!$E$6/12</f>
        <v>0</v>
      </c>
      <c r="BU7" s="140">
        <f>BU4*Summary!$E$6/12</f>
        <v>0</v>
      </c>
      <c r="BV7" s="140">
        <f>BV4*Summary!$E$6/12</f>
        <v>0</v>
      </c>
      <c r="BW7" s="140">
        <f>BW4*Summary!$E$6/12</f>
        <v>0</v>
      </c>
      <c r="BX7" s="140">
        <f>BX4*Summary!$E$6/12</f>
        <v>0</v>
      </c>
      <c r="BY7" s="140">
        <f>BY4*Summary!$E$6/12</f>
        <v>0</v>
      </c>
      <c r="BZ7" s="140">
        <f>BZ4*Summary!$E$6/12</f>
        <v>0</v>
      </c>
      <c r="CA7" s="140">
        <f>CA4*Summary!$E$6/12</f>
        <v>0</v>
      </c>
      <c r="CB7" s="140">
        <f>CB4*Summary!$E$6/12</f>
        <v>0</v>
      </c>
      <c r="CC7" s="140">
        <f>CC4*Summary!$E$6/12</f>
        <v>0</v>
      </c>
      <c r="CD7" s="140">
        <f>CD4*Summary!$E$6/12</f>
        <v>0</v>
      </c>
      <c r="CE7" s="140">
        <f>CE4*Summary!$E$6/12</f>
        <v>0</v>
      </c>
      <c r="CF7" s="140">
        <f>CF4*Summary!$E$6/12</f>
        <v>0</v>
      </c>
      <c r="CG7" s="140">
        <f>CG4*Summary!$E$6/12</f>
        <v>0</v>
      </c>
      <c r="CH7" s="140">
        <f>CH4*Summary!$E$6/12</f>
        <v>0</v>
      </c>
      <c r="CI7" s="140">
        <f>CI4*Summary!$E$6/12</f>
        <v>0</v>
      </c>
      <c r="CJ7" s="140">
        <f>CJ4*Summary!$E$6/12</f>
        <v>0</v>
      </c>
      <c r="CK7" s="140">
        <f>CK4*Summary!$E$6/12</f>
        <v>0</v>
      </c>
      <c r="CL7" s="140">
        <f>CL4*Summary!$E$6/12</f>
        <v>0</v>
      </c>
      <c r="CM7" s="140">
        <f>CM4*Summary!$E$6/12</f>
        <v>0</v>
      </c>
      <c r="CN7" s="140">
        <f>CN4*Summary!$E$6/12</f>
        <v>0</v>
      </c>
      <c r="CO7" s="140">
        <f>CO4*Summary!$E$6/12</f>
        <v>0</v>
      </c>
      <c r="CP7" s="140">
        <f>CP4*Summary!$E$6/12</f>
        <v>0</v>
      </c>
      <c r="CQ7" s="140">
        <f>CQ4*Summary!$E$6/12</f>
        <v>0</v>
      </c>
      <c r="CR7" s="140">
        <f>CR4*Summary!$E$6/12</f>
        <v>0</v>
      </c>
      <c r="CS7" s="140">
        <f>CS4*Summary!$E$6/12</f>
        <v>0</v>
      </c>
      <c r="CT7" s="140">
        <f>CT4*Summary!$E$6/12</f>
        <v>0</v>
      </c>
      <c r="CU7" s="140">
        <f>CU4*Summary!$E$6/12</f>
        <v>0</v>
      </c>
      <c r="CV7" s="140">
        <f>CV4*Summary!$E$6/12</f>
        <v>0</v>
      </c>
      <c r="CW7" s="140">
        <f>CW4*Summary!$E$6/12</f>
        <v>0</v>
      </c>
      <c r="CX7" s="140">
        <f>CX4*Summary!$E$6/12</f>
        <v>0</v>
      </c>
      <c r="CY7" s="140">
        <f>CY4*Summary!$E$6/12</f>
        <v>0</v>
      </c>
      <c r="CZ7" s="140">
        <f>CZ4*Summary!$E$6/12</f>
        <v>0</v>
      </c>
      <c r="DA7" s="140">
        <f>DA4*Summary!$E$6/12</f>
        <v>0</v>
      </c>
      <c r="DB7" s="140">
        <f>DB4*Summary!$E$6/12</f>
        <v>0</v>
      </c>
      <c r="DC7" s="140">
        <f>DC4*Summary!$E$6/12</f>
        <v>0</v>
      </c>
      <c r="DD7" s="140">
        <f>DD4*Summary!$E$6/12</f>
        <v>0</v>
      </c>
      <c r="DE7" s="140">
        <f>DE4*Summary!$E$6/12</f>
        <v>0</v>
      </c>
      <c r="DF7" s="140">
        <f>DF4*Summary!$E$6/12</f>
        <v>0</v>
      </c>
      <c r="DG7" s="140">
        <f>DG4*Summary!$E$6/12</f>
        <v>0</v>
      </c>
      <c r="DH7" s="140">
        <f>DH4*Summary!$E$6/12</f>
        <v>0</v>
      </c>
      <c r="DI7" s="140">
        <f>DI4*Summary!$E$6/12</f>
        <v>0</v>
      </c>
      <c r="DJ7" s="140">
        <f>DJ4*Summary!$E$6/12</f>
        <v>0</v>
      </c>
      <c r="DK7" s="140">
        <f>DK4*Summary!$E$6/12</f>
        <v>0</v>
      </c>
      <c r="DL7" s="140">
        <f>DL4*Summary!$E$6/12</f>
        <v>0</v>
      </c>
      <c r="DM7" s="140">
        <f>DM4*Summary!$E$6/12</f>
        <v>0</v>
      </c>
      <c r="DN7" s="140">
        <f>DN4*Summary!$E$6/12</f>
        <v>0</v>
      </c>
      <c r="DO7" s="140">
        <f>DO4*Summary!$E$6/12</f>
        <v>0</v>
      </c>
      <c r="DP7" s="140">
        <f>DP4*Summary!$E$6/12</f>
        <v>0</v>
      </c>
      <c r="DQ7" s="140">
        <f>DQ4*Summary!$E$6/12</f>
        <v>0</v>
      </c>
      <c r="DR7" s="140">
        <f>DR4*Summary!$E$6/12</f>
        <v>0</v>
      </c>
      <c r="DS7" s="140">
        <f>DS4*Summary!$E$6/12</f>
        <v>0</v>
      </c>
      <c r="DT7" s="140">
        <f>DT4*Summary!$E$6/12</f>
        <v>0</v>
      </c>
      <c r="DU7" s="140">
        <f>DU4*Summary!$E$6/12</f>
        <v>0</v>
      </c>
      <c r="DV7" s="140">
        <f>DV4*Summary!$E$6/12</f>
        <v>0</v>
      </c>
      <c r="DW7" s="140">
        <f>DW4*Summary!$E$6/12</f>
        <v>0</v>
      </c>
      <c r="DX7" s="140">
        <f>DX4*Summary!$E$6/12</f>
        <v>0</v>
      </c>
      <c r="DY7" s="140">
        <f>DY4*Summary!$E$6/12</f>
        <v>0</v>
      </c>
      <c r="DZ7" s="140">
        <f>DZ4*Summary!$E$6/12</f>
        <v>0</v>
      </c>
      <c r="EA7" s="140">
        <f>EA4*Summary!$E$6/12</f>
        <v>0</v>
      </c>
      <c r="EB7" s="140">
        <f>EB4*Summary!$E$6/12</f>
        <v>0</v>
      </c>
      <c r="EC7" s="140">
        <f>EC4*Summary!$E$6/12</f>
        <v>0</v>
      </c>
      <c r="ED7" s="141">
        <f>ED4*Summary!$E$6/12</f>
        <v>0</v>
      </c>
    </row>
    <row r="8" spans="1:134" x14ac:dyDescent="0.35">
      <c r="A8" s="139">
        <f t="shared" si="9"/>
        <v>-25065606.745937474</v>
      </c>
      <c r="B8" s="5" t="s">
        <v>166</v>
      </c>
      <c r="C8" s="140">
        <f>IF(C2=MIN(Summary!$E$10,Summary!$K$19),-Financing!C4+Financing!C6,0)</f>
        <v>0</v>
      </c>
      <c r="D8" s="140">
        <f>IF(D2=MIN(Summary!$E$10,Summary!$K$19),-Financing!D4+Financing!D6,0)</f>
        <v>0</v>
      </c>
      <c r="E8" s="140">
        <f>IF(E2=MIN(Summary!$E$10,Summary!$K$19),-Financing!E4+Financing!E6,0)</f>
        <v>0</v>
      </c>
      <c r="F8" s="140">
        <f>IF(F2=MIN(Summary!$E$10,Summary!$K$19),-Financing!F4+Financing!F6,0)</f>
        <v>0</v>
      </c>
      <c r="G8" s="140">
        <f>IF(G2=MIN(Summary!$E$10,Summary!$K$19),-Financing!G4+Financing!G6,0)</f>
        <v>0</v>
      </c>
      <c r="H8" s="140">
        <f>IF(H2=MIN(Summary!$E$10,Summary!$K$19),-Financing!H4+Financing!H6,0)</f>
        <v>0</v>
      </c>
      <c r="I8" s="140">
        <f>IF(I2=MIN(Summary!$E$10,Summary!$K$19),-Financing!I4+Financing!I6,0)</f>
        <v>0</v>
      </c>
      <c r="J8" s="140">
        <f>IF(J2=MIN(Summary!$E$10,Summary!$K$19),-Financing!J4+Financing!J6,0)</f>
        <v>0</v>
      </c>
      <c r="K8" s="140">
        <f>IF(K2=MIN(Summary!$E$10,Summary!$K$19),-Financing!K4+Financing!K6,0)</f>
        <v>0</v>
      </c>
      <c r="L8" s="140">
        <f>IF(L2=MIN(Summary!$E$10,Summary!$K$19),-Financing!L4+Financing!L6,0)</f>
        <v>0</v>
      </c>
      <c r="M8" s="140">
        <f>IF(M2=MIN(Summary!$E$10,Summary!$K$19),-Financing!M4+Financing!M6,0)</f>
        <v>0</v>
      </c>
      <c r="N8" s="140">
        <f>IF(N2=MIN(Summary!$E$10,Summary!$K$19),-Financing!N4+Financing!N6,0)</f>
        <v>0</v>
      </c>
      <c r="O8" s="140">
        <f>IF(O2=MIN(Summary!$E$10,Summary!$K$19),-Financing!O4+Financing!O6,0)</f>
        <v>0</v>
      </c>
      <c r="P8" s="140">
        <f>IF(P2=MIN(Summary!$E$10,Summary!$K$19),-Financing!P4+Financing!P6,0)</f>
        <v>0</v>
      </c>
      <c r="Q8" s="140">
        <f>IF(Q2=MIN(Summary!$E$10,Summary!$K$19),-Financing!Q4+Financing!Q6,0)</f>
        <v>0</v>
      </c>
      <c r="R8" s="140">
        <f>IF(R2=MIN(Summary!$E$10,Summary!$K$19),-Financing!R4+Financing!R6,0)</f>
        <v>0</v>
      </c>
      <c r="S8" s="140">
        <f>IF(S2=MIN(Summary!$E$10,Summary!$K$19),-Financing!S4+Financing!S6,0)</f>
        <v>0</v>
      </c>
      <c r="T8" s="140">
        <f>IF(T2=MIN(Summary!$E$10,Summary!$K$19),-Financing!T4+Financing!T6,0)</f>
        <v>0</v>
      </c>
      <c r="U8" s="140">
        <f>IF(U2=MIN(Summary!$E$10,Summary!$K$19),-Financing!U4+Financing!U6,0)</f>
        <v>0</v>
      </c>
      <c r="V8" s="140">
        <f>IF(V2=MIN(Summary!$E$10,Summary!$K$19),-Financing!V4+Financing!V6,0)</f>
        <v>0</v>
      </c>
      <c r="W8" s="140">
        <f>IF(W2=MIN(Summary!$E$10,Summary!$K$19),-Financing!W4+Financing!W6,0)</f>
        <v>0</v>
      </c>
      <c r="X8" s="140">
        <f>IF(X2=MIN(Summary!$E$10,Summary!$K$19),-Financing!X4+Financing!X6,0)</f>
        <v>0</v>
      </c>
      <c r="Y8" s="140">
        <f>IF(Y2=MIN(Summary!$E$10,Summary!$K$19),-Financing!Y4+Financing!Y6,0)</f>
        <v>0</v>
      </c>
      <c r="Z8" s="140">
        <f>IF(Z2=MIN(Summary!$E$10,Summary!$K$19),-Financing!Z4+Financing!Z6,0)</f>
        <v>0</v>
      </c>
      <c r="AA8" s="140">
        <f>IF(AA2=MIN(Summary!$E$10,Summary!$K$19),-Financing!AA4+Financing!AA6,0)</f>
        <v>0</v>
      </c>
      <c r="AB8" s="140">
        <f>IF(AB2=MIN(Summary!$E$10,Summary!$K$19),-Financing!AB4+Financing!AB6,0)</f>
        <v>0</v>
      </c>
      <c r="AC8" s="140">
        <f>IF(AC2=MIN(Summary!$E$10,Summary!$K$19),-Financing!AC4+Financing!AC6,0)</f>
        <v>0</v>
      </c>
      <c r="AD8" s="140">
        <f>IF(AD2=MIN(Summary!$E$10,Summary!$K$19),-Financing!AD4+Financing!AD6,0)</f>
        <v>0</v>
      </c>
      <c r="AE8" s="140">
        <f>IF(AE2=MIN(Summary!$E$10,Summary!$K$19),-Financing!AE4+Financing!AE6,0)</f>
        <v>0</v>
      </c>
      <c r="AF8" s="140">
        <f>IF(AF2=MIN(Summary!$E$10,Summary!$K$19),-Financing!AF4+Financing!AF6,0)</f>
        <v>0</v>
      </c>
      <c r="AG8" s="140">
        <f>IF(AG2=MIN(Summary!$E$10,Summary!$K$19),-Financing!AG4+Financing!AG6,0)</f>
        <v>0</v>
      </c>
      <c r="AH8" s="140">
        <f>IF(AH2=MIN(Summary!$E$10,Summary!$K$19),-Financing!AH4+Financing!AH6,0)</f>
        <v>0</v>
      </c>
      <c r="AI8" s="140">
        <f>IF(AI2=MIN(Summary!$E$10,Summary!$K$19),-Financing!AI4+Financing!AI6,0)</f>
        <v>0</v>
      </c>
      <c r="AJ8" s="140">
        <f>IF(AJ2=MIN(Summary!$E$10,Summary!$K$19),-Financing!AJ4+Financing!AJ6,0)</f>
        <v>0</v>
      </c>
      <c r="AK8" s="140">
        <f>IF(AK2=MIN(Summary!$E$10,Summary!$K$19),-Financing!AK4+Financing!AK6,0)</f>
        <v>0</v>
      </c>
      <c r="AL8" s="140">
        <f>IF(AL2=MIN(Summary!$E$10,Summary!$K$19),-Financing!AL4+Financing!AL6,0)</f>
        <v>0</v>
      </c>
      <c r="AM8" s="140">
        <f>IF(AM2=MIN(Summary!$E$10,Summary!$K$19),-Financing!AM4+Financing!AM6,0)</f>
        <v>0</v>
      </c>
      <c r="AN8" s="140">
        <f>IF(AN2=MIN(Summary!$E$10,Summary!$K$19),-Financing!AN4+Financing!AN6,0)</f>
        <v>0</v>
      </c>
      <c r="AO8" s="140">
        <f>IF(AO2=MIN(Summary!$E$10,Summary!$K$19),-Financing!AO4+Financing!AO6,0)</f>
        <v>0</v>
      </c>
      <c r="AP8" s="140">
        <f>IF(AP2=MIN(Summary!$E$10,Summary!$K$19),-Financing!AP4+Financing!AP6,0)</f>
        <v>0</v>
      </c>
      <c r="AQ8" s="140">
        <f>IF(AQ2=MIN(Summary!$E$10,Summary!$K$19),-Financing!AQ4+Financing!AQ6,0)</f>
        <v>0</v>
      </c>
      <c r="AR8" s="140">
        <f>IF(AR2=MIN(Summary!$E$10,Summary!$K$19),-Financing!AR4+Financing!AR6,0)</f>
        <v>0</v>
      </c>
      <c r="AS8" s="140">
        <f>IF(AS2=MIN(Summary!$E$10,Summary!$K$19),-Financing!AS4+Financing!AS6,0)</f>
        <v>0</v>
      </c>
      <c r="AT8" s="140">
        <f>IF(AT2=MIN(Summary!$E$10,Summary!$K$19),-Financing!AT4+Financing!AT6,0)</f>
        <v>0</v>
      </c>
      <c r="AU8" s="140">
        <f>IF(AU2=MIN(Summary!$E$10,Summary!$K$19),-Financing!AU4+Financing!AU6,0)</f>
        <v>0</v>
      </c>
      <c r="AV8" s="140">
        <f>IF(AV2=MIN(Summary!$E$10,Summary!$K$19),-Financing!AV4+Financing!AV6,0)</f>
        <v>0</v>
      </c>
      <c r="AW8" s="140">
        <f>IF(AW2=MIN(Summary!$E$10,Summary!$K$19),-Financing!AW4+Financing!AW6,0)</f>
        <v>0</v>
      </c>
      <c r="AX8" s="140">
        <f>IF(AX2=MIN(Summary!$E$10,Summary!$K$19),-Financing!AX4+Financing!AX6,0)</f>
        <v>0</v>
      </c>
      <c r="AY8" s="140">
        <f>IF(AY2=MIN(Summary!$E$10,Summary!$K$19),-Financing!AY4+Financing!AY6,0)</f>
        <v>0</v>
      </c>
      <c r="AZ8" s="140">
        <f>IF(AZ2=MIN(Summary!$E$10,Summary!$K$19),-Financing!AZ4+Financing!AZ6,0)</f>
        <v>0</v>
      </c>
      <c r="BA8" s="140">
        <f>IF(BA2=MIN(Summary!$E$10,Summary!$K$19),-Financing!BA4+Financing!BA6,0)</f>
        <v>0</v>
      </c>
      <c r="BB8" s="140">
        <f>IF(BB2=MIN(Summary!$E$10,Summary!$K$19),-Financing!BB4+Financing!BB6,0)</f>
        <v>0</v>
      </c>
      <c r="BC8" s="140">
        <f>IF(BC2=MIN(Summary!$E$10,Summary!$K$19),-Financing!BC4+Financing!BC6,0)</f>
        <v>0</v>
      </c>
      <c r="BD8" s="140">
        <f>IF(BD2=MIN(Summary!$E$10,Summary!$K$19),-Financing!BD4+Financing!BD6,0)</f>
        <v>0</v>
      </c>
      <c r="BE8" s="140">
        <f>IF(BE2=MIN(Summary!$E$10,Summary!$K$19),-Financing!BE4+Financing!BE6,0)</f>
        <v>0</v>
      </c>
      <c r="BF8" s="140">
        <f>IF(BF2=MIN(Summary!$E$10,Summary!$K$19),-Financing!BF4+Financing!BF6,0)</f>
        <v>0</v>
      </c>
      <c r="BG8" s="140">
        <f>IF(BG2=MIN(Summary!$E$10,Summary!$K$19),-Financing!BG4+Financing!BG6,0)</f>
        <v>0</v>
      </c>
      <c r="BH8" s="140">
        <f>IF(BH2=MIN(Summary!$E$10,Summary!$K$19),-Financing!BH4+Financing!BH6,0)</f>
        <v>0</v>
      </c>
      <c r="BI8" s="140">
        <f>IF(BI2=MIN(Summary!$E$10,Summary!$K$19),-Financing!BI4+Financing!BI6,0)</f>
        <v>0</v>
      </c>
      <c r="BJ8" s="140">
        <f>IF(BJ2=MIN(Summary!$E$10,Summary!$K$19),-Financing!BJ4+Financing!BJ6,0)</f>
        <v>-25065606.745937474</v>
      </c>
      <c r="BK8" s="140">
        <f>IF(BK2=MIN(Summary!$E$10,Summary!$K$19),-Financing!BK4+Financing!BK6,0)</f>
        <v>0</v>
      </c>
      <c r="BL8" s="140">
        <f>IF(BL2=MIN(Summary!$E$10,Summary!$K$19),-Financing!BL4+Financing!BL6,0)</f>
        <v>0</v>
      </c>
      <c r="BM8" s="140">
        <f>IF(BM2=MIN(Summary!$E$10,Summary!$K$19),-Financing!BM4+Financing!BM6,0)</f>
        <v>0</v>
      </c>
      <c r="BN8" s="140">
        <f>IF(BN2=MIN(Summary!$E$10,Summary!$K$19),-Financing!BN4+Financing!BN6,0)</f>
        <v>0</v>
      </c>
      <c r="BO8" s="140">
        <f>IF(BO2=MIN(Summary!$E$10,Summary!$K$19),-Financing!BO4+Financing!BO6,0)</f>
        <v>0</v>
      </c>
      <c r="BP8" s="140">
        <f>IF(BP2=MIN(Summary!$E$10,Summary!$K$19),-Financing!BP4+Financing!BP6,0)</f>
        <v>0</v>
      </c>
      <c r="BQ8" s="140">
        <f>IF(BQ2=MIN(Summary!$E$10,Summary!$K$19),-Financing!BQ4+Financing!BQ6,0)</f>
        <v>0</v>
      </c>
      <c r="BR8" s="140">
        <f>IF(BR2=MIN(Summary!$E$10,Summary!$K$19),-Financing!BR4+Financing!BR6,0)</f>
        <v>0</v>
      </c>
      <c r="BS8" s="140">
        <f>IF(BS2=MIN(Summary!$E$10,Summary!$K$19),-Financing!BS4+Financing!BS6,0)</f>
        <v>0</v>
      </c>
      <c r="BT8" s="140">
        <f>IF(BT2=MIN(Summary!$E$10,Summary!$K$19),-Financing!BT4+Financing!BT6,0)</f>
        <v>0</v>
      </c>
      <c r="BU8" s="140">
        <f>IF(BU2=MIN(Summary!$E$10,Summary!$K$19),-Financing!BU4+Financing!BU6,0)</f>
        <v>0</v>
      </c>
      <c r="BV8" s="140">
        <f>IF(BV2=MIN(Summary!$E$10,Summary!$K$19),-Financing!BV4+Financing!BV6,0)</f>
        <v>0</v>
      </c>
      <c r="BW8" s="140">
        <f>IF(BW2=MIN(Summary!$E$10,Summary!$K$19),-Financing!BW4+Financing!BW6,0)</f>
        <v>0</v>
      </c>
      <c r="BX8" s="140">
        <f>IF(BX2=MIN(Summary!$E$10,Summary!$K$19),-Financing!BX4+Financing!BX6,0)</f>
        <v>0</v>
      </c>
      <c r="BY8" s="140">
        <f>IF(BY2=MIN(Summary!$E$10,Summary!$K$19),-Financing!BY4+Financing!BY6,0)</f>
        <v>0</v>
      </c>
      <c r="BZ8" s="140">
        <f>IF(BZ2=MIN(Summary!$E$10,Summary!$K$19),-Financing!BZ4+Financing!BZ6,0)</f>
        <v>0</v>
      </c>
      <c r="CA8" s="140">
        <f>IF(CA2=MIN(Summary!$E$10,Summary!$K$19),-Financing!CA4+Financing!CA6,0)</f>
        <v>0</v>
      </c>
      <c r="CB8" s="140">
        <f>IF(CB2=MIN(Summary!$E$10,Summary!$K$19),-Financing!CB4+Financing!CB6,0)</f>
        <v>0</v>
      </c>
      <c r="CC8" s="140">
        <f>IF(CC2=MIN(Summary!$E$10,Summary!$K$19),-Financing!CC4+Financing!CC6,0)</f>
        <v>0</v>
      </c>
      <c r="CD8" s="140">
        <f>IF(CD2=MIN(Summary!$E$10,Summary!$K$19),-Financing!CD4+Financing!CD6,0)</f>
        <v>0</v>
      </c>
      <c r="CE8" s="140">
        <f>IF(CE2=MIN(Summary!$E$10,Summary!$K$19),-Financing!CE4+Financing!CE6,0)</f>
        <v>0</v>
      </c>
      <c r="CF8" s="140">
        <f>IF(CF2=MIN(Summary!$E$10,Summary!$K$19),-Financing!CF4+Financing!CF6,0)</f>
        <v>0</v>
      </c>
      <c r="CG8" s="140">
        <f>IF(CG2=MIN(Summary!$E$10,Summary!$K$19),-Financing!CG4+Financing!CG6,0)</f>
        <v>0</v>
      </c>
      <c r="CH8" s="140">
        <f>IF(CH2=MIN(Summary!$E$10,Summary!$K$19),-Financing!CH4+Financing!CH6,0)</f>
        <v>0</v>
      </c>
      <c r="CI8" s="140">
        <f>IF(CI2=MIN(Summary!$E$10,Summary!$K$19),-Financing!CI4+Financing!CI6,0)</f>
        <v>0</v>
      </c>
      <c r="CJ8" s="140">
        <f>IF(CJ2=MIN(Summary!$E$10,Summary!$K$19),-Financing!CJ4+Financing!CJ6,0)</f>
        <v>0</v>
      </c>
      <c r="CK8" s="140">
        <f>IF(CK2=MIN(Summary!$E$10,Summary!$K$19),-Financing!CK4+Financing!CK6,0)</f>
        <v>0</v>
      </c>
      <c r="CL8" s="140">
        <f>IF(CL2=MIN(Summary!$E$10,Summary!$K$19),-Financing!CL4+Financing!CL6,0)</f>
        <v>0</v>
      </c>
      <c r="CM8" s="140">
        <f>IF(CM2=MIN(Summary!$E$10,Summary!$K$19),-Financing!CM4+Financing!CM6,0)</f>
        <v>0</v>
      </c>
      <c r="CN8" s="140">
        <f>IF(CN2=MIN(Summary!$E$10,Summary!$K$19),-Financing!CN4+Financing!CN6,0)</f>
        <v>0</v>
      </c>
      <c r="CO8" s="140">
        <f>IF(CO2=MIN(Summary!$E$10,Summary!$K$19),-Financing!CO4+Financing!CO6,0)</f>
        <v>0</v>
      </c>
      <c r="CP8" s="140">
        <f>IF(CP2=MIN(Summary!$E$10,Summary!$K$19),-Financing!CP4+Financing!CP6,0)</f>
        <v>0</v>
      </c>
      <c r="CQ8" s="140">
        <f>IF(CQ2=MIN(Summary!$E$10,Summary!$K$19),-Financing!CQ4+Financing!CQ6,0)</f>
        <v>0</v>
      </c>
      <c r="CR8" s="140">
        <f>IF(CR2=MIN(Summary!$E$10,Summary!$K$19),-Financing!CR4+Financing!CR6,0)</f>
        <v>0</v>
      </c>
      <c r="CS8" s="140">
        <f>IF(CS2=MIN(Summary!$E$10,Summary!$K$19),-Financing!CS4+Financing!CS6,0)</f>
        <v>0</v>
      </c>
      <c r="CT8" s="140">
        <f>IF(CT2=MIN(Summary!$E$10,Summary!$K$19),-Financing!CT4+Financing!CT6,0)</f>
        <v>0</v>
      </c>
      <c r="CU8" s="140">
        <f>IF(CU2=MIN(Summary!$E$10,Summary!$K$19),-Financing!CU4+Financing!CU6,0)</f>
        <v>0</v>
      </c>
      <c r="CV8" s="140">
        <f>IF(CV2=MIN(Summary!$E$10,Summary!$K$19),-Financing!CV4+Financing!CV6,0)</f>
        <v>0</v>
      </c>
      <c r="CW8" s="140">
        <f>IF(CW2=MIN(Summary!$E$10,Summary!$K$19),-Financing!CW4+Financing!CW6,0)</f>
        <v>0</v>
      </c>
      <c r="CX8" s="140">
        <f>IF(CX2=MIN(Summary!$E$10,Summary!$K$19),-Financing!CX4+Financing!CX6,0)</f>
        <v>0</v>
      </c>
      <c r="CY8" s="140">
        <f>IF(CY2=MIN(Summary!$E$10,Summary!$K$19),-Financing!CY4+Financing!CY6,0)</f>
        <v>0</v>
      </c>
      <c r="CZ8" s="140">
        <f>IF(CZ2=MIN(Summary!$E$10,Summary!$K$19),-Financing!CZ4+Financing!CZ6,0)</f>
        <v>0</v>
      </c>
      <c r="DA8" s="140">
        <f>IF(DA2=MIN(Summary!$E$10,Summary!$K$19),-Financing!DA4+Financing!DA6,0)</f>
        <v>0</v>
      </c>
      <c r="DB8" s="140">
        <f>IF(DB2=MIN(Summary!$E$10,Summary!$K$19),-Financing!DB4+Financing!DB6,0)</f>
        <v>0</v>
      </c>
      <c r="DC8" s="140">
        <f>IF(DC2=MIN(Summary!$E$10,Summary!$K$19),-Financing!DC4+Financing!DC6,0)</f>
        <v>0</v>
      </c>
      <c r="DD8" s="140">
        <f>IF(DD2=MIN(Summary!$E$10,Summary!$K$19),-Financing!DD4+Financing!DD6,0)</f>
        <v>0</v>
      </c>
      <c r="DE8" s="140">
        <f>IF(DE2=MIN(Summary!$E$10,Summary!$K$19),-Financing!DE4+Financing!DE6,0)</f>
        <v>0</v>
      </c>
      <c r="DF8" s="140">
        <f>IF(DF2=MIN(Summary!$E$10,Summary!$K$19),-Financing!DF4+Financing!DF6,0)</f>
        <v>0</v>
      </c>
      <c r="DG8" s="140">
        <f>IF(DG2=MIN(Summary!$E$10,Summary!$K$19),-Financing!DG4+Financing!DG6,0)</f>
        <v>0</v>
      </c>
      <c r="DH8" s="140">
        <f>IF(DH2=MIN(Summary!$E$10,Summary!$K$19),-Financing!DH4+Financing!DH6,0)</f>
        <v>0</v>
      </c>
      <c r="DI8" s="140">
        <f>IF(DI2=MIN(Summary!$E$10,Summary!$K$19),-Financing!DI4+Financing!DI6,0)</f>
        <v>0</v>
      </c>
      <c r="DJ8" s="140">
        <f>IF(DJ2=MIN(Summary!$E$10,Summary!$K$19),-Financing!DJ4+Financing!DJ6,0)</f>
        <v>0</v>
      </c>
      <c r="DK8" s="140">
        <f>IF(DK2=MIN(Summary!$E$10,Summary!$K$19),-Financing!DK4+Financing!DK6,0)</f>
        <v>0</v>
      </c>
      <c r="DL8" s="140">
        <f>IF(DL2=MIN(Summary!$E$10,Summary!$K$19),-Financing!DL4+Financing!DL6,0)</f>
        <v>0</v>
      </c>
      <c r="DM8" s="140">
        <f>IF(DM2=MIN(Summary!$E$10,Summary!$K$19),-Financing!DM4+Financing!DM6,0)</f>
        <v>0</v>
      </c>
      <c r="DN8" s="140">
        <f>IF(DN2=MIN(Summary!$E$10,Summary!$K$19),-Financing!DN4+Financing!DN6,0)</f>
        <v>0</v>
      </c>
      <c r="DO8" s="140">
        <f>IF(DO2=MIN(Summary!$E$10,Summary!$K$19),-Financing!DO4+Financing!DO6,0)</f>
        <v>0</v>
      </c>
      <c r="DP8" s="140">
        <f>IF(DP2=MIN(Summary!$E$10,Summary!$K$19),-Financing!DP4+Financing!DP6,0)</f>
        <v>0</v>
      </c>
      <c r="DQ8" s="140">
        <f>IF(DQ2=MIN(Summary!$E$10,Summary!$K$19),-Financing!DQ4+Financing!DQ6,0)</f>
        <v>0</v>
      </c>
      <c r="DR8" s="140">
        <f>IF(DR2=MIN(Summary!$E$10,Summary!$K$19),-Financing!DR4+Financing!DR6,0)</f>
        <v>0</v>
      </c>
      <c r="DS8" s="140">
        <f>IF(DS2=MIN(Summary!$E$10,Summary!$K$19),-Financing!DS4+Financing!DS6,0)</f>
        <v>0</v>
      </c>
      <c r="DT8" s="140">
        <f>IF(DT2=MIN(Summary!$E$10,Summary!$K$19),-Financing!DT4+Financing!DT6,0)</f>
        <v>0</v>
      </c>
      <c r="DU8" s="140">
        <f>IF(DU2=MIN(Summary!$E$10,Summary!$K$19),-Financing!DU4+Financing!DU6,0)</f>
        <v>0</v>
      </c>
      <c r="DV8" s="140">
        <f>IF(DV2=MIN(Summary!$E$10,Summary!$K$19),-Financing!DV4+Financing!DV6,0)</f>
        <v>0</v>
      </c>
      <c r="DW8" s="140">
        <f>IF(DW2=MIN(Summary!$E$10,Summary!$K$19),-Financing!DW4+Financing!DW6,0)</f>
        <v>0</v>
      </c>
      <c r="DX8" s="140">
        <f>IF(DX2=MIN(Summary!$E$10,Summary!$K$19),-Financing!DX4+Financing!DX6,0)</f>
        <v>0</v>
      </c>
      <c r="DY8" s="140">
        <f>IF(DY2=MIN(Summary!$E$10,Summary!$K$19),-Financing!DY4+Financing!DY6,0)</f>
        <v>0</v>
      </c>
      <c r="DZ8" s="140">
        <f>IF(DZ2=MIN(Summary!$E$10,Summary!$K$19),-Financing!DZ4+Financing!DZ6,0)</f>
        <v>0</v>
      </c>
      <c r="EA8" s="140">
        <f>IF(EA2=MIN(Summary!$E$10,Summary!$K$19),-Financing!EA4+Financing!EA6,0)</f>
        <v>0</v>
      </c>
      <c r="EB8" s="140">
        <f>IF(EB2=MIN(Summary!$E$10,Summary!$K$19),-Financing!EB4+Financing!EB6,0)</f>
        <v>0</v>
      </c>
      <c r="EC8" s="140">
        <f>IF(EC2=MIN(Summary!$E$10,Summary!$K$19),-Financing!EC4+Financing!EC6,0)</f>
        <v>0</v>
      </c>
      <c r="ED8" s="141">
        <f>IF(ED2=MIN(Summary!$E$10,Summary!$K$19),-Financing!ED4+Financing!ED6,0)</f>
        <v>0</v>
      </c>
    </row>
    <row r="9" spans="1:134" x14ac:dyDescent="0.35">
      <c r="B9" s="14" t="s">
        <v>167</v>
      </c>
      <c r="C9" s="142">
        <f>C4-C6+C8</f>
        <v>26000000</v>
      </c>
      <c r="D9" s="142">
        <f>D4-D6+D8</f>
        <v>26000000</v>
      </c>
      <c r="E9" s="142">
        <f t="shared" ref="E9:BP9" si="13">E4-E6+E8</f>
        <v>26000000</v>
      </c>
      <c r="F9" s="142">
        <f t="shared" si="13"/>
        <v>26000000</v>
      </c>
      <c r="G9" s="142">
        <f t="shared" si="13"/>
        <v>26000000</v>
      </c>
      <c r="H9" s="142">
        <f t="shared" si="13"/>
        <v>26000000</v>
      </c>
      <c r="I9" s="142">
        <f t="shared" si="13"/>
        <v>26000000</v>
      </c>
      <c r="J9" s="142">
        <f t="shared" si="13"/>
        <v>26000000</v>
      </c>
      <c r="K9" s="142">
        <f t="shared" si="13"/>
        <v>26000000</v>
      </c>
      <c r="L9" s="142">
        <f t="shared" si="13"/>
        <v>26000000</v>
      </c>
      <c r="M9" s="142">
        <f t="shared" si="13"/>
        <v>26000000</v>
      </c>
      <c r="N9" s="142">
        <f t="shared" si="13"/>
        <v>26000000</v>
      </c>
      <c r="O9" s="142">
        <f t="shared" si="13"/>
        <v>26000000</v>
      </c>
      <c r="P9" s="142">
        <f t="shared" si="13"/>
        <v>26000000</v>
      </c>
      <c r="Q9" s="142">
        <f t="shared" si="13"/>
        <v>26000000</v>
      </c>
      <c r="R9" s="142">
        <f t="shared" si="13"/>
        <v>26000000</v>
      </c>
      <c r="S9" s="142">
        <f t="shared" si="13"/>
        <v>26000000</v>
      </c>
      <c r="T9" s="142">
        <f t="shared" si="13"/>
        <v>26000000</v>
      </c>
      <c r="U9" s="142">
        <f t="shared" si="13"/>
        <v>26000000</v>
      </c>
      <c r="V9" s="142">
        <f t="shared" si="13"/>
        <v>26000000</v>
      </c>
      <c r="W9" s="142">
        <f t="shared" si="13"/>
        <v>26000000</v>
      </c>
      <c r="X9" s="142">
        <f t="shared" si="13"/>
        <v>26000000</v>
      </c>
      <c r="Y9" s="142">
        <f t="shared" si="13"/>
        <v>26000000</v>
      </c>
      <c r="Z9" s="142">
        <f t="shared" si="13"/>
        <v>26000000</v>
      </c>
      <c r="AA9" s="142">
        <f t="shared" si="13"/>
        <v>26000000</v>
      </c>
      <c r="AB9" s="142">
        <f t="shared" si="13"/>
        <v>26000000</v>
      </c>
      <c r="AC9" s="142">
        <f t="shared" si="13"/>
        <v>26000000</v>
      </c>
      <c r="AD9" s="142">
        <f t="shared" si="13"/>
        <v>26000000</v>
      </c>
      <c r="AE9" s="142">
        <f t="shared" si="13"/>
        <v>26000000</v>
      </c>
      <c r="AF9" s="142">
        <f t="shared" si="13"/>
        <v>26000000</v>
      </c>
      <c r="AG9" s="142">
        <f t="shared" si="13"/>
        <v>26000000</v>
      </c>
      <c r="AH9" s="142">
        <f t="shared" si="13"/>
        <v>26000000</v>
      </c>
      <c r="AI9" s="142">
        <f t="shared" si="13"/>
        <v>26000000</v>
      </c>
      <c r="AJ9" s="142">
        <f t="shared" si="13"/>
        <v>26000000</v>
      </c>
      <c r="AK9" s="142">
        <f t="shared" si="13"/>
        <v>26000000</v>
      </c>
      <c r="AL9" s="142">
        <f t="shared" si="13"/>
        <v>26000000</v>
      </c>
      <c r="AM9" s="142">
        <f t="shared" si="13"/>
        <v>25962538.689845648</v>
      </c>
      <c r="AN9" s="142">
        <f t="shared" si="13"/>
        <v>25924952.508657448</v>
      </c>
      <c r="AO9" s="142">
        <f t="shared" si="13"/>
        <v>25887241.04019862</v>
      </c>
      <c r="AP9" s="142">
        <f t="shared" si="13"/>
        <v>25849403.86684493</v>
      </c>
      <c r="AQ9" s="142">
        <f t="shared" si="13"/>
        <v>25811440.569580059</v>
      </c>
      <c r="AR9" s="142">
        <f t="shared" si="13"/>
        <v>25773350.727990974</v>
      </c>
      <c r="AS9" s="142">
        <f t="shared" si="13"/>
        <v>25735133.920263257</v>
      </c>
      <c r="AT9" s="142">
        <f t="shared" si="13"/>
        <v>25696789.72317645</v>
      </c>
      <c r="AU9" s="142">
        <f t="shared" si="13"/>
        <v>25658317.712099351</v>
      </c>
      <c r="AV9" s="142">
        <f t="shared" si="13"/>
        <v>25619717.460985329</v>
      </c>
      <c r="AW9" s="142">
        <f t="shared" si="13"/>
        <v>25580988.542367592</v>
      </c>
      <c r="AX9" s="142">
        <f t="shared" si="13"/>
        <v>25542130.527354464</v>
      </c>
      <c r="AY9" s="142">
        <f t="shared" si="13"/>
        <v>25503142.985624626</v>
      </c>
      <c r="AZ9" s="142">
        <f t="shared" si="13"/>
        <v>25464025.485422354</v>
      </c>
      <c r="BA9" s="142">
        <f t="shared" si="13"/>
        <v>25424777.593552742</v>
      </c>
      <c r="BB9" s="142">
        <f t="shared" si="13"/>
        <v>25385398.875376899</v>
      </c>
      <c r="BC9" s="142">
        <f t="shared" si="13"/>
        <v>25345888.894807134</v>
      </c>
      <c r="BD9" s="142">
        <f t="shared" si="13"/>
        <v>25306247.214302137</v>
      </c>
      <c r="BE9" s="142">
        <f t="shared" si="13"/>
        <v>25266473.394862127</v>
      </c>
      <c r="BF9" s="142">
        <f t="shared" si="13"/>
        <v>25226566.996023979</v>
      </c>
      <c r="BG9" s="142">
        <f t="shared" si="13"/>
        <v>25186527.575856373</v>
      </c>
      <c r="BH9" s="142">
        <f t="shared" si="13"/>
        <v>25146354.690954875</v>
      </c>
      <c r="BI9" s="142">
        <f t="shared" si="13"/>
        <v>25106047.896437038</v>
      </c>
      <c r="BJ9" s="142">
        <f t="shared" si="13"/>
        <v>0</v>
      </c>
      <c r="BK9" s="142">
        <f t="shared" si="13"/>
        <v>0</v>
      </c>
      <c r="BL9" s="142">
        <f t="shared" si="13"/>
        <v>0</v>
      </c>
      <c r="BM9" s="142">
        <f t="shared" si="13"/>
        <v>0</v>
      </c>
      <c r="BN9" s="142">
        <f t="shared" si="13"/>
        <v>0</v>
      </c>
      <c r="BO9" s="142">
        <f t="shared" si="13"/>
        <v>0</v>
      </c>
      <c r="BP9" s="142">
        <f t="shared" si="13"/>
        <v>0</v>
      </c>
      <c r="BQ9" s="142">
        <f t="shared" ref="BQ9:EB9" si="14">BQ4-BQ6+BQ8</f>
        <v>0</v>
      </c>
      <c r="BR9" s="142">
        <f t="shared" si="14"/>
        <v>0</v>
      </c>
      <c r="BS9" s="142">
        <f t="shared" si="14"/>
        <v>0</v>
      </c>
      <c r="BT9" s="142">
        <f t="shared" si="14"/>
        <v>0</v>
      </c>
      <c r="BU9" s="142">
        <f t="shared" si="14"/>
        <v>0</v>
      </c>
      <c r="BV9" s="142">
        <f t="shared" si="14"/>
        <v>0</v>
      </c>
      <c r="BW9" s="142">
        <f t="shared" si="14"/>
        <v>0</v>
      </c>
      <c r="BX9" s="142">
        <f t="shared" si="14"/>
        <v>0</v>
      </c>
      <c r="BY9" s="142">
        <f t="shared" si="14"/>
        <v>0</v>
      </c>
      <c r="BZ9" s="142">
        <f t="shared" si="14"/>
        <v>0</v>
      </c>
      <c r="CA9" s="142">
        <f t="shared" si="14"/>
        <v>0</v>
      </c>
      <c r="CB9" s="142">
        <f t="shared" si="14"/>
        <v>0</v>
      </c>
      <c r="CC9" s="142">
        <f t="shared" si="14"/>
        <v>0</v>
      </c>
      <c r="CD9" s="142">
        <f t="shared" si="14"/>
        <v>0</v>
      </c>
      <c r="CE9" s="142">
        <f t="shared" si="14"/>
        <v>0</v>
      </c>
      <c r="CF9" s="142">
        <f t="shared" si="14"/>
        <v>0</v>
      </c>
      <c r="CG9" s="142">
        <f t="shared" si="14"/>
        <v>0</v>
      </c>
      <c r="CH9" s="142">
        <f t="shared" si="14"/>
        <v>0</v>
      </c>
      <c r="CI9" s="142">
        <f t="shared" si="14"/>
        <v>0</v>
      </c>
      <c r="CJ9" s="142">
        <f t="shared" si="14"/>
        <v>0</v>
      </c>
      <c r="CK9" s="142">
        <f t="shared" si="14"/>
        <v>0</v>
      </c>
      <c r="CL9" s="142">
        <f t="shared" si="14"/>
        <v>0</v>
      </c>
      <c r="CM9" s="142">
        <f t="shared" si="14"/>
        <v>0</v>
      </c>
      <c r="CN9" s="142">
        <f t="shared" si="14"/>
        <v>0</v>
      </c>
      <c r="CO9" s="142">
        <f t="shared" si="14"/>
        <v>0</v>
      </c>
      <c r="CP9" s="142">
        <f t="shared" si="14"/>
        <v>0</v>
      </c>
      <c r="CQ9" s="142">
        <f t="shared" si="14"/>
        <v>0</v>
      </c>
      <c r="CR9" s="142">
        <f t="shared" si="14"/>
        <v>0</v>
      </c>
      <c r="CS9" s="142">
        <f t="shared" si="14"/>
        <v>0</v>
      </c>
      <c r="CT9" s="142">
        <f t="shared" si="14"/>
        <v>0</v>
      </c>
      <c r="CU9" s="142">
        <f t="shared" si="14"/>
        <v>0</v>
      </c>
      <c r="CV9" s="142">
        <f t="shared" si="14"/>
        <v>0</v>
      </c>
      <c r="CW9" s="142">
        <f t="shared" si="14"/>
        <v>0</v>
      </c>
      <c r="CX9" s="142">
        <f t="shared" si="14"/>
        <v>0</v>
      </c>
      <c r="CY9" s="142">
        <f t="shared" si="14"/>
        <v>0</v>
      </c>
      <c r="CZ9" s="142">
        <f t="shared" si="14"/>
        <v>0</v>
      </c>
      <c r="DA9" s="142">
        <f t="shared" si="14"/>
        <v>0</v>
      </c>
      <c r="DB9" s="142">
        <f t="shared" si="14"/>
        <v>0</v>
      </c>
      <c r="DC9" s="142">
        <f t="shared" si="14"/>
        <v>0</v>
      </c>
      <c r="DD9" s="142">
        <f t="shared" si="14"/>
        <v>0</v>
      </c>
      <c r="DE9" s="142">
        <f t="shared" si="14"/>
        <v>0</v>
      </c>
      <c r="DF9" s="142">
        <f t="shared" si="14"/>
        <v>0</v>
      </c>
      <c r="DG9" s="142">
        <f t="shared" si="14"/>
        <v>0</v>
      </c>
      <c r="DH9" s="142">
        <f t="shared" si="14"/>
        <v>0</v>
      </c>
      <c r="DI9" s="142">
        <f t="shared" si="14"/>
        <v>0</v>
      </c>
      <c r="DJ9" s="142">
        <f t="shared" si="14"/>
        <v>0</v>
      </c>
      <c r="DK9" s="142">
        <f t="shared" si="14"/>
        <v>0</v>
      </c>
      <c r="DL9" s="142">
        <f t="shared" si="14"/>
        <v>0</v>
      </c>
      <c r="DM9" s="142">
        <f t="shared" si="14"/>
        <v>0</v>
      </c>
      <c r="DN9" s="142">
        <f t="shared" si="14"/>
        <v>0</v>
      </c>
      <c r="DO9" s="142">
        <f t="shared" si="14"/>
        <v>0</v>
      </c>
      <c r="DP9" s="142">
        <f t="shared" si="14"/>
        <v>0</v>
      </c>
      <c r="DQ9" s="142">
        <f t="shared" si="14"/>
        <v>0</v>
      </c>
      <c r="DR9" s="142">
        <f t="shared" si="14"/>
        <v>0</v>
      </c>
      <c r="DS9" s="142">
        <f t="shared" si="14"/>
        <v>0</v>
      </c>
      <c r="DT9" s="142">
        <f t="shared" si="14"/>
        <v>0</v>
      </c>
      <c r="DU9" s="142">
        <f t="shared" si="14"/>
        <v>0</v>
      </c>
      <c r="DV9" s="142">
        <f t="shared" si="14"/>
        <v>0</v>
      </c>
      <c r="DW9" s="142">
        <f t="shared" si="14"/>
        <v>0</v>
      </c>
      <c r="DX9" s="142">
        <f t="shared" si="14"/>
        <v>0</v>
      </c>
      <c r="DY9" s="142">
        <f t="shared" si="14"/>
        <v>0</v>
      </c>
      <c r="DZ9" s="142">
        <f t="shared" si="14"/>
        <v>0</v>
      </c>
      <c r="EA9" s="142">
        <f t="shared" si="14"/>
        <v>0</v>
      </c>
      <c r="EB9" s="142">
        <f t="shared" si="14"/>
        <v>0</v>
      </c>
      <c r="EC9" s="142">
        <f t="shared" ref="EC9:ED9" si="15">EC4-EC6+EC8</f>
        <v>0</v>
      </c>
      <c r="ED9" s="143">
        <f t="shared" si="15"/>
        <v>0</v>
      </c>
    </row>
    <row r="11" spans="1:134" x14ac:dyDescent="0.35">
      <c r="A11" s="144" t="s">
        <v>149</v>
      </c>
      <c r="B11" s="130" t="s">
        <v>168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1"/>
      <c r="DO11" s="131"/>
      <c r="DP11" s="131"/>
      <c r="DQ11" s="131"/>
      <c r="DR11" s="131"/>
      <c r="DS11" s="131"/>
      <c r="DT11" s="131"/>
      <c r="DU11" s="131"/>
      <c r="DV11" s="131"/>
      <c r="DW11" s="131"/>
      <c r="DX11" s="131"/>
      <c r="DY11" s="131"/>
      <c r="DZ11" s="131"/>
      <c r="EA11" s="131"/>
      <c r="EB11" s="131"/>
      <c r="EC11" s="131"/>
      <c r="ED11" s="132">
        <v>0</v>
      </c>
    </row>
    <row r="12" spans="1:134" x14ac:dyDescent="0.35">
      <c r="A12" s="126" t="str">
        <f>IF(ABS(A16-A18-A14)&lt;0.0001,"OK","ERROR")</f>
        <v>OK</v>
      </c>
      <c r="B12" s="133" t="s">
        <v>160</v>
      </c>
      <c r="C12" s="134">
        <v>1</v>
      </c>
      <c r="D12" s="134">
        <f>C12+1</f>
        <v>2</v>
      </c>
      <c r="E12" s="134">
        <f t="shared" ref="E12:BP12" si="16">D12+1</f>
        <v>3</v>
      </c>
      <c r="F12" s="134">
        <f t="shared" si="16"/>
        <v>4</v>
      </c>
      <c r="G12" s="134">
        <f t="shared" si="16"/>
        <v>5</v>
      </c>
      <c r="H12" s="134">
        <f t="shared" si="16"/>
        <v>6</v>
      </c>
      <c r="I12" s="134">
        <f t="shared" si="16"/>
        <v>7</v>
      </c>
      <c r="J12" s="134">
        <f t="shared" si="16"/>
        <v>8</v>
      </c>
      <c r="K12" s="134">
        <f t="shared" si="16"/>
        <v>9</v>
      </c>
      <c r="L12" s="134">
        <f t="shared" si="16"/>
        <v>10</v>
      </c>
      <c r="M12" s="134">
        <f t="shared" si="16"/>
        <v>11</v>
      </c>
      <c r="N12" s="134">
        <f t="shared" si="16"/>
        <v>12</v>
      </c>
      <c r="O12" s="134">
        <f t="shared" si="16"/>
        <v>13</v>
      </c>
      <c r="P12" s="134">
        <f t="shared" si="16"/>
        <v>14</v>
      </c>
      <c r="Q12" s="134">
        <f t="shared" si="16"/>
        <v>15</v>
      </c>
      <c r="R12" s="134">
        <f t="shared" si="16"/>
        <v>16</v>
      </c>
      <c r="S12" s="134">
        <f t="shared" si="16"/>
        <v>17</v>
      </c>
      <c r="T12" s="134">
        <f t="shared" si="16"/>
        <v>18</v>
      </c>
      <c r="U12" s="134">
        <f t="shared" si="16"/>
        <v>19</v>
      </c>
      <c r="V12" s="134">
        <f t="shared" si="16"/>
        <v>20</v>
      </c>
      <c r="W12" s="134">
        <f t="shared" si="16"/>
        <v>21</v>
      </c>
      <c r="X12" s="134">
        <f t="shared" si="16"/>
        <v>22</v>
      </c>
      <c r="Y12" s="134">
        <f t="shared" si="16"/>
        <v>23</v>
      </c>
      <c r="Z12" s="134">
        <f t="shared" si="16"/>
        <v>24</v>
      </c>
      <c r="AA12" s="134">
        <f t="shared" si="16"/>
        <v>25</v>
      </c>
      <c r="AB12" s="134">
        <f t="shared" si="16"/>
        <v>26</v>
      </c>
      <c r="AC12" s="134">
        <f t="shared" si="16"/>
        <v>27</v>
      </c>
      <c r="AD12" s="134">
        <f t="shared" si="16"/>
        <v>28</v>
      </c>
      <c r="AE12" s="134">
        <f t="shared" si="16"/>
        <v>29</v>
      </c>
      <c r="AF12" s="134">
        <f t="shared" si="16"/>
        <v>30</v>
      </c>
      <c r="AG12" s="134">
        <f t="shared" si="16"/>
        <v>31</v>
      </c>
      <c r="AH12" s="134">
        <f t="shared" si="16"/>
        <v>32</v>
      </c>
      <c r="AI12" s="134">
        <f t="shared" si="16"/>
        <v>33</v>
      </c>
      <c r="AJ12" s="134">
        <f t="shared" si="16"/>
        <v>34</v>
      </c>
      <c r="AK12" s="134">
        <f t="shared" si="16"/>
        <v>35</v>
      </c>
      <c r="AL12" s="134">
        <f t="shared" si="16"/>
        <v>36</v>
      </c>
      <c r="AM12" s="134">
        <f t="shared" si="16"/>
        <v>37</v>
      </c>
      <c r="AN12" s="134">
        <f t="shared" si="16"/>
        <v>38</v>
      </c>
      <c r="AO12" s="134">
        <f t="shared" si="16"/>
        <v>39</v>
      </c>
      <c r="AP12" s="134">
        <f t="shared" si="16"/>
        <v>40</v>
      </c>
      <c r="AQ12" s="134">
        <f t="shared" si="16"/>
        <v>41</v>
      </c>
      <c r="AR12" s="134">
        <f t="shared" si="16"/>
        <v>42</v>
      </c>
      <c r="AS12" s="134">
        <f t="shared" si="16"/>
        <v>43</v>
      </c>
      <c r="AT12" s="134">
        <f t="shared" si="16"/>
        <v>44</v>
      </c>
      <c r="AU12" s="134">
        <f t="shared" si="16"/>
        <v>45</v>
      </c>
      <c r="AV12" s="134">
        <f t="shared" si="16"/>
        <v>46</v>
      </c>
      <c r="AW12" s="134">
        <f t="shared" si="16"/>
        <v>47</v>
      </c>
      <c r="AX12" s="134">
        <f t="shared" si="16"/>
        <v>48</v>
      </c>
      <c r="AY12" s="134">
        <f t="shared" si="16"/>
        <v>49</v>
      </c>
      <c r="AZ12" s="134">
        <f t="shared" si="16"/>
        <v>50</v>
      </c>
      <c r="BA12" s="134">
        <f t="shared" si="16"/>
        <v>51</v>
      </c>
      <c r="BB12" s="134">
        <f t="shared" si="16"/>
        <v>52</v>
      </c>
      <c r="BC12" s="134">
        <f t="shared" si="16"/>
        <v>53</v>
      </c>
      <c r="BD12" s="134">
        <f t="shared" si="16"/>
        <v>54</v>
      </c>
      <c r="BE12" s="134">
        <f t="shared" si="16"/>
        <v>55</v>
      </c>
      <c r="BF12" s="134">
        <f t="shared" si="16"/>
        <v>56</v>
      </c>
      <c r="BG12" s="134">
        <f t="shared" si="16"/>
        <v>57</v>
      </c>
      <c r="BH12" s="134">
        <f t="shared" si="16"/>
        <v>58</v>
      </c>
      <c r="BI12" s="134">
        <f t="shared" si="16"/>
        <v>59</v>
      </c>
      <c r="BJ12" s="134">
        <f t="shared" si="16"/>
        <v>60</v>
      </c>
      <c r="BK12" s="134">
        <f t="shared" si="16"/>
        <v>61</v>
      </c>
      <c r="BL12" s="134">
        <f t="shared" si="16"/>
        <v>62</v>
      </c>
      <c r="BM12" s="134">
        <f t="shared" si="16"/>
        <v>63</v>
      </c>
      <c r="BN12" s="134">
        <f t="shared" si="16"/>
        <v>64</v>
      </c>
      <c r="BO12" s="134">
        <f t="shared" si="16"/>
        <v>65</v>
      </c>
      <c r="BP12" s="134">
        <f t="shared" si="16"/>
        <v>66</v>
      </c>
      <c r="BQ12" s="134">
        <f t="shared" ref="BQ12:EB12" si="17">BP12+1</f>
        <v>67</v>
      </c>
      <c r="BR12" s="134">
        <f t="shared" si="17"/>
        <v>68</v>
      </c>
      <c r="BS12" s="134">
        <f t="shared" si="17"/>
        <v>69</v>
      </c>
      <c r="BT12" s="134">
        <f t="shared" si="17"/>
        <v>70</v>
      </c>
      <c r="BU12" s="134">
        <f t="shared" si="17"/>
        <v>71</v>
      </c>
      <c r="BV12" s="134">
        <f t="shared" si="17"/>
        <v>72</v>
      </c>
      <c r="BW12" s="134">
        <f t="shared" si="17"/>
        <v>73</v>
      </c>
      <c r="BX12" s="134">
        <f t="shared" si="17"/>
        <v>74</v>
      </c>
      <c r="BY12" s="134">
        <f t="shared" si="17"/>
        <v>75</v>
      </c>
      <c r="BZ12" s="134">
        <f t="shared" si="17"/>
        <v>76</v>
      </c>
      <c r="CA12" s="134">
        <f t="shared" si="17"/>
        <v>77</v>
      </c>
      <c r="CB12" s="134">
        <f t="shared" si="17"/>
        <v>78</v>
      </c>
      <c r="CC12" s="134">
        <f t="shared" si="17"/>
        <v>79</v>
      </c>
      <c r="CD12" s="134">
        <f t="shared" si="17"/>
        <v>80</v>
      </c>
      <c r="CE12" s="134">
        <f t="shared" si="17"/>
        <v>81</v>
      </c>
      <c r="CF12" s="134">
        <f t="shared" si="17"/>
        <v>82</v>
      </c>
      <c r="CG12" s="134">
        <f t="shared" si="17"/>
        <v>83</v>
      </c>
      <c r="CH12" s="134">
        <f t="shared" si="17"/>
        <v>84</v>
      </c>
      <c r="CI12" s="134">
        <f t="shared" si="17"/>
        <v>85</v>
      </c>
      <c r="CJ12" s="134">
        <f t="shared" si="17"/>
        <v>86</v>
      </c>
      <c r="CK12" s="134">
        <f t="shared" si="17"/>
        <v>87</v>
      </c>
      <c r="CL12" s="134">
        <f t="shared" si="17"/>
        <v>88</v>
      </c>
      <c r="CM12" s="134">
        <f t="shared" si="17"/>
        <v>89</v>
      </c>
      <c r="CN12" s="134">
        <f t="shared" si="17"/>
        <v>90</v>
      </c>
      <c r="CO12" s="134">
        <f t="shared" si="17"/>
        <v>91</v>
      </c>
      <c r="CP12" s="134">
        <f t="shared" si="17"/>
        <v>92</v>
      </c>
      <c r="CQ12" s="134">
        <f t="shared" si="17"/>
        <v>93</v>
      </c>
      <c r="CR12" s="134">
        <f t="shared" si="17"/>
        <v>94</v>
      </c>
      <c r="CS12" s="134">
        <f t="shared" si="17"/>
        <v>95</v>
      </c>
      <c r="CT12" s="134">
        <f t="shared" si="17"/>
        <v>96</v>
      </c>
      <c r="CU12" s="134">
        <f t="shared" si="17"/>
        <v>97</v>
      </c>
      <c r="CV12" s="134">
        <f t="shared" si="17"/>
        <v>98</v>
      </c>
      <c r="CW12" s="134">
        <f t="shared" si="17"/>
        <v>99</v>
      </c>
      <c r="CX12" s="134">
        <f t="shared" si="17"/>
        <v>100</v>
      </c>
      <c r="CY12" s="134">
        <f t="shared" si="17"/>
        <v>101</v>
      </c>
      <c r="CZ12" s="134">
        <f t="shared" si="17"/>
        <v>102</v>
      </c>
      <c r="DA12" s="134">
        <f t="shared" si="17"/>
        <v>103</v>
      </c>
      <c r="DB12" s="134">
        <f t="shared" si="17"/>
        <v>104</v>
      </c>
      <c r="DC12" s="134">
        <f t="shared" si="17"/>
        <v>105</v>
      </c>
      <c r="DD12" s="134">
        <f t="shared" si="17"/>
        <v>106</v>
      </c>
      <c r="DE12" s="134">
        <f t="shared" si="17"/>
        <v>107</v>
      </c>
      <c r="DF12" s="134">
        <f t="shared" si="17"/>
        <v>108</v>
      </c>
      <c r="DG12" s="134">
        <f t="shared" si="17"/>
        <v>109</v>
      </c>
      <c r="DH12" s="134">
        <f t="shared" si="17"/>
        <v>110</v>
      </c>
      <c r="DI12" s="134">
        <f t="shared" si="17"/>
        <v>111</v>
      </c>
      <c r="DJ12" s="134">
        <f t="shared" si="17"/>
        <v>112</v>
      </c>
      <c r="DK12" s="134">
        <f t="shared" si="17"/>
        <v>113</v>
      </c>
      <c r="DL12" s="134">
        <f t="shared" si="17"/>
        <v>114</v>
      </c>
      <c r="DM12" s="134">
        <f t="shared" si="17"/>
        <v>115</v>
      </c>
      <c r="DN12" s="134">
        <f t="shared" si="17"/>
        <v>116</v>
      </c>
      <c r="DO12" s="134">
        <f t="shared" si="17"/>
        <v>117</v>
      </c>
      <c r="DP12" s="134">
        <f t="shared" si="17"/>
        <v>118</v>
      </c>
      <c r="DQ12" s="134">
        <f t="shared" si="17"/>
        <v>119</v>
      </c>
      <c r="DR12" s="134">
        <f t="shared" si="17"/>
        <v>120</v>
      </c>
      <c r="DS12" s="134">
        <f t="shared" si="17"/>
        <v>121</v>
      </c>
      <c r="DT12" s="134">
        <f t="shared" si="17"/>
        <v>122</v>
      </c>
      <c r="DU12" s="134">
        <f t="shared" si="17"/>
        <v>123</v>
      </c>
      <c r="DV12" s="134">
        <f t="shared" si="17"/>
        <v>124</v>
      </c>
      <c r="DW12" s="134">
        <f t="shared" si="17"/>
        <v>125</v>
      </c>
      <c r="DX12" s="134">
        <f t="shared" si="17"/>
        <v>126</v>
      </c>
      <c r="DY12" s="134">
        <f t="shared" si="17"/>
        <v>127</v>
      </c>
      <c r="DZ12" s="134">
        <f t="shared" si="17"/>
        <v>128</v>
      </c>
      <c r="EA12" s="134">
        <f t="shared" si="17"/>
        <v>129</v>
      </c>
      <c r="EB12" s="134">
        <f t="shared" si="17"/>
        <v>130</v>
      </c>
      <c r="EC12" s="134">
        <f t="shared" ref="EC12:ED12" si="18">EB12+1</f>
        <v>131</v>
      </c>
      <c r="ED12" s="135">
        <f t="shared" si="18"/>
        <v>132</v>
      </c>
    </row>
    <row r="13" spans="1:134" x14ac:dyDescent="0.35">
      <c r="B13" s="136" t="s">
        <v>161</v>
      </c>
      <c r="C13" s="137">
        <f>C3</f>
        <v>44255</v>
      </c>
      <c r="D13" s="137">
        <f>EOMONTH(C13,1)</f>
        <v>44286</v>
      </c>
      <c r="E13" s="137">
        <f t="shared" ref="E13:BP13" si="19">EOMONTH(D13,1)</f>
        <v>44316</v>
      </c>
      <c r="F13" s="137">
        <f t="shared" si="19"/>
        <v>44347</v>
      </c>
      <c r="G13" s="137">
        <f t="shared" si="19"/>
        <v>44377</v>
      </c>
      <c r="H13" s="137">
        <f t="shared" si="19"/>
        <v>44408</v>
      </c>
      <c r="I13" s="137">
        <f t="shared" si="19"/>
        <v>44439</v>
      </c>
      <c r="J13" s="137">
        <f t="shared" si="19"/>
        <v>44469</v>
      </c>
      <c r="K13" s="137">
        <f t="shared" si="19"/>
        <v>44500</v>
      </c>
      <c r="L13" s="137">
        <f t="shared" si="19"/>
        <v>44530</v>
      </c>
      <c r="M13" s="137">
        <f t="shared" si="19"/>
        <v>44561</v>
      </c>
      <c r="N13" s="137">
        <f t="shared" si="19"/>
        <v>44592</v>
      </c>
      <c r="O13" s="137">
        <f t="shared" si="19"/>
        <v>44620</v>
      </c>
      <c r="P13" s="137">
        <f t="shared" si="19"/>
        <v>44651</v>
      </c>
      <c r="Q13" s="137">
        <f t="shared" si="19"/>
        <v>44681</v>
      </c>
      <c r="R13" s="137">
        <f t="shared" si="19"/>
        <v>44712</v>
      </c>
      <c r="S13" s="137">
        <f t="shared" si="19"/>
        <v>44742</v>
      </c>
      <c r="T13" s="137">
        <f t="shared" si="19"/>
        <v>44773</v>
      </c>
      <c r="U13" s="137">
        <f t="shared" si="19"/>
        <v>44804</v>
      </c>
      <c r="V13" s="137">
        <f t="shared" si="19"/>
        <v>44834</v>
      </c>
      <c r="W13" s="137">
        <f t="shared" si="19"/>
        <v>44865</v>
      </c>
      <c r="X13" s="137">
        <f t="shared" si="19"/>
        <v>44895</v>
      </c>
      <c r="Y13" s="137">
        <f t="shared" si="19"/>
        <v>44926</v>
      </c>
      <c r="Z13" s="137">
        <f t="shared" si="19"/>
        <v>44957</v>
      </c>
      <c r="AA13" s="137">
        <f t="shared" si="19"/>
        <v>44985</v>
      </c>
      <c r="AB13" s="137">
        <f t="shared" si="19"/>
        <v>45016</v>
      </c>
      <c r="AC13" s="137">
        <f t="shared" si="19"/>
        <v>45046</v>
      </c>
      <c r="AD13" s="137">
        <f t="shared" si="19"/>
        <v>45077</v>
      </c>
      <c r="AE13" s="137">
        <f t="shared" si="19"/>
        <v>45107</v>
      </c>
      <c r="AF13" s="137">
        <f t="shared" si="19"/>
        <v>45138</v>
      </c>
      <c r="AG13" s="137">
        <f t="shared" si="19"/>
        <v>45169</v>
      </c>
      <c r="AH13" s="137">
        <f t="shared" si="19"/>
        <v>45199</v>
      </c>
      <c r="AI13" s="137">
        <f t="shared" si="19"/>
        <v>45230</v>
      </c>
      <c r="AJ13" s="137">
        <f t="shared" si="19"/>
        <v>45260</v>
      </c>
      <c r="AK13" s="137">
        <f t="shared" si="19"/>
        <v>45291</v>
      </c>
      <c r="AL13" s="137">
        <f t="shared" si="19"/>
        <v>45322</v>
      </c>
      <c r="AM13" s="137">
        <f t="shared" si="19"/>
        <v>45351</v>
      </c>
      <c r="AN13" s="137">
        <f t="shared" si="19"/>
        <v>45382</v>
      </c>
      <c r="AO13" s="137">
        <f t="shared" si="19"/>
        <v>45412</v>
      </c>
      <c r="AP13" s="137">
        <f t="shared" si="19"/>
        <v>45443</v>
      </c>
      <c r="AQ13" s="137">
        <f t="shared" si="19"/>
        <v>45473</v>
      </c>
      <c r="AR13" s="137">
        <f t="shared" si="19"/>
        <v>45504</v>
      </c>
      <c r="AS13" s="137">
        <f t="shared" si="19"/>
        <v>45535</v>
      </c>
      <c r="AT13" s="137">
        <f t="shared" si="19"/>
        <v>45565</v>
      </c>
      <c r="AU13" s="137">
        <f t="shared" si="19"/>
        <v>45596</v>
      </c>
      <c r="AV13" s="137">
        <f t="shared" si="19"/>
        <v>45626</v>
      </c>
      <c r="AW13" s="137">
        <f t="shared" si="19"/>
        <v>45657</v>
      </c>
      <c r="AX13" s="137">
        <f t="shared" si="19"/>
        <v>45688</v>
      </c>
      <c r="AY13" s="137">
        <f t="shared" si="19"/>
        <v>45716</v>
      </c>
      <c r="AZ13" s="137">
        <f t="shared" si="19"/>
        <v>45747</v>
      </c>
      <c r="BA13" s="137">
        <f t="shared" si="19"/>
        <v>45777</v>
      </c>
      <c r="BB13" s="137">
        <f t="shared" si="19"/>
        <v>45808</v>
      </c>
      <c r="BC13" s="137">
        <f t="shared" si="19"/>
        <v>45838</v>
      </c>
      <c r="BD13" s="137">
        <f t="shared" si="19"/>
        <v>45869</v>
      </c>
      <c r="BE13" s="137">
        <f t="shared" si="19"/>
        <v>45900</v>
      </c>
      <c r="BF13" s="137">
        <f t="shared" si="19"/>
        <v>45930</v>
      </c>
      <c r="BG13" s="137">
        <f t="shared" si="19"/>
        <v>45961</v>
      </c>
      <c r="BH13" s="137">
        <f t="shared" si="19"/>
        <v>45991</v>
      </c>
      <c r="BI13" s="137">
        <f t="shared" si="19"/>
        <v>46022</v>
      </c>
      <c r="BJ13" s="137">
        <f t="shared" si="19"/>
        <v>46053</v>
      </c>
      <c r="BK13" s="137">
        <f t="shared" si="19"/>
        <v>46081</v>
      </c>
      <c r="BL13" s="137">
        <f t="shared" si="19"/>
        <v>46112</v>
      </c>
      <c r="BM13" s="137">
        <f t="shared" si="19"/>
        <v>46142</v>
      </c>
      <c r="BN13" s="137">
        <f t="shared" si="19"/>
        <v>46173</v>
      </c>
      <c r="BO13" s="137">
        <f t="shared" si="19"/>
        <v>46203</v>
      </c>
      <c r="BP13" s="137">
        <f t="shared" si="19"/>
        <v>46234</v>
      </c>
      <c r="BQ13" s="137">
        <f t="shared" ref="BQ13:EB13" si="20">EOMONTH(BP13,1)</f>
        <v>46265</v>
      </c>
      <c r="BR13" s="137">
        <f t="shared" si="20"/>
        <v>46295</v>
      </c>
      <c r="BS13" s="137">
        <f t="shared" si="20"/>
        <v>46326</v>
      </c>
      <c r="BT13" s="137">
        <f t="shared" si="20"/>
        <v>46356</v>
      </c>
      <c r="BU13" s="137">
        <f t="shared" si="20"/>
        <v>46387</v>
      </c>
      <c r="BV13" s="137">
        <f t="shared" si="20"/>
        <v>46418</v>
      </c>
      <c r="BW13" s="137">
        <f t="shared" si="20"/>
        <v>46446</v>
      </c>
      <c r="BX13" s="137">
        <f t="shared" si="20"/>
        <v>46477</v>
      </c>
      <c r="BY13" s="137">
        <f t="shared" si="20"/>
        <v>46507</v>
      </c>
      <c r="BZ13" s="137">
        <f t="shared" si="20"/>
        <v>46538</v>
      </c>
      <c r="CA13" s="137">
        <f t="shared" si="20"/>
        <v>46568</v>
      </c>
      <c r="CB13" s="137">
        <f t="shared" si="20"/>
        <v>46599</v>
      </c>
      <c r="CC13" s="137">
        <f t="shared" si="20"/>
        <v>46630</v>
      </c>
      <c r="CD13" s="137">
        <f t="shared" si="20"/>
        <v>46660</v>
      </c>
      <c r="CE13" s="137">
        <f t="shared" si="20"/>
        <v>46691</v>
      </c>
      <c r="CF13" s="137">
        <f t="shared" si="20"/>
        <v>46721</v>
      </c>
      <c r="CG13" s="137">
        <f t="shared" si="20"/>
        <v>46752</v>
      </c>
      <c r="CH13" s="137">
        <f t="shared" si="20"/>
        <v>46783</v>
      </c>
      <c r="CI13" s="137">
        <f t="shared" si="20"/>
        <v>46812</v>
      </c>
      <c r="CJ13" s="137">
        <f t="shared" si="20"/>
        <v>46843</v>
      </c>
      <c r="CK13" s="137">
        <f t="shared" si="20"/>
        <v>46873</v>
      </c>
      <c r="CL13" s="137">
        <f t="shared" si="20"/>
        <v>46904</v>
      </c>
      <c r="CM13" s="137">
        <f t="shared" si="20"/>
        <v>46934</v>
      </c>
      <c r="CN13" s="137">
        <f t="shared" si="20"/>
        <v>46965</v>
      </c>
      <c r="CO13" s="137">
        <f t="shared" si="20"/>
        <v>46996</v>
      </c>
      <c r="CP13" s="137">
        <f t="shared" si="20"/>
        <v>47026</v>
      </c>
      <c r="CQ13" s="137">
        <f t="shared" si="20"/>
        <v>47057</v>
      </c>
      <c r="CR13" s="137">
        <f t="shared" si="20"/>
        <v>47087</v>
      </c>
      <c r="CS13" s="137">
        <f t="shared" si="20"/>
        <v>47118</v>
      </c>
      <c r="CT13" s="137">
        <f t="shared" si="20"/>
        <v>47149</v>
      </c>
      <c r="CU13" s="137">
        <f t="shared" si="20"/>
        <v>47177</v>
      </c>
      <c r="CV13" s="137">
        <f t="shared" si="20"/>
        <v>47208</v>
      </c>
      <c r="CW13" s="137">
        <f t="shared" si="20"/>
        <v>47238</v>
      </c>
      <c r="CX13" s="137">
        <f t="shared" si="20"/>
        <v>47269</v>
      </c>
      <c r="CY13" s="137">
        <f t="shared" si="20"/>
        <v>47299</v>
      </c>
      <c r="CZ13" s="137">
        <f t="shared" si="20"/>
        <v>47330</v>
      </c>
      <c r="DA13" s="137">
        <f t="shared" si="20"/>
        <v>47361</v>
      </c>
      <c r="DB13" s="137">
        <f t="shared" si="20"/>
        <v>47391</v>
      </c>
      <c r="DC13" s="137">
        <f t="shared" si="20"/>
        <v>47422</v>
      </c>
      <c r="DD13" s="137">
        <f t="shared" si="20"/>
        <v>47452</v>
      </c>
      <c r="DE13" s="137">
        <f t="shared" si="20"/>
        <v>47483</v>
      </c>
      <c r="DF13" s="137">
        <f t="shared" si="20"/>
        <v>47514</v>
      </c>
      <c r="DG13" s="137">
        <f t="shared" si="20"/>
        <v>47542</v>
      </c>
      <c r="DH13" s="137">
        <f t="shared" si="20"/>
        <v>47573</v>
      </c>
      <c r="DI13" s="137">
        <f t="shared" si="20"/>
        <v>47603</v>
      </c>
      <c r="DJ13" s="137">
        <f t="shared" si="20"/>
        <v>47634</v>
      </c>
      <c r="DK13" s="137">
        <f t="shared" si="20"/>
        <v>47664</v>
      </c>
      <c r="DL13" s="137">
        <f t="shared" si="20"/>
        <v>47695</v>
      </c>
      <c r="DM13" s="137">
        <f t="shared" si="20"/>
        <v>47726</v>
      </c>
      <c r="DN13" s="137">
        <f t="shared" si="20"/>
        <v>47756</v>
      </c>
      <c r="DO13" s="137">
        <f t="shared" si="20"/>
        <v>47787</v>
      </c>
      <c r="DP13" s="137">
        <f t="shared" si="20"/>
        <v>47817</v>
      </c>
      <c r="DQ13" s="137">
        <f t="shared" si="20"/>
        <v>47848</v>
      </c>
      <c r="DR13" s="137">
        <f t="shared" si="20"/>
        <v>47879</v>
      </c>
      <c r="DS13" s="137">
        <f t="shared" si="20"/>
        <v>47907</v>
      </c>
      <c r="DT13" s="137">
        <f t="shared" si="20"/>
        <v>47938</v>
      </c>
      <c r="DU13" s="137">
        <f t="shared" si="20"/>
        <v>47968</v>
      </c>
      <c r="DV13" s="137">
        <f t="shared" si="20"/>
        <v>47999</v>
      </c>
      <c r="DW13" s="137">
        <f t="shared" si="20"/>
        <v>48029</v>
      </c>
      <c r="DX13" s="137">
        <f t="shared" si="20"/>
        <v>48060</v>
      </c>
      <c r="DY13" s="137">
        <f t="shared" si="20"/>
        <v>48091</v>
      </c>
      <c r="DZ13" s="137">
        <f t="shared" si="20"/>
        <v>48121</v>
      </c>
      <c r="EA13" s="137">
        <f t="shared" si="20"/>
        <v>48152</v>
      </c>
      <c r="EB13" s="137">
        <f t="shared" si="20"/>
        <v>48182</v>
      </c>
      <c r="EC13" s="137">
        <f t="shared" ref="EC13:ED13" si="21">EOMONTH(EB13,1)</f>
        <v>48213</v>
      </c>
      <c r="ED13" s="138">
        <f t="shared" si="21"/>
        <v>48244</v>
      </c>
    </row>
    <row r="14" spans="1:134" x14ac:dyDescent="0.35">
      <c r="A14" s="139">
        <f>MAX(C14:ED14)</f>
        <v>30000000</v>
      </c>
      <c r="B14" s="4" t="s">
        <v>162</v>
      </c>
      <c r="C14" s="140">
        <f>IF(OR(C12&gt;Summary!$K$19,Summary!$K$19=Summary!$E$10,C12&lt;Summary!$E$10),0,IF(C12=Summary!$E$13,Summary!$E$14,Financing!B19))</f>
        <v>0</v>
      </c>
      <c r="D14" s="140">
        <f>IF(OR(D12&gt;Summary!$K$19,Summary!$K$19=Summary!$E$10,D12&lt;Summary!$E$10),0,IF(D12=Summary!$E$13,Summary!$E$14,Financing!C19))</f>
        <v>0</v>
      </c>
      <c r="E14" s="140">
        <f>IF(OR(E12&gt;Summary!$K$19,Summary!$K$19=Summary!$E$10,E12&lt;Summary!$E$10),0,IF(E12=Summary!$E$13,Summary!$E$14,Financing!D19))</f>
        <v>0</v>
      </c>
      <c r="F14" s="140">
        <f>IF(OR(F12&gt;Summary!$K$19,Summary!$K$19=Summary!$E$10,F12&lt;Summary!$E$10),0,IF(F12=Summary!$E$13,Summary!$E$14,Financing!E19))</f>
        <v>0</v>
      </c>
      <c r="G14" s="140">
        <f>IF(OR(G12&gt;Summary!$K$19,Summary!$K$19=Summary!$E$10,G12&lt;Summary!$E$10),0,IF(G12=Summary!$E$13,Summary!$E$14,Financing!F19))</f>
        <v>0</v>
      </c>
      <c r="H14" s="140">
        <f>IF(OR(H12&gt;Summary!$K$19,Summary!$K$19=Summary!$E$10,H12&lt;Summary!$E$10),0,IF(H12=Summary!$E$13,Summary!$E$14,Financing!G19))</f>
        <v>0</v>
      </c>
      <c r="I14" s="140">
        <f>IF(OR(I12&gt;Summary!$K$19,Summary!$K$19=Summary!$E$10,I12&lt;Summary!$E$10),0,IF(I12=Summary!$E$13,Summary!$E$14,Financing!H19))</f>
        <v>0</v>
      </c>
      <c r="J14" s="140">
        <f>IF(OR(J12&gt;Summary!$K$19,Summary!$K$19=Summary!$E$10,J12&lt;Summary!$E$10),0,IF(J12=Summary!$E$13,Summary!$E$14,Financing!I19))</f>
        <v>0</v>
      </c>
      <c r="K14" s="140">
        <f>IF(OR(K12&gt;Summary!$K$19,Summary!$K$19=Summary!$E$10,K12&lt;Summary!$E$10),0,IF(K12=Summary!$E$13,Summary!$E$14,Financing!J19))</f>
        <v>0</v>
      </c>
      <c r="L14" s="140">
        <f>IF(OR(L12&gt;Summary!$K$19,Summary!$K$19=Summary!$E$10,L12&lt;Summary!$E$10),0,IF(L12=Summary!$E$13,Summary!$E$14,Financing!K19))</f>
        <v>0</v>
      </c>
      <c r="M14" s="140">
        <f>IF(OR(M12&gt;Summary!$K$19,Summary!$K$19=Summary!$E$10,M12&lt;Summary!$E$10),0,IF(M12=Summary!$E$13,Summary!$E$14,Financing!L19))</f>
        <v>0</v>
      </c>
      <c r="N14" s="140">
        <f>IF(OR(N12&gt;Summary!$K$19,Summary!$K$19=Summary!$E$10,N12&lt;Summary!$E$10),0,IF(N12=Summary!$E$13,Summary!$E$14,Financing!M19))</f>
        <v>0</v>
      </c>
      <c r="O14" s="140">
        <f>IF(OR(O12&gt;Summary!$K$19,Summary!$K$19=Summary!$E$10,O12&lt;Summary!$E$10),0,IF(O12=Summary!$E$13,Summary!$E$14,Financing!N19))</f>
        <v>0</v>
      </c>
      <c r="P14" s="140">
        <f>IF(OR(P12&gt;Summary!$K$19,Summary!$K$19=Summary!$E$10,P12&lt;Summary!$E$10),0,IF(P12=Summary!$E$13,Summary!$E$14,Financing!O19))</f>
        <v>0</v>
      </c>
      <c r="Q14" s="140">
        <f>IF(OR(Q12&gt;Summary!$K$19,Summary!$K$19=Summary!$E$10,Q12&lt;Summary!$E$10),0,IF(Q12=Summary!$E$13,Summary!$E$14,Financing!P19))</f>
        <v>0</v>
      </c>
      <c r="R14" s="140">
        <f>IF(OR(R12&gt;Summary!$K$19,Summary!$K$19=Summary!$E$10,R12&lt;Summary!$E$10),0,IF(R12=Summary!$E$13,Summary!$E$14,Financing!Q19))</f>
        <v>0</v>
      </c>
      <c r="S14" s="140">
        <f>IF(OR(S12&gt;Summary!$K$19,Summary!$K$19=Summary!$E$10,S12&lt;Summary!$E$10),0,IF(S12=Summary!$E$13,Summary!$E$14,Financing!R19))</f>
        <v>0</v>
      </c>
      <c r="T14" s="140">
        <f>IF(OR(T12&gt;Summary!$K$19,Summary!$K$19=Summary!$E$10,T12&lt;Summary!$E$10),0,IF(T12=Summary!$E$13,Summary!$E$14,Financing!S19))</f>
        <v>0</v>
      </c>
      <c r="U14" s="140">
        <f>IF(OR(U12&gt;Summary!$K$19,Summary!$K$19=Summary!$E$10,U12&lt;Summary!$E$10),0,IF(U12=Summary!$E$13,Summary!$E$14,Financing!T19))</f>
        <v>0</v>
      </c>
      <c r="V14" s="140">
        <f>IF(OR(V12&gt;Summary!$K$19,Summary!$K$19=Summary!$E$10,V12&lt;Summary!$E$10),0,IF(V12=Summary!$E$13,Summary!$E$14,Financing!U19))</f>
        <v>0</v>
      </c>
      <c r="W14" s="140">
        <f>IF(OR(W12&gt;Summary!$K$19,Summary!$K$19=Summary!$E$10,W12&lt;Summary!$E$10),0,IF(W12=Summary!$E$13,Summary!$E$14,Financing!V19))</f>
        <v>0</v>
      </c>
      <c r="X14" s="140">
        <f>IF(OR(X12&gt;Summary!$K$19,Summary!$K$19=Summary!$E$10,X12&lt;Summary!$E$10),0,IF(X12=Summary!$E$13,Summary!$E$14,Financing!W19))</f>
        <v>0</v>
      </c>
      <c r="Y14" s="140">
        <f>IF(OR(Y12&gt;Summary!$K$19,Summary!$K$19=Summary!$E$10,Y12&lt;Summary!$E$10),0,IF(Y12=Summary!$E$13,Summary!$E$14,Financing!X19))</f>
        <v>0</v>
      </c>
      <c r="Z14" s="140">
        <f>IF(OR(Z12&gt;Summary!$K$19,Summary!$K$19=Summary!$E$10,Z12&lt;Summary!$E$10),0,IF(Z12=Summary!$E$13,Summary!$E$14,Financing!Y19))</f>
        <v>0</v>
      </c>
      <c r="AA14" s="140">
        <f>IF(OR(AA12&gt;Summary!$K$19,Summary!$K$19=Summary!$E$10,AA12&lt;Summary!$E$10),0,IF(AA12=Summary!$E$13,Summary!$E$14,Financing!Z19))</f>
        <v>0</v>
      </c>
      <c r="AB14" s="140">
        <f>IF(OR(AB12&gt;Summary!$K$19,Summary!$K$19=Summary!$E$10,AB12&lt;Summary!$E$10),0,IF(AB12=Summary!$E$13,Summary!$E$14,Financing!AA19))</f>
        <v>0</v>
      </c>
      <c r="AC14" s="140">
        <f>IF(OR(AC12&gt;Summary!$K$19,Summary!$K$19=Summary!$E$10,AC12&lt;Summary!$E$10),0,IF(AC12=Summary!$E$13,Summary!$E$14,Financing!AB19))</f>
        <v>0</v>
      </c>
      <c r="AD14" s="140">
        <f>IF(OR(AD12&gt;Summary!$K$19,Summary!$K$19=Summary!$E$10,AD12&lt;Summary!$E$10),0,IF(AD12=Summary!$E$13,Summary!$E$14,Financing!AC19))</f>
        <v>0</v>
      </c>
      <c r="AE14" s="140">
        <f>IF(OR(AE12&gt;Summary!$K$19,Summary!$K$19=Summary!$E$10,AE12&lt;Summary!$E$10),0,IF(AE12=Summary!$E$13,Summary!$E$14,Financing!AD19))</f>
        <v>0</v>
      </c>
      <c r="AF14" s="140">
        <f>IF(OR(AF12&gt;Summary!$K$19,Summary!$K$19=Summary!$E$10,AF12&lt;Summary!$E$10),0,IF(AF12=Summary!$E$13,Summary!$E$14,Financing!AE19))</f>
        <v>0</v>
      </c>
      <c r="AG14" s="140">
        <f>IF(OR(AG12&gt;Summary!$K$19,Summary!$K$19=Summary!$E$10,AG12&lt;Summary!$E$10),0,IF(AG12=Summary!$E$13,Summary!$E$14,Financing!AF19))</f>
        <v>0</v>
      </c>
      <c r="AH14" s="140">
        <f>IF(OR(AH12&gt;Summary!$K$19,Summary!$K$19=Summary!$E$10,AH12&lt;Summary!$E$10),0,IF(AH12=Summary!$E$13,Summary!$E$14,Financing!AG19))</f>
        <v>0</v>
      </c>
      <c r="AI14" s="140">
        <f>IF(OR(AI12&gt;Summary!$K$19,Summary!$K$19=Summary!$E$10,AI12&lt;Summary!$E$10),0,IF(AI12=Summary!$E$13,Summary!$E$14,Financing!AH19))</f>
        <v>0</v>
      </c>
      <c r="AJ14" s="140">
        <f>IF(OR(AJ12&gt;Summary!$K$19,Summary!$K$19=Summary!$E$10,AJ12&lt;Summary!$E$10),0,IF(AJ12=Summary!$E$13,Summary!$E$14,Financing!AI19))</f>
        <v>0</v>
      </c>
      <c r="AK14" s="140">
        <f>IF(OR(AK12&gt;Summary!$K$19,Summary!$K$19=Summary!$E$10,AK12&lt;Summary!$E$10),0,IF(AK12=Summary!$E$13,Summary!$E$14,Financing!AJ19))</f>
        <v>0</v>
      </c>
      <c r="AL14" s="140">
        <f>IF(OR(AL12&gt;Summary!$K$19,Summary!$K$19=Summary!$E$10,AL12&lt;Summary!$E$10),0,IF(AL12=Summary!$E$13,Summary!$E$14,Financing!AK19))</f>
        <v>0</v>
      </c>
      <c r="AM14" s="140">
        <f>IF(OR(AM12&gt;Summary!$K$19,Summary!$K$19=Summary!$E$10,AM12&lt;Summary!$E$10),0,IF(AM12=Summary!$E$13,Summary!$E$14,Financing!AL19))</f>
        <v>0</v>
      </c>
      <c r="AN14" s="140">
        <f>IF(OR(AN12&gt;Summary!$K$19,Summary!$K$19=Summary!$E$10,AN12&lt;Summary!$E$10),0,IF(AN12=Summary!$E$13,Summary!$E$14,Financing!AM19))</f>
        <v>0</v>
      </c>
      <c r="AO14" s="140">
        <f>IF(OR(AO12&gt;Summary!$K$19,Summary!$K$19=Summary!$E$10,AO12&lt;Summary!$E$10),0,IF(AO12=Summary!$E$13,Summary!$E$14,Financing!AN19))</f>
        <v>0</v>
      </c>
      <c r="AP14" s="140">
        <f>IF(OR(AP12&gt;Summary!$K$19,Summary!$K$19=Summary!$E$10,AP12&lt;Summary!$E$10),0,IF(AP12=Summary!$E$13,Summary!$E$14,Financing!AO19))</f>
        <v>0</v>
      </c>
      <c r="AQ14" s="140">
        <f>IF(OR(AQ12&gt;Summary!$K$19,Summary!$K$19=Summary!$E$10,AQ12&lt;Summary!$E$10),0,IF(AQ12=Summary!$E$13,Summary!$E$14,Financing!AP19))</f>
        <v>0</v>
      </c>
      <c r="AR14" s="140">
        <f>IF(OR(AR12&gt;Summary!$K$19,Summary!$K$19=Summary!$E$10,AR12&lt;Summary!$E$10),0,IF(AR12=Summary!$E$13,Summary!$E$14,Financing!AQ19))</f>
        <v>0</v>
      </c>
      <c r="AS14" s="140">
        <f>IF(OR(AS12&gt;Summary!$K$19,Summary!$K$19=Summary!$E$10,AS12&lt;Summary!$E$10),0,IF(AS12=Summary!$E$13,Summary!$E$14,Financing!AR19))</f>
        <v>0</v>
      </c>
      <c r="AT14" s="140">
        <f>IF(OR(AT12&gt;Summary!$K$19,Summary!$K$19=Summary!$E$10,AT12&lt;Summary!$E$10),0,IF(AT12=Summary!$E$13,Summary!$E$14,Financing!AS19))</f>
        <v>0</v>
      </c>
      <c r="AU14" s="140">
        <f>IF(OR(AU12&gt;Summary!$K$19,Summary!$K$19=Summary!$E$10,AU12&lt;Summary!$E$10),0,IF(AU12=Summary!$E$13,Summary!$E$14,Financing!AT19))</f>
        <v>0</v>
      </c>
      <c r="AV14" s="140">
        <f>IF(OR(AV12&gt;Summary!$K$19,Summary!$K$19=Summary!$E$10,AV12&lt;Summary!$E$10),0,IF(AV12=Summary!$E$13,Summary!$E$14,Financing!AU19))</f>
        <v>0</v>
      </c>
      <c r="AW14" s="140">
        <f>IF(OR(AW12&gt;Summary!$K$19,Summary!$K$19=Summary!$E$10,AW12&lt;Summary!$E$10),0,IF(AW12=Summary!$E$13,Summary!$E$14,Financing!AV19))</f>
        <v>0</v>
      </c>
      <c r="AX14" s="140">
        <f>IF(OR(AX12&gt;Summary!$K$19,Summary!$K$19=Summary!$E$10,AX12&lt;Summary!$E$10),0,IF(AX12=Summary!$E$13,Summary!$E$14,Financing!AW19))</f>
        <v>0</v>
      </c>
      <c r="AY14" s="140">
        <f>IF(OR(AY12&gt;Summary!$K$19,Summary!$K$19=Summary!$E$10,AY12&lt;Summary!$E$10),0,IF(AY12=Summary!$E$13,Summary!$E$14,Financing!AX19))</f>
        <v>0</v>
      </c>
      <c r="AZ14" s="140">
        <f>IF(OR(AZ12&gt;Summary!$K$19,Summary!$K$19=Summary!$E$10,AZ12&lt;Summary!$E$10),0,IF(AZ12=Summary!$E$13,Summary!$E$14,Financing!AY19))</f>
        <v>0</v>
      </c>
      <c r="BA14" s="140">
        <f>IF(OR(BA12&gt;Summary!$K$19,Summary!$K$19=Summary!$E$10,BA12&lt;Summary!$E$10),0,IF(BA12=Summary!$E$13,Summary!$E$14,Financing!AZ19))</f>
        <v>0</v>
      </c>
      <c r="BB14" s="140">
        <f>IF(OR(BB12&gt;Summary!$K$19,Summary!$K$19=Summary!$E$10,BB12&lt;Summary!$E$10),0,IF(BB12=Summary!$E$13,Summary!$E$14,Financing!BA19))</f>
        <v>0</v>
      </c>
      <c r="BC14" s="140">
        <f>IF(OR(BC12&gt;Summary!$K$19,Summary!$K$19=Summary!$E$10,BC12&lt;Summary!$E$10),0,IF(BC12=Summary!$E$13,Summary!$E$14,Financing!BB19))</f>
        <v>0</v>
      </c>
      <c r="BD14" s="140">
        <f>IF(OR(BD12&gt;Summary!$K$19,Summary!$K$19=Summary!$E$10,BD12&lt;Summary!$E$10),0,IF(BD12=Summary!$E$13,Summary!$E$14,Financing!BC19))</f>
        <v>0</v>
      </c>
      <c r="BE14" s="140">
        <f>IF(OR(BE12&gt;Summary!$K$19,Summary!$K$19=Summary!$E$10,BE12&lt;Summary!$E$10),0,IF(BE12=Summary!$E$13,Summary!$E$14,Financing!BD19))</f>
        <v>0</v>
      </c>
      <c r="BF14" s="140">
        <f>IF(OR(BF12&gt;Summary!$K$19,Summary!$K$19=Summary!$E$10,BF12&lt;Summary!$E$10),0,IF(BF12=Summary!$E$13,Summary!$E$14,Financing!BE19))</f>
        <v>0</v>
      </c>
      <c r="BG14" s="140">
        <f>IF(OR(BG12&gt;Summary!$K$19,Summary!$K$19=Summary!$E$10,BG12&lt;Summary!$E$10),0,IF(BG12=Summary!$E$13,Summary!$E$14,Financing!BF19))</f>
        <v>0</v>
      </c>
      <c r="BH14" s="140">
        <f>IF(OR(BH12&gt;Summary!$K$19,Summary!$K$19=Summary!$E$10,BH12&lt;Summary!$E$10),0,IF(BH12=Summary!$E$13,Summary!$E$14,Financing!BG19))</f>
        <v>0</v>
      </c>
      <c r="BI14" s="140">
        <f>IF(OR(BI12&gt;Summary!$K$19,Summary!$K$19=Summary!$E$10,BI12&lt;Summary!$E$10),0,IF(BI12=Summary!$E$13,Summary!$E$14,Financing!BH19))</f>
        <v>0</v>
      </c>
      <c r="BJ14" s="140">
        <f>IF(OR(BJ12&gt;Summary!$K$19,Summary!$K$19=Summary!$E$10,BJ12&lt;Summary!$E$10),0,IF(BJ12=Summary!$E$13,Summary!$E$14,Financing!BI19))</f>
        <v>30000000</v>
      </c>
      <c r="BK14" s="140">
        <f>IF(OR(BK12&gt;Summary!$K$19,Summary!$K$19=Summary!$E$10,BK12&lt;Summary!$E$10),0,IF(BK12=Summary!$E$13,Summary!$E$14,Financing!BJ19))</f>
        <v>30000000</v>
      </c>
      <c r="BL14" s="140">
        <f>IF(OR(BL12&gt;Summary!$K$19,Summary!$K$19=Summary!$E$10,BL12&lt;Summary!$E$10),0,IF(BL12=Summary!$E$13,Summary!$E$14,Financing!BK19))</f>
        <v>30000000</v>
      </c>
      <c r="BM14" s="140">
        <f>IF(OR(BM12&gt;Summary!$K$19,Summary!$K$19=Summary!$E$10,BM12&lt;Summary!$E$10),0,IF(BM12=Summary!$E$13,Summary!$E$14,Financing!BL19))</f>
        <v>30000000</v>
      </c>
      <c r="BN14" s="140">
        <f>IF(OR(BN12&gt;Summary!$K$19,Summary!$K$19=Summary!$E$10,BN12&lt;Summary!$E$10),0,IF(BN12=Summary!$E$13,Summary!$E$14,Financing!BM19))</f>
        <v>30000000</v>
      </c>
      <c r="BO14" s="140">
        <f>IF(OR(BO12&gt;Summary!$K$19,Summary!$K$19=Summary!$E$10,BO12&lt;Summary!$E$10),0,IF(BO12=Summary!$E$13,Summary!$E$14,Financing!BN19))</f>
        <v>30000000</v>
      </c>
      <c r="BP14" s="140">
        <f>IF(OR(BP12&gt;Summary!$K$19,Summary!$K$19=Summary!$E$10,BP12&lt;Summary!$E$10),0,IF(BP12=Summary!$E$13,Summary!$E$14,Financing!BO19))</f>
        <v>30000000</v>
      </c>
      <c r="BQ14" s="140">
        <f>IF(OR(BQ12&gt;Summary!$K$19,Summary!$K$19=Summary!$E$10,BQ12&lt;Summary!$E$10),0,IF(BQ12=Summary!$E$13,Summary!$E$14,Financing!BP19))</f>
        <v>30000000</v>
      </c>
      <c r="BR14" s="140">
        <f>IF(OR(BR12&gt;Summary!$K$19,Summary!$K$19=Summary!$E$10,BR12&lt;Summary!$E$10),0,IF(BR12=Summary!$E$13,Summary!$E$14,Financing!BQ19))</f>
        <v>30000000</v>
      </c>
      <c r="BS14" s="140">
        <f>IF(OR(BS12&gt;Summary!$K$19,Summary!$K$19=Summary!$E$10,BS12&lt;Summary!$E$10),0,IF(BS12=Summary!$E$13,Summary!$E$14,Financing!BR19))</f>
        <v>30000000</v>
      </c>
      <c r="BT14" s="140">
        <f>IF(OR(BT12&gt;Summary!$K$19,Summary!$K$19=Summary!$E$10,BT12&lt;Summary!$E$10),0,IF(BT12=Summary!$E$13,Summary!$E$14,Financing!BS19))</f>
        <v>30000000</v>
      </c>
      <c r="BU14" s="140">
        <f>IF(OR(BU12&gt;Summary!$K$19,Summary!$K$19=Summary!$E$10,BU12&lt;Summary!$E$10),0,IF(BU12=Summary!$E$13,Summary!$E$14,Financing!BT19))</f>
        <v>30000000</v>
      </c>
      <c r="BV14" s="140">
        <f>IF(OR(BV12&gt;Summary!$K$19,Summary!$K$19=Summary!$E$10,BV12&lt;Summary!$E$10),0,IF(BV12=Summary!$E$13,Summary!$E$14,Financing!BU19))</f>
        <v>30000000</v>
      </c>
      <c r="BW14" s="140">
        <f>IF(OR(BW12&gt;Summary!$K$19,Summary!$K$19=Summary!$E$10,BW12&lt;Summary!$E$10),0,IF(BW12=Summary!$E$13,Summary!$E$14,Financing!BV19))</f>
        <v>30000000</v>
      </c>
      <c r="BX14" s="140">
        <f>IF(OR(BX12&gt;Summary!$K$19,Summary!$K$19=Summary!$E$10,BX12&lt;Summary!$E$10),0,IF(BX12=Summary!$E$13,Summary!$E$14,Financing!BW19))</f>
        <v>30000000</v>
      </c>
      <c r="BY14" s="140">
        <f>IF(OR(BY12&gt;Summary!$K$19,Summary!$K$19=Summary!$E$10,BY12&lt;Summary!$E$10),0,IF(BY12=Summary!$E$13,Summary!$E$14,Financing!BX19))</f>
        <v>30000000</v>
      </c>
      <c r="BZ14" s="140">
        <f>IF(OR(BZ12&gt;Summary!$K$19,Summary!$K$19=Summary!$E$10,BZ12&lt;Summary!$E$10),0,IF(BZ12=Summary!$E$13,Summary!$E$14,Financing!BY19))</f>
        <v>30000000</v>
      </c>
      <c r="CA14" s="140">
        <f>IF(OR(CA12&gt;Summary!$K$19,Summary!$K$19=Summary!$E$10,CA12&lt;Summary!$E$10),0,IF(CA12=Summary!$E$13,Summary!$E$14,Financing!BZ19))</f>
        <v>30000000</v>
      </c>
      <c r="CB14" s="140">
        <f>IF(OR(CB12&gt;Summary!$K$19,Summary!$K$19=Summary!$E$10,CB12&lt;Summary!$E$10),0,IF(CB12=Summary!$E$13,Summary!$E$14,Financing!CA19))</f>
        <v>30000000</v>
      </c>
      <c r="CC14" s="140">
        <f>IF(OR(CC12&gt;Summary!$K$19,Summary!$K$19=Summary!$E$10,CC12&lt;Summary!$E$10),0,IF(CC12=Summary!$E$13,Summary!$E$14,Financing!CB19))</f>
        <v>30000000</v>
      </c>
      <c r="CD14" s="140">
        <f>IF(OR(CD12&gt;Summary!$K$19,Summary!$K$19=Summary!$E$10,CD12&lt;Summary!$E$10),0,IF(CD12=Summary!$E$13,Summary!$E$14,Financing!CC19))</f>
        <v>30000000</v>
      </c>
      <c r="CE14" s="140">
        <f>IF(OR(CE12&gt;Summary!$K$19,Summary!$K$19=Summary!$E$10,CE12&lt;Summary!$E$10),0,IF(CE12=Summary!$E$13,Summary!$E$14,Financing!CD19))</f>
        <v>30000000</v>
      </c>
      <c r="CF14" s="140">
        <f>IF(OR(CF12&gt;Summary!$K$19,Summary!$K$19=Summary!$E$10,CF12&lt;Summary!$E$10),0,IF(CF12=Summary!$E$13,Summary!$E$14,Financing!CE19))</f>
        <v>30000000</v>
      </c>
      <c r="CG14" s="140">
        <f>IF(OR(CG12&gt;Summary!$K$19,Summary!$K$19=Summary!$E$10,CG12&lt;Summary!$E$10),0,IF(CG12=Summary!$E$13,Summary!$E$14,Financing!CF19))</f>
        <v>30000000</v>
      </c>
      <c r="CH14" s="140">
        <f>IF(OR(CH12&gt;Summary!$K$19,Summary!$K$19=Summary!$E$10,CH12&lt;Summary!$E$10),0,IF(CH12=Summary!$E$13,Summary!$E$14,Financing!CG19))</f>
        <v>30000000</v>
      </c>
      <c r="CI14" s="140">
        <f>IF(OR(CI12&gt;Summary!$K$19,Summary!$K$19=Summary!$E$10,CI12&lt;Summary!$E$10),0,IF(CI12=Summary!$E$13,Summary!$E$14,Financing!CH19))</f>
        <v>30000000</v>
      </c>
      <c r="CJ14" s="140">
        <f>IF(OR(CJ12&gt;Summary!$K$19,Summary!$K$19=Summary!$E$10,CJ12&lt;Summary!$E$10),0,IF(CJ12=Summary!$E$13,Summary!$E$14,Financing!CI19))</f>
        <v>30000000</v>
      </c>
      <c r="CK14" s="140">
        <f>IF(OR(CK12&gt;Summary!$K$19,Summary!$K$19=Summary!$E$10,CK12&lt;Summary!$E$10),0,IF(CK12=Summary!$E$13,Summary!$E$14,Financing!CJ19))</f>
        <v>30000000</v>
      </c>
      <c r="CL14" s="140">
        <f>IF(OR(CL12&gt;Summary!$K$19,Summary!$K$19=Summary!$E$10,CL12&lt;Summary!$E$10),0,IF(CL12=Summary!$E$13,Summary!$E$14,Financing!CK19))</f>
        <v>30000000</v>
      </c>
      <c r="CM14" s="140">
        <f>IF(OR(CM12&gt;Summary!$K$19,Summary!$K$19=Summary!$E$10,CM12&lt;Summary!$E$10),0,IF(CM12=Summary!$E$13,Summary!$E$14,Financing!CL19))</f>
        <v>30000000</v>
      </c>
      <c r="CN14" s="140">
        <f>IF(OR(CN12&gt;Summary!$K$19,Summary!$K$19=Summary!$E$10,CN12&lt;Summary!$E$10),0,IF(CN12=Summary!$E$13,Summary!$E$14,Financing!CM19))</f>
        <v>30000000</v>
      </c>
      <c r="CO14" s="140">
        <f>IF(OR(CO12&gt;Summary!$K$19,Summary!$K$19=Summary!$E$10,CO12&lt;Summary!$E$10),0,IF(CO12=Summary!$E$13,Summary!$E$14,Financing!CN19))</f>
        <v>30000000</v>
      </c>
      <c r="CP14" s="140">
        <f>IF(OR(CP12&gt;Summary!$K$19,Summary!$K$19=Summary!$E$10,CP12&lt;Summary!$E$10),0,IF(CP12=Summary!$E$13,Summary!$E$14,Financing!CO19))</f>
        <v>30000000</v>
      </c>
      <c r="CQ14" s="140">
        <f>IF(OR(CQ12&gt;Summary!$K$19,Summary!$K$19=Summary!$E$10,CQ12&lt;Summary!$E$10),0,IF(CQ12=Summary!$E$13,Summary!$E$14,Financing!CP19))</f>
        <v>30000000</v>
      </c>
      <c r="CR14" s="140">
        <f>IF(OR(CR12&gt;Summary!$K$19,Summary!$K$19=Summary!$E$10,CR12&lt;Summary!$E$10),0,IF(CR12=Summary!$E$13,Summary!$E$14,Financing!CQ19))</f>
        <v>30000000</v>
      </c>
      <c r="CS14" s="140">
        <f>IF(OR(CS12&gt;Summary!$K$19,Summary!$K$19=Summary!$E$10,CS12&lt;Summary!$E$10),0,IF(CS12=Summary!$E$13,Summary!$E$14,Financing!CR19))</f>
        <v>30000000</v>
      </c>
      <c r="CT14" s="140">
        <f>IF(OR(CT12&gt;Summary!$K$19,Summary!$K$19=Summary!$E$10,CT12&lt;Summary!$E$10),0,IF(CT12=Summary!$E$13,Summary!$E$14,Financing!CS19))</f>
        <v>30000000</v>
      </c>
      <c r="CU14" s="140">
        <f>IF(OR(CU12&gt;Summary!$K$19,Summary!$K$19=Summary!$E$10,CU12&lt;Summary!$E$10),0,IF(CU12=Summary!$E$13,Summary!$E$14,Financing!CT19))</f>
        <v>30000000</v>
      </c>
      <c r="CV14" s="140">
        <f>IF(OR(CV12&gt;Summary!$K$19,Summary!$K$19=Summary!$E$10,CV12&lt;Summary!$E$10),0,IF(CV12=Summary!$E$13,Summary!$E$14,Financing!CU19))</f>
        <v>29956775.411360361</v>
      </c>
      <c r="CW14" s="140">
        <f>IF(OR(CW12&gt;Summary!$K$19,Summary!$K$19=Summary!$E$10,CW12&lt;Summary!$E$10),0,IF(CW12=Summary!$E$13,Summary!$E$14,Financing!CV19))</f>
        <v>29913406.74075859</v>
      </c>
      <c r="CX14" s="140">
        <f>IF(OR(CX12&gt;Summary!$K$19,Summary!$K$19=Summary!$E$10,CX12&lt;Summary!$E$10),0,IF(CX12=Summary!$E$13,Summary!$E$14,Financing!CW19))</f>
        <v>29869893.50792148</v>
      </c>
      <c r="CY14" s="140">
        <f>IF(OR(CY12&gt;Summary!$K$19,Summary!$K$19=Summary!$E$10,CY12&lt;Summary!$E$10),0,IF(CY12=Summary!$E$13,Summary!$E$14,Financing!CX19))</f>
        <v>29826235.230974913</v>
      </c>
      <c r="CZ14" s="140">
        <f>IF(OR(CZ12&gt;Summary!$K$19,Summary!$K$19=Summary!$E$10,CZ12&lt;Summary!$E$10),0,IF(CZ12=Summary!$E$13,Summary!$E$14,Financing!CY19))</f>
        <v>29782431.426438525</v>
      </c>
      <c r="DA14" s="140">
        <f>IF(OR(DA12&gt;Summary!$K$19,Summary!$K$19=Summary!$E$10,DA12&lt;Summary!$E$10),0,IF(DA12=Summary!$E$13,Summary!$E$14,Financing!CZ19))</f>
        <v>29738481.609220348</v>
      </c>
      <c r="DB14" s="140">
        <f>IF(OR(DB12&gt;Summary!$K$19,Summary!$K$19=Summary!$E$10,DB12&lt;Summary!$E$10),0,IF(DB12=Summary!$E$13,Summary!$E$14,Financing!DA19))</f>
        <v>29694385.292611446</v>
      </c>
      <c r="DC14" s="140">
        <f>IF(OR(DC12&gt;Summary!$K$19,Summary!$K$19=Summary!$E$10,DC12&lt;Summary!$E$10),0,IF(DC12=Summary!$E$13,Summary!$E$14,Financing!DB19))</f>
        <v>29650141.988280512</v>
      </c>
      <c r="DD14" s="140">
        <f>IF(OR(DD12&gt;Summary!$K$19,Summary!$K$19=Summary!$E$10,DD12&lt;Summary!$E$10),0,IF(DD12=Summary!$E$13,Summary!$E$14,Financing!DC19))</f>
        <v>29605751.206268474</v>
      </c>
      <c r="DE14" s="140">
        <f>IF(OR(DE12&gt;Summary!$K$19,Summary!$K$19=Summary!$E$10,DE12&lt;Summary!$E$10),0,IF(DE12=Summary!$E$13,Summary!$E$14,Financing!DD19))</f>
        <v>29561212.454983063</v>
      </c>
      <c r="DF14" s="140">
        <f>IF(OR(DF12&gt;Summary!$K$19,Summary!$K$19=Summary!$E$10,DF12&lt;Summary!$E$10),0,IF(DF12=Summary!$E$13,Summary!$E$14,Financing!DE19))</f>
        <v>29516525.241193369</v>
      </c>
      <c r="DG14" s="140">
        <f>IF(OR(DG12&gt;Summary!$K$19,Summary!$K$19=Summary!$E$10,DG12&lt;Summary!$E$10),0,IF(DG12=Summary!$E$13,Summary!$E$14,Financing!DF19))</f>
        <v>29471689.070024375</v>
      </c>
      <c r="DH14" s="140">
        <f>IF(OR(DH12&gt;Summary!$K$19,Summary!$K$19=Summary!$E$10,DH12&lt;Summary!$E$10),0,IF(DH12=Summary!$E$13,Summary!$E$14,Financing!DG19))</f>
        <v>29426703.444951486</v>
      </c>
      <c r="DI14" s="140">
        <f>IF(OR(DI12&gt;Summary!$K$19,Summary!$K$19=Summary!$E$10,DI12&lt;Summary!$E$10),0,IF(DI12=Summary!$E$13,Summary!$E$14,Financing!DH19))</f>
        <v>29381567.86779502</v>
      </c>
      <c r="DJ14" s="140">
        <f>IF(OR(DJ12&gt;Summary!$K$19,Summary!$K$19=Summary!$E$10,DJ12&lt;Summary!$E$10),0,IF(DJ12=Summary!$E$13,Summary!$E$14,Financing!DI19))</f>
        <v>29336281.8387147</v>
      </c>
      <c r="DK14" s="140">
        <f>IF(OR(DK12&gt;Summary!$K$19,Summary!$K$19=Summary!$E$10,DK12&lt;Summary!$E$10),0,IF(DK12=Summary!$E$13,Summary!$E$14,Financing!DJ19))</f>
        <v>29290844.856204111</v>
      </c>
      <c r="DL14" s="140">
        <f>IF(OR(DL12&gt;Summary!$K$19,Summary!$K$19=Summary!$E$10,DL12&lt;Summary!$E$10),0,IF(DL12=Summary!$E$13,Summary!$E$14,Financing!DK19))</f>
        <v>29245256.417085152</v>
      </c>
      <c r="DM14" s="140">
        <f>IF(OR(DM12&gt;Summary!$K$19,Summary!$K$19=Summary!$E$10,DM12&lt;Summary!$E$10),0,IF(DM12=Summary!$E$13,Summary!$E$14,Financing!DL19))</f>
        <v>29199516.016502466</v>
      </c>
      <c r="DN14" s="140">
        <f>IF(OR(DN12&gt;Summary!$K$19,Summary!$K$19=Summary!$E$10,DN12&lt;Summary!$E$10),0,IF(DN12=Summary!$E$13,Summary!$E$14,Financing!DM19))</f>
        <v>29153623.147917837</v>
      </c>
      <c r="DO14" s="140">
        <f>IF(OR(DO12&gt;Summary!$K$19,Summary!$K$19=Summary!$E$10,DO12&lt;Summary!$E$10),0,IF(DO12=Summary!$E$13,Summary!$E$14,Financing!DN19))</f>
        <v>29107577.303104591</v>
      </c>
      <c r="DP14" s="140">
        <f>IF(OR(DP12&gt;Summary!$K$19,Summary!$K$19=Summary!$E$10,DP12&lt;Summary!$E$10),0,IF(DP12=Summary!$E$13,Summary!$E$14,Financing!DO19))</f>
        <v>29061377.97214197</v>
      </c>
      <c r="DQ14" s="140">
        <f>IF(OR(DQ12&gt;Summary!$K$19,Summary!$K$19=Summary!$E$10,DQ12&lt;Summary!$E$10),0,IF(DQ12=Summary!$E$13,Summary!$E$14,Financing!DP19))</f>
        <v>29015024.643409472</v>
      </c>
      <c r="DR14" s="140">
        <f>IF(OR(DR12&gt;Summary!$K$19,Summary!$K$19=Summary!$E$10,DR12&lt;Summary!$E$10),0,IF(DR12=Summary!$E$13,Summary!$E$14,Financing!DQ19))</f>
        <v>28968516.803581201</v>
      </c>
      <c r="DS14" s="140">
        <f>IF(OR(DS12&gt;Summary!$K$19,Summary!$K$19=Summary!$E$10,DS12&lt;Summary!$E$10),0,IF(DS12=Summary!$E$13,Summary!$E$14,Financing!DR19))</f>
        <v>0</v>
      </c>
      <c r="DT14" s="140">
        <f>IF(OR(DT12&gt;Summary!$K$19,Summary!$K$19=Summary!$E$10,DT12&lt;Summary!$E$10),0,IF(DT12=Summary!$E$13,Summary!$E$14,Financing!DS19))</f>
        <v>0</v>
      </c>
      <c r="DU14" s="140">
        <f>IF(OR(DU12&gt;Summary!$K$19,Summary!$K$19=Summary!$E$10,DU12&lt;Summary!$E$10),0,IF(DU12=Summary!$E$13,Summary!$E$14,Financing!DT19))</f>
        <v>0</v>
      </c>
      <c r="DV14" s="140">
        <f>IF(OR(DV12&gt;Summary!$K$19,Summary!$K$19=Summary!$E$10,DV12&lt;Summary!$E$10),0,IF(DV12=Summary!$E$13,Summary!$E$14,Financing!DU19))</f>
        <v>0</v>
      </c>
      <c r="DW14" s="140">
        <f>IF(OR(DW12&gt;Summary!$K$19,Summary!$K$19=Summary!$E$10,DW12&lt;Summary!$E$10),0,IF(DW12=Summary!$E$13,Summary!$E$14,Financing!DV19))</f>
        <v>0</v>
      </c>
      <c r="DX14" s="140">
        <f>IF(OR(DX12&gt;Summary!$K$19,Summary!$K$19=Summary!$E$10,DX12&lt;Summary!$E$10),0,IF(DX12=Summary!$E$13,Summary!$E$14,Financing!DW19))</f>
        <v>0</v>
      </c>
      <c r="DY14" s="140">
        <f>IF(OR(DY12&gt;Summary!$K$19,Summary!$K$19=Summary!$E$10,DY12&lt;Summary!$E$10),0,IF(DY12=Summary!$E$13,Summary!$E$14,Financing!DX19))</f>
        <v>0</v>
      </c>
      <c r="DZ14" s="140">
        <f>IF(OR(DZ12&gt;Summary!$K$19,Summary!$K$19=Summary!$E$10,DZ12&lt;Summary!$E$10),0,IF(DZ12=Summary!$E$13,Summary!$E$14,Financing!DY19))</f>
        <v>0</v>
      </c>
      <c r="EA14" s="140">
        <f>IF(OR(EA12&gt;Summary!$K$19,Summary!$K$19=Summary!$E$10,EA12&lt;Summary!$E$10),0,IF(EA12=Summary!$E$13,Summary!$E$14,Financing!DZ19))</f>
        <v>0</v>
      </c>
      <c r="EB14" s="140">
        <f>IF(OR(EB12&gt;Summary!$K$19,Summary!$K$19=Summary!$E$10,EB12&lt;Summary!$E$10),0,IF(EB12=Summary!$E$13,Summary!$E$14,Financing!EA19))</f>
        <v>0</v>
      </c>
      <c r="EC14" s="140">
        <f>IF(OR(EC12&gt;Summary!$K$19,Summary!$K$19=Summary!$E$10,EC12&lt;Summary!$E$10),0,IF(EC12=Summary!$E$13,Summary!$E$14,Financing!EB19))</f>
        <v>0</v>
      </c>
      <c r="ED14" s="141">
        <f>IF(OR(ED12&gt;Summary!$K$19,Summary!$K$19=Summary!$E$10,ED12&lt;Summary!$E$10),0,IF(ED12=Summary!$E$13,Summary!$E$14,Financing!EC19))</f>
        <v>0</v>
      </c>
    </row>
    <row r="15" spans="1:134" x14ac:dyDescent="0.35">
      <c r="A15" s="139">
        <f>SUM(C15:ED15)</f>
        <v>7037390.1273513008</v>
      </c>
      <c r="B15" s="5" t="s">
        <v>163</v>
      </c>
      <c r="C15" s="140">
        <f>IF(OR(C12&gt;Summary!$K$19,C12&lt;=Summary!$E$13),0,IF(C12&lt;=Summary!$E$13+Summary!$E$20,Summary!$E$19/12*Financing!C14,PMT(Summary!$E$19/12,Summary!$E$22,-Summary!$E$14,0,0)))</f>
        <v>0</v>
      </c>
      <c r="D15" s="140">
        <f>IF(OR(D12&gt;Summary!$K$19,D12&lt;=Summary!$E$13),0,IF(D12&lt;=Summary!$E$13+Summary!$E$20,Summary!$E$19/12*Financing!D14,PMT(Summary!$E$19/12,Summary!$E$22,-Summary!$E$14,0,0)))</f>
        <v>0</v>
      </c>
      <c r="E15" s="140">
        <f>IF(OR(E12&gt;Summary!$K$19,E12&lt;=Summary!$E$13),0,IF(E12&lt;=Summary!$E$13+Summary!$E$20,Summary!$E$19/12*Financing!E14,PMT(Summary!$E$19/12,Summary!$E$22,-Summary!$E$14,0,0)))</f>
        <v>0</v>
      </c>
      <c r="F15" s="140">
        <f>IF(OR(F12&gt;Summary!$K$19,F12&lt;=Summary!$E$13),0,IF(F12&lt;=Summary!$E$13+Summary!$E$20,Summary!$E$19/12*Financing!F14,PMT(Summary!$E$19/12,Summary!$E$22,-Summary!$E$14,0,0)))</f>
        <v>0</v>
      </c>
      <c r="G15" s="140">
        <f>IF(OR(G12&gt;Summary!$K$19,G12&lt;=Summary!$E$13),0,IF(G12&lt;=Summary!$E$13+Summary!$E$20,Summary!$E$19/12*Financing!G14,PMT(Summary!$E$19/12,Summary!$E$22,-Summary!$E$14,0,0)))</f>
        <v>0</v>
      </c>
      <c r="H15" s="140">
        <f>IF(OR(H12&gt;Summary!$K$19,H12&lt;=Summary!$E$13),0,IF(H12&lt;=Summary!$E$13+Summary!$E$20,Summary!$E$19/12*Financing!H14,PMT(Summary!$E$19/12,Summary!$E$22,-Summary!$E$14,0,0)))</f>
        <v>0</v>
      </c>
      <c r="I15" s="140">
        <f>IF(OR(I12&gt;Summary!$K$19,I12&lt;=Summary!$E$13),0,IF(I12&lt;=Summary!$E$13+Summary!$E$20,Summary!$E$19/12*Financing!I14,PMT(Summary!$E$19/12,Summary!$E$22,-Summary!$E$14,0,0)))</f>
        <v>0</v>
      </c>
      <c r="J15" s="140">
        <f>IF(OR(J12&gt;Summary!$K$19,J12&lt;=Summary!$E$13),0,IF(J12&lt;=Summary!$E$13+Summary!$E$20,Summary!$E$19/12*Financing!J14,PMT(Summary!$E$19/12,Summary!$E$22,-Summary!$E$14,0,0)))</f>
        <v>0</v>
      </c>
      <c r="K15" s="140">
        <f>IF(OR(K12&gt;Summary!$K$19,K12&lt;=Summary!$E$13),0,IF(K12&lt;=Summary!$E$13+Summary!$E$20,Summary!$E$19/12*Financing!K14,PMT(Summary!$E$19/12,Summary!$E$22,-Summary!$E$14,0,0)))</f>
        <v>0</v>
      </c>
      <c r="L15" s="140">
        <f>IF(OR(L12&gt;Summary!$K$19,L12&lt;=Summary!$E$13),0,IF(L12&lt;=Summary!$E$13+Summary!$E$20,Summary!$E$19/12*Financing!L14,PMT(Summary!$E$19/12,Summary!$E$22,-Summary!$E$14,0,0)))</f>
        <v>0</v>
      </c>
      <c r="M15" s="140">
        <f>IF(OR(M12&gt;Summary!$K$19,M12&lt;=Summary!$E$13),0,IF(M12&lt;=Summary!$E$13+Summary!$E$20,Summary!$E$19/12*Financing!M14,PMT(Summary!$E$19/12,Summary!$E$22,-Summary!$E$14,0,0)))</f>
        <v>0</v>
      </c>
      <c r="N15" s="140">
        <f>IF(OR(N12&gt;Summary!$K$19,N12&lt;=Summary!$E$13),0,IF(N12&lt;=Summary!$E$13+Summary!$E$20,Summary!$E$19/12*Financing!N14,PMT(Summary!$E$19/12,Summary!$E$22,-Summary!$E$14,0,0)))</f>
        <v>0</v>
      </c>
      <c r="O15" s="140">
        <f>IF(OR(O12&gt;Summary!$K$19,O12&lt;=Summary!$E$13),0,IF(O12&lt;=Summary!$E$13+Summary!$E$20,Summary!$E$19/12*Financing!O14,PMT(Summary!$E$19/12,Summary!$E$22,-Summary!$E$14,0,0)))</f>
        <v>0</v>
      </c>
      <c r="P15" s="140">
        <f>IF(OR(P12&gt;Summary!$K$19,P12&lt;=Summary!$E$13),0,IF(P12&lt;=Summary!$E$13+Summary!$E$20,Summary!$E$19/12*Financing!P14,PMT(Summary!$E$19/12,Summary!$E$22,-Summary!$E$14,0,0)))</f>
        <v>0</v>
      </c>
      <c r="Q15" s="140">
        <f>IF(OR(Q12&gt;Summary!$K$19,Q12&lt;=Summary!$E$13),0,IF(Q12&lt;=Summary!$E$13+Summary!$E$20,Summary!$E$19/12*Financing!Q14,PMT(Summary!$E$19/12,Summary!$E$22,-Summary!$E$14,0,0)))</f>
        <v>0</v>
      </c>
      <c r="R15" s="140">
        <f>IF(OR(R12&gt;Summary!$K$19,R12&lt;=Summary!$E$13),0,IF(R12&lt;=Summary!$E$13+Summary!$E$20,Summary!$E$19/12*Financing!R14,PMT(Summary!$E$19/12,Summary!$E$22,-Summary!$E$14,0,0)))</f>
        <v>0</v>
      </c>
      <c r="S15" s="140">
        <f>IF(OR(S12&gt;Summary!$K$19,S12&lt;=Summary!$E$13),0,IF(S12&lt;=Summary!$E$13+Summary!$E$20,Summary!$E$19/12*Financing!S14,PMT(Summary!$E$19/12,Summary!$E$22,-Summary!$E$14,0,0)))</f>
        <v>0</v>
      </c>
      <c r="T15" s="140">
        <f>IF(OR(T12&gt;Summary!$K$19,T12&lt;=Summary!$E$13),0,IF(T12&lt;=Summary!$E$13+Summary!$E$20,Summary!$E$19/12*Financing!T14,PMT(Summary!$E$19/12,Summary!$E$22,-Summary!$E$14,0,0)))</f>
        <v>0</v>
      </c>
      <c r="U15" s="140">
        <f>IF(OR(U12&gt;Summary!$K$19,U12&lt;=Summary!$E$13),0,IF(U12&lt;=Summary!$E$13+Summary!$E$20,Summary!$E$19/12*Financing!U14,PMT(Summary!$E$19/12,Summary!$E$22,-Summary!$E$14,0,0)))</f>
        <v>0</v>
      </c>
      <c r="V15" s="140">
        <f>IF(OR(V12&gt;Summary!$K$19,V12&lt;=Summary!$E$13),0,IF(V12&lt;=Summary!$E$13+Summary!$E$20,Summary!$E$19/12*Financing!V14,PMT(Summary!$E$19/12,Summary!$E$22,-Summary!$E$14,0,0)))</f>
        <v>0</v>
      </c>
      <c r="W15" s="140">
        <f>IF(OR(W12&gt;Summary!$K$19,W12&lt;=Summary!$E$13),0,IF(W12&lt;=Summary!$E$13+Summary!$E$20,Summary!$E$19/12*Financing!W14,PMT(Summary!$E$19/12,Summary!$E$22,-Summary!$E$14,0,0)))</f>
        <v>0</v>
      </c>
      <c r="X15" s="140">
        <f>IF(OR(X12&gt;Summary!$K$19,X12&lt;=Summary!$E$13),0,IF(X12&lt;=Summary!$E$13+Summary!$E$20,Summary!$E$19/12*Financing!X14,PMT(Summary!$E$19/12,Summary!$E$22,-Summary!$E$14,0,0)))</f>
        <v>0</v>
      </c>
      <c r="Y15" s="140">
        <f>IF(OR(Y12&gt;Summary!$K$19,Y12&lt;=Summary!$E$13),0,IF(Y12&lt;=Summary!$E$13+Summary!$E$20,Summary!$E$19/12*Financing!Y14,PMT(Summary!$E$19/12,Summary!$E$22,-Summary!$E$14,0,0)))</f>
        <v>0</v>
      </c>
      <c r="Z15" s="140">
        <f>IF(OR(Z12&gt;Summary!$K$19,Z12&lt;=Summary!$E$13),0,IF(Z12&lt;=Summary!$E$13+Summary!$E$20,Summary!$E$19/12*Financing!Z14,PMT(Summary!$E$19/12,Summary!$E$22,-Summary!$E$14,0,0)))</f>
        <v>0</v>
      </c>
      <c r="AA15" s="140">
        <f>IF(OR(AA12&gt;Summary!$K$19,AA12&lt;=Summary!$E$13),0,IF(AA12&lt;=Summary!$E$13+Summary!$E$20,Summary!$E$19/12*Financing!AA14,PMT(Summary!$E$19/12,Summary!$E$22,-Summary!$E$14,0,0)))</f>
        <v>0</v>
      </c>
      <c r="AB15" s="140">
        <f>IF(OR(AB12&gt;Summary!$K$19,AB12&lt;=Summary!$E$13),0,IF(AB12&lt;=Summary!$E$13+Summary!$E$20,Summary!$E$19/12*Financing!AB14,PMT(Summary!$E$19/12,Summary!$E$22,-Summary!$E$14,0,0)))</f>
        <v>0</v>
      </c>
      <c r="AC15" s="140">
        <f>IF(OR(AC12&gt;Summary!$K$19,AC12&lt;=Summary!$E$13),0,IF(AC12&lt;=Summary!$E$13+Summary!$E$20,Summary!$E$19/12*Financing!AC14,PMT(Summary!$E$19/12,Summary!$E$22,-Summary!$E$14,0,0)))</f>
        <v>0</v>
      </c>
      <c r="AD15" s="140">
        <f>IF(OR(AD12&gt;Summary!$K$19,AD12&lt;=Summary!$E$13),0,IF(AD12&lt;=Summary!$E$13+Summary!$E$20,Summary!$E$19/12*Financing!AD14,PMT(Summary!$E$19/12,Summary!$E$22,-Summary!$E$14,0,0)))</f>
        <v>0</v>
      </c>
      <c r="AE15" s="140">
        <f>IF(OR(AE12&gt;Summary!$K$19,AE12&lt;=Summary!$E$13),0,IF(AE12&lt;=Summary!$E$13+Summary!$E$20,Summary!$E$19/12*Financing!AE14,PMT(Summary!$E$19/12,Summary!$E$22,-Summary!$E$14,0,0)))</f>
        <v>0</v>
      </c>
      <c r="AF15" s="140">
        <f>IF(OR(AF12&gt;Summary!$K$19,AF12&lt;=Summary!$E$13),0,IF(AF12&lt;=Summary!$E$13+Summary!$E$20,Summary!$E$19/12*Financing!AF14,PMT(Summary!$E$19/12,Summary!$E$22,-Summary!$E$14,0,0)))</f>
        <v>0</v>
      </c>
      <c r="AG15" s="140">
        <f>IF(OR(AG12&gt;Summary!$K$19,AG12&lt;=Summary!$E$13),0,IF(AG12&lt;=Summary!$E$13+Summary!$E$20,Summary!$E$19/12*Financing!AG14,PMT(Summary!$E$19/12,Summary!$E$22,-Summary!$E$14,0,0)))</f>
        <v>0</v>
      </c>
      <c r="AH15" s="140">
        <f>IF(OR(AH12&gt;Summary!$K$19,AH12&lt;=Summary!$E$13),0,IF(AH12&lt;=Summary!$E$13+Summary!$E$20,Summary!$E$19/12*Financing!AH14,PMT(Summary!$E$19/12,Summary!$E$22,-Summary!$E$14,0,0)))</f>
        <v>0</v>
      </c>
      <c r="AI15" s="140">
        <f>IF(OR(AI12&gt;Summary!$K$19,AI12&lt;=Summary!$E$13),0,IF(AI12&lt;=Summary!$E$13+Summary!$E$20,Summary!$E$19/12*Financing!AI14,PMT(Summary!$E$19/12,Summary!$E$22,-Summary!$E$14,0,0)))</f>
        <v>0</v>
      </c>
      <c r="AJ15" s="140">
        <f>IF(OR(AJ12&gt;Summary!$K$19,AJ12&lt;=Summary!$E$13),0,IF(AJ12&lt;=Summary!$E$13+Summary!$E$20,Summary!$E$19/12*Financing!AJ14,PMT(Summary!$E$19/12,Summary!$E$22,-Summary!$E$14,0,0)))</f>
        <v>0</v>
      </c>
      <c r="AK15" s="140">
        <f>IF(OR(AK12&gt;Summary!$K$19,AK12&lt;=Summary!$E$13),0,IF(AK12&lt;=Summary!$E$13+Summary!$E$20,Summary!$E$19/12*Financing!AK14,PMT(Summary!$E$19/12,Summary!$E$22,-Summary!$E$14,0,0)))</f>
        <v>0</v>
      </c>
      <c r="AL15" s="140">
        <f>IF(OR(AL12&gt;Summary!$K$19,AL12&lt;=Summary!$E$13),0,IF(AL12&lt;=Summary!$E$13+Summary!$E$20,Summary!$E$19/12*Financing!AL14,PMT(Summary!$E$19/12,Summary!$E$22,-Summary!$E$14,0,0)))</f>
        <v>0</v>
      </c>
      <c r="AM15" s="140">
        <f>IF(OR(AM12&gt;Summary!$K$19,AM12&lt;=Summary!$E$13),0,IF(AM12&lt;=Summary!$E$13+Summary!$E$20,Summary!$E$19/12*Financing!AM14,PMT(Summary!$E$19/12,Summary!$E$22,-Summary!$E$14,0,0)))</f>
        <v>0</v>
      </c>
      <c r="AN15" s="140">
        <f>IF(OR(AN12&gt;Summary!$K$19,AN12&lt;=Summary!$E$13),0,IF(AN12&lt;=Summary!$E$13+Summary!$E$20,Summary!$E$19/12*Financing!AN14,PMT(Summary!$E$19/12,Summary!$E$22,-Summary!$E$14,0,0)))</f>
        <v>0</v>
      </c>
      <c r="AO15" s="140">
        <f>IF(OR(AO12&gt;Summary!$K$19,AO12&lt;=Summary!$E$13),0,IF(AO12&lt;=Summary!$E$13+Summary!$E$20,Summary!$E$19/12*Financing!AO14,PMT(Summary!$E$19/12,Summary!$E$22,-Summary!$E$14,0,0)))</f>
        <v>0</v>
      </c>
      <c r="AP15" s="140">
        <f>IF(OR(AP12&gt;Summary!$K$19,AP12&lt;=Summary!$E$13),0,IF(AP12&lt;=Summary!$E$13+Summary!$E$20,Summary!$E$19/12*Financing!AP14,PMT(Summary!$E$19/12,Summary!$E$22,-Summary!$E$14,0,0)))</f>
        <v>0</v>
      </c>
      <c r="AQ15" s="140">
        <f>IF(OR(AQ12&gt;Summary!$K$19,AQ12&lt;=Summary!$E$13),0,IF(AQ12&lt;=Summary!$E$13+Summary!$E$20,Summary!$E$19/12*Financing!AQ14,PMT(Summary!$E$19/12,Summary!$E$22,-Summary!$E$14,0,0)))</f>
        <v>0</v>
      </c>
      <c r="AR15" s="140">
        <f>IF(OR(AR12&gt;Summary!$K$19,AR12&lt;=Summary!$E$13),0,IF(AR12&lt;=Summary!$E$13+Summary!$E$20,Summary!$E$19/12*Financing!AR14,PMT(Summary!$E$19/12,Summary!$E$22,-Summary!$E$14,0,0)))</f>
        <v>0</v>
      </c>
      <c r="AS15" s="140">
        <f>IF(OR(AS12&gt;Summary!$K$19,AS12&lt;=Summary!$E$13),0,IF(AS12&lt;=Summary!$E$13+Summary!$E$20,Summary!$E$19/12*Financing!AS14,PMT(Summary!$E$19/12,Summary!$E$22,-Summary!$E$14,0,0)))</f>
        <v>0</v>
      </c>
      <c r="AT15" s="140">
        <f>IF(OR(AT12&gt;Summary!$K$19,AT12&lt;=Summary!$E$13),0,IF(AT12&lt;=Summary!$E$13+Summary!$E$20,Summary!$E$19/12*Financing!AT14,PMT(Summary!$E$19/12,Summary!$E$22,-Summary!$E$14,0,0)))</f>
        <v>0</v>
      </c>
      <c r="AU15" s="140">
        <f>IF(OR(AU12&gt;Summary!$K$19,AU12&lt;=Summary!$E$13),0,IF(AU12&lt;=Summary!$E$13+Summary!$E$20,Summary!$E$19/12*Financing!AU14,PMT(Summary!$E$19/12,Summary!$E$22,-Summary!$E$14,0,0)))</f>
        <v>0</v>
      </c>
      <c r="AV15" s="140">
        <f>IF(OR(AV12&gt;Summary!$K$19,AV12&lt;=Summary!$E$13),0,IF(AV12&lt;=Summary!$E$13+Summary!$E$20,Summary!$E$19/12*Financing!AV14,PMT(Summary!$E$19/12,Summary!$E$22,-Summary!$E$14,0,0)))</f>
        <v>0</v>
      </c>
      <c r="AW15" s="140">
        <f>IF(OR(AW12&gt;Summary!$K$19,AW12&lt;=Summary!$E$13),0,IF(AW12&lt;=Summary!$E$13+Summary!$E$20,Summary!$E$19/12*Financing!AW14,PMT(Summary!$E$19/12,Summary!$E$22,-Summary!$E$14,0,0)))</f>
        <v>0</v>
      </c>
      <c r="AX15" s="140">
        <f>IF(OR(AX12&gt;Summary!$K$19,AX12&lt;=Summary!$E$13),0,IF(AX12&lt;=Summary!$E$13+Summary!$E$20,Summary!$E$19/12*Financing!AX14,PMT(Summary!$E$19/12,Summary!$E$22,-Summary!$E$14,0,0)))</f>
        <v>0</v>
      </c>
      <c r="AY15" s="140">
        <f>IF(OR(AY12&gt;Summary!$K$19,AY12&lt;=Summary!$E$13),0,IF(AY12&lt;=Summary!$E$13+Summary!$E$20,Summary!$E$19/12*Financing!AY14,PMT(Summary!$E$19/12,Summary!$E$22,-Summary!$E$14,0,0)))</f>
        <v>0</v>
      </c>
      <c r="AZ15" s="140">
        <f>IF(OR(AZ12&gt;Summary!$K$19,AZ12&lt;=Summary!$E$13),0,IF(AZ12&lt;=Summary!$E$13+Summary!$E$20,Summary!$E$19/12*Financing!AZ14,PMT(Summary!$E$19/12,Summary!$E$22,-Summary!$E$14,0,0)))</f>
        <v>0</v>
      </c>
      <c r="BA15" s="140">
        <f>IF(OR(BA12&gt;Summary!$K$19,BA12&lt;=Summary!$E$13),0,IF(BA12&lt;=Summary!$E$13+Summary!$E$20,Summary!$E$19/12*Financing!BA14,PMT(Summary!$E$19/12,Summary!$E$22,-Summary!$E$14,0,0)))</f>
        <v>0</v>
      </c>
      <c r="BB15" s="140">
        <f>IF(OR(BB12&gt;Summary!$K$19,BB12&lt;=Summary!$E$13),0,IF(BB12&lt;=Summary!$E$13+Summary!$E$20,Summary!$E$19/12*Financing!BB14,PMT(Summary!$E$19/12,Summary!$E$22,-Summary!$E$14,0,0)))</f>
        <v>0</v>
      </c>
      <c r="BC15" s="140">
        <f>IF(OR(BC12&gt;Summary!$K$19,BC12&lt;=Summary!$E$13),0,IF(BC12&lt;=Summary!$E$13+Summary!$E$20,Summary!$E$19/12*Financing!BC14,PMT(Summary!$E$19/12,Summary!$E$22,-Summary!$E$14,0,0)))</f>
        <v>0</v>
      </c>
      <c r="BD15" s="140">
        <f>IF(OR(BD12&gt;Summary!$K$19,BD12&lt;=Summary!$E$13),0,IF(BD12&lt;=Summary!$E$13+Summary!$E$20,Summary!$E$19/12*Financing!BD14,PMT(Summary!$E$19/12,Summary!$E$22,-Summary!$E$14,0,0)))</f>
        <v>0</v>
      </c>
      <c r="BE15" s="140">
        <f>IF(OR(BE12&gt;Summary!$K$19,BE12&lt;=Summary!$E$13),0,IF(BE12&lt;=Summary!$E$13+Summary!$E$20,Summary!$E$19/12*Financing!BE14,PMT(Summary!$E$19/12,Summary!$E$22,-Summary!$E$14,0,0)))</f>
        <v>0</v>
      </c>
      <c r="BF15" s="140">
        <f>IF(OR(BF12&gt;Summary!$K$19,BF12&lt;=Summary!$E$13),0,IF(BF12&lt;=Summary!$E$13+Summary!$E$20,Summary!$E$19/12*Financing!BF14,PMT(Summary!$E$19/12,Summary!$E$22,-Summary!$E$14,0,0)))</f>
        <v>0</v>
      </c>
      <c r="BG15" s="140">
        <f>IF(OR(BG12&gt;Summary!$K$19,BG12&lt;=Summary!$E$13),0,IF(BG12&lt;=Summary!$E$13+Summary!$E$20,Summary!$E$19/12*Financing!BG14,PMT(Summary!$E$19/12,Summary!$E$22,-Summary!$E$14,0,0)))</f>
        <v>0</v>
      </c>
      <c r="BH15" s="140">
        <f>IF(OR(BH12&gt;Summary!$K$19,BH12&lt;=Summary!$E$13),0,IF(BH12&lt;=Summary!$E$13+Summary!$E$20,Summary!$E$19/12*Financing!BH14,PMT(Summary!$E$19/12,Summary!$E$22,-Summary!$E$14,0,0)))</f>
        <v>0</v>
      </c>
      <c r="BI15" s="140">
        <f>IF(OR(BI12&gt;Summary!$K$19,BI12&lt;=Summary!$E$13),0,IF(BI12&lt;=Summary!$E$13+Summary!$E$20,Summary!$E$19/12*Financing!BI14,PMT(Summary!$E$19/12,Summary!$E$22,-Summary!$E$14,0,0)))</f>
        <v>0</v>
      </c>
      <c r="BJ15" s="140">
        <f>IF(OR(BJ12&gt;Summary!$K$19,BJ12&lt;=Summary!$E$13),0,IF(BJ12&lt;=Summary!$E$13+Summary!$E$20,Summary!$E$19/12*Financing!BJ14,PMT(Summary!$E$19/12,Summary!$E$22,-Summary!$E$14,0,0)))</f>
        <v>0</v>
      </c>
      <c r="BK15" s="140">
        <f>IF(OR(BK12&gt;Summary!$K$19,BK12&lt;=Summary!$E$13),0,IF(BK12&lt;=Summary!$E$13+Summary!$E$20,Summary!$E$19/12*Financing!BK14,PMT(Summary!$E$19/12,Summary!$E$22,-Summary!$E$14,0,0)))</f>
        <v>100000</v>
      </c>
      <c r="BL15" s="140">
        <f>IF(OR(BL12&gt;Summary!$K$19,BL12&lt;=Summary!$E$13),0,IF(BL12&lt;=Summary!$E$13+Summary!$E$20,Summary!$E$19/12*Financing!BL14,PMT(Summary!$E$19/12,Summary!$E$22,-Summary!$E$14,0,0)))</f>
        <v>100000</v>
      </c>
      <c r="BM15" s="140">
        <f>IF(OR(BM12&gt;Summary!$K$19,BM12&lt;=Summary!$E$13),0,IF(BM12&lt;=Summary!$E$13+Summary!$E$20,Summary!$E$19/12*Financing!BM14,PMT(Summary!$E$19/12,Summary!$E$22,-Summary!$E$14,0,0)))</f>
        <v>100000</v>
      </c>
      <c r="BN15" s="140">
        <f>IF(OR(BN12&gt;Summary!$K$19,BN12&lt;=Summary!$E$13),0,IF(BN12&lt;=Summary!$E$13+Summary!$E$20,Summary!$E$19/12*Financing!BN14,PMT(Summary!$E$19/12,Summary!$E$22,-Summary!$E$14,0,0)))</f>
        <v>100000</v>
      </c>
      <c r="BO15" s="140">
        <f>IF(OR(BO12&gt;Summary!$K$19,BO12&lt;=Summary!$E$13),0,IF(BO12&lt;=Summary!$E$13+Summary!$E$20,Summary!$E$19/12*Financing!BO14,PMT(Summary!$E$19/12,Summary!$E$22,-Summary!$E$14,0,0)))</f>
        <v>100000</v>
      </c>
      <c r="BP15" s="140">
        <f>IF(OR(BP12&gt;Summary!$K$19,BP12&lt;=Summary!$E$13),0,IF(BP12&lt;=Summary!$E$13+Summary!$E$20,Summary!$E$19/12*Financing!BP14,PMT(Summary!$E$19/12,Summary!$E$22,-Summary!$E$14,0,0)))</f>
        <v>100000</v>
      </c>
      <c r="BQ15" s="140">
        <f>IF(OR(BQ12&gt;Summary!$K$19,BQ12&lt;=Summary!$E$13),0,IF(BQ12&lt;=Summary!$E$13+Summary!$E$20,Summary!$E$19/12*Financing!BQ14,PMT(Summary!$E$19/12,Summary!$E$22,-Summary!$E$14,0,0)))</f>
        <v>100000</v>
      </c>
      <c r="BR15" s="140">
        <f>IF(OR(BR12&gt;Summary!$K$19,BR12&lt;=Summary!$E$13),0,IF(BR12&lt;=Summary!$E$13+Summary!$E$20,Summary!$E$19/12*Financing!BR14,PMT(Summary!$E$19/12,Summary!$E$22,-Summary!$E$14,0,0)))</f>
        <v>100000</v>
      </c>
      <c r="BS15" s="140">
        <f>IF(OR(BS12&gt;Summary!$K$19,BS12&lt;=Summary!$E$13),0,IF(BS12&lt;=Summary!$E$13+Summary!$E$20,Summary!$E$19/12*Financing!BS14,PMT(Summary!$E$19/12,Summary!$E$22,-Summary!$E$14,0,0)))</f>
        <v>100000</v>
      </c>
      <c r="BT15" s="140">
        <f>IF(OR(BT12&gt;Summary!$K$19,BT12&lt;=Summary!$E$13),0,IF(BT12&lt;=Summary!$E$13+Summary!$E$20,Summary!$E$19/12*Financing!BT14,PMT(Summary!$E$19/12,Summary!$E$22,-Summary!$E$14,0,0)))</f>
        <v>100000</v>
      </c>
      <c r="BU15" s="140">
        <f>IF(OR(BU12&gt;Summary!$K$19,BU12&lt;=Summary!$E$13),0,IF(BU12&lt;=Summary!$E$13+Summary!$E$20,Summary!$E$19/12*Financing!BU14,PMT(Summary!$E$19/12,Summary!$E$22,-Summary!$E$14,0,0)))</f>
        <v>100000</v>
      </c>
      <c r="BV15" s="140">
        <f>IF(OR(BV12&gt;Summary!$K$19,BV12&lt;=Summary!$E$13),0,IF(BV12&lt;=Summary!$E$13+Summary!$E$20,Summary!$E$19/12*Financing!BV14,PMT(Summary!$E$19/12,Summary!$E$22,-Summary!$E$14,0,0)))</f>
        <v>100000</v>
      </c>
      <c r="BW15" s="140">
        <f>IF(OR(BW12&gt;Summary!$K$19,BW12&lt;=Summary!$E$13),0,IF(BW12&lt;=Summary!$E$13+Summary!$E$20,Summary!$E$19/12*Financing!BW14,PMT(Summary!$E$19/12,Summary!$E$22,-Summary!$E$14,0,0)))</f>
        <v>100000</v>
      </c>
      <c r="BX15" s="140">
        <f>IF(OR(BX12&gt;Summary!$K$19,BX12&lt;=Summary!$E$13),0,IF(BX12&lt;=Summary!$E$13+Summary!$E$20,Summary!$E$19/12*Financing!BX14,PMT(Summary!$E$19/12,Summary!$E$22,-Summary!$E$14,0,0)))</f>
        <v>100000</v>
      </c>
      <c r="BY15" s="140">
        <f>IF(OR(BY12&gt;Summary!$K$19,BY12&lt;=Summary!$E$13),0,IF(BY12&lt;=Summary!$E$13+Summary!$E$20,Summary!$E$19/12*Financing!BY14,PMT(Summary!$E$19/12,Summary!$E$22,-Summary!$E$14,0,0)))</f>
        <v>100000</v>
      </c>
      <c r="BZ15" s="140">
        <f>IF(OR(BZ12&gt;Summary!$K$19,BZ12&lt;=Summary!$E$13),0,IF(BZ12&lt;=Summary!$E$13+Summary!$E$20,Summary!$E$19/12*Financing!BZ14,PMT(Summary!$E$19/12,Summary!$E$22,-Summary!$E$14,0,0)))</f>
        <v>100000</v>
      </c>
      <c r="CA15" s="140">
        <f>IF(OR(CA12&gt;Summary!$K$19,CA12&lt;=Summary!$E$13),0,IF(CA12&lt;=Summary!$E$13+Summary!$E$20,Summary!$E$19/12*Financing!CA14,PMT(Summary!$E$19/12,Summary!$E$22,-Summary!$E$14,0,0)))</f>
        <v>100000</v>
      </c>
      <c r="CB15" s="140">
        <f>IF(OR(CB12&gt;Summary!$K$19,CB12&lt;=Summary!$E$13),0,IF(CB12&lt;=Summary!$E$13+Summary!$E$20,Summary!$E$19/12*Financing!CB14,PMT(Summary!$E$19/12,Summary!$E$22,-Summary!$E$14,0,0)))</f>
        <v>100000</v>
      </c>
      <c r="CC15" s="140">
        <f>IF(OR(CC12&gt;Summary!$K$19,CC12&lt;=Summary!$E$13),0,IF(CC12&lt;=Summary!$E$13+Summary!$E$20,Summary!$E$19/12*Financing!CC14,PMT(Summary!$E$19/12,Summary!$E$22,-Summary!$E$14,0,0)))</f>
        <v>100000</v>
      </c>
      <c r="CD15" s="140">
        <f>IF(OR(CD12&gt;Summary!$K$19,CD12&lt;=Summary!$E$13),0,IF(CD12&lt;=Summary!$E$13+Summary!$E$20,Summary!$E$19/12*Financing!CD14,PMT(Summary!$E$19/12,Summary!$E$22,-Summary!$E$14,0,0)))</f>
        <v>100000</v>
      </c>
      <c r="CE15" s="140">
        <f>IF(OR(CE12&gt;Summary!$K$19,CE12&lt;=Summary!$E$13),0,IF(CE12&lt;=Summary!$E$13+Summary!$E$20,Summary!$E$19/12*Financing!CE14,PMT(Summary!$E$19/12,Summary!$E$22,-Summary!$E$14,0,0)))</f>
        <v>100000</v>
      </c>
      <c r="CF15" s="140">
        <f>IF(OR(CF12&gt;Summary!$K$19,CF12&lt;=Summary!$E$13),0,IF(CF12&lt;=Summary!$E$13+Summary!$E$20,Summary!$E$19/12*Financing!CF14,PMT(Summary!$E$19/12,Summary!$E$22,-Summary!$E$14,0,0)))</f>
        <v>100000</v>
      </c>
      <c r="CG15" s="140">
        <f>IF(OR(CG12&gt;Summary!$K$19,CG12&lt;=Summary!$E$13),0,IF(CG12&lt;=Summary!$E$13+Summary!$E$20,Summary!$E$19/12*Financing!CG14,PMT(Summary!$E$19/12,Summary!$E$22,-Summary!$E$14,0,0)))</f>
        <v>100000</v>
      </c>
      <c r="CH15" s="140">
        <f>IF(OR(CH12&gt;Summary!$K$19,CH12&lt;=Summary!$E$13),0,IF(CH12&lt;=Summary!$E$13+Summary!$E$20,Summary!$E$19/12*Financing!CH14,PMT(Summary!$E$19/12,Summary!$E$22,-Summary!$E$14,0,0)))</f>
        <v>100000</v>
      </c>
      <c r="CI15" s="140">
        <f>IF(OR(CI12&gt;Summary!$K$19,CI12&lt;=Summary!$E$13),0,IF(CI12&lt;=Summary!$E$13+Summary!$E$20,Summary!$E$19/12*Financing!CI14,PMT(Summary!$E$19/12,Summary!$E$22,-Summary!$E$14,0,0)))</f>
        <v>100000</v>
      </c>
      <c r="CJ15" s="140">
        <f>IF(OR(CJ12&gt;Summary!$K$19,CJ12&lt;=Summary!$E$13),0,IF(CJ12&lt;=Summary!$E$13+Summary!$E$20,Summary!$E$19/12*Financing!CJ14,PMT(Summary!$E$19/12,Summary!$E$22,-Summary!$E$14,0,0)))</f>
        <v>100000</v>
      </c>
      <c r="CK15" s="140">
        <f>IF(OR(CK12&gt;Summary!$K$19,CK12&lt;=Summary!$E$13),0,IF(CK12&lt;=Summary!$E$13+Summary!$E$20,Summary!$E$19/12*Financing!CK14,PMT(Summary!$E$19/12,Summary!$E$22,-Summary!$E$14,0,0)))</f>
        <v>100000</v>
      </c>
      <c r="CL15" s="140">
        <f>IF(OR(CL12&gt;Summary!$K$19,CL12&lt;=Summary!$E$13),0,IF(CL12&lt;=Summary!$E$13+Summary!$E$20,Summary!$E$19/12*Financing!CL14,PMT(Summary!$E$19/12,Summary!$E$22,-Summary!$E$14,0,0)))</f>
        <v>100000</v>
      </c>
      <c r="CM15" s="140">
        <f>IF(OR(CM12&gt;Summary!$K$19,CM12&lt;=Summary!$E$13),0,IF(CM12&lt;=Summary!$E$13+Summary!$E$20,Summary!$E$19/12*Financing!CM14,PMT(Summary!$E$19/12,Summary!$E$22,-Summary!$E$14,0,0)))</f>
        <v>100000</v>
      </c>
      <c r="CN15" s="140">
        <f>IF(OR(CN12&gt;Summary!$K$19,CN12&lt;=Summary!$E$13),0,IF(CN12&lt;=Summary!$E$13+Summary!$E$20,Summary!$E$19/12*Financing!CN14,PMT(Summary!$E$19/12,Summary!$E$22,-Summary!$E$14,0,0)))</f>
        <v>100000</v>
      </c>
      <c r="CO15" s="140">
        <f>IF(OR(CO12&gt;Summary!$K$19,CO12&lt;=Summary!$E$13),0,IF(CO12&lt;=Summary!$E$13+Summary!$E$20,Summary!$E$19/12*Financing!CO14,PMT(Summary!$E$19/12,Summary!$E$22,-Summary!$E$14,0,0)))</f>
        <v>100000</v>
      </c>
      <c r="CP15" s="140">
        <f>IF(OR(CP12&gt;Summary!$K$19,CP12&lt;=Summary!$E$13),0,IF(CP12&lt;=Summary!$E$13+Summary!$E$20,Summary!$E$19/12*Financing!CP14,PMT(Summary!$E$19/12,Summary!$E$22,-Summary!$E$14,0,0)))</f>
        <v>100000</v>
      </c>
      <c r="CQ15" s="140">
        <f>IF(OR(CQ12&gt;Summary!$K$19,CQ12&lt;=Summary!$E$13),0,IF(CQ12&lt;=Summary!$E$13+Summary!$E$20,Summary!$E$19/12*Financing!CQ14,PMT(Summary!$E$19/12,Summary!$E$22,-Summary!$E$14,0,0)))</f>
        <v>100000</v>
      </c>
      <c r="CR15" s="140">
        <f>IF(OR(CR12&gt;Summary!$K$19,CR12&lt;=Summary!$E$13),0,IF(CR12&lt;=Summary!$E$13+Summary!$E$20,Summary!$E$19/12*Financing!CR14,PMT(Summary!$E$19/12,Summary!$E$22,-Summary!$E$14,0,0)))</f>
        <v>100000</v>
      </c>
      <c r="CS15" s="140">
        <f>IF(OR(CS12&gt;Summary!$K$19,CS12&lt;=Summary!$E$13),0,IF(CS12&lt;=Summary!$E$13+Summary!$E$20,Summary!$E$19/12*Financing!CS14,PMT(Summary!$E$19/12,Summary!$E$22,-Summary!$E$14,0,0)))</f>
        <v>100000</v>
      </c>
      <c r="CT15" s="140">
        <f>IF(OR(CT12&gt;Summary!$K$19,CT12&lt;=Summary!$E$13),0,IF(CT12&lt;=Summary!$E$13+Summary!$E$20,Summary!$E$19/12*Financing!CT14,PMT(Summary!$E$19/12,Summary!$E$22,-Summary!$E$14,0,0)))</f>
        <v>100000</v>
      </c>
      <c r="CU15" s="140">
        <f>IF(OR(CU12&gt;Summary!$K$19,CU12&lt;=Summary!$E$13),0,IF(CU12&lt;=Summary!$E$13+Summary!$E$20,Summary!$E$19/12*Financing!CU14,PMT(Summary!$E$19/12,Summary!$E$22,-Summary!$E$14,0,0)))</f>
        <v>143224.58863963783</v>
      </c>
      <c r="CV15" s="140">
        <f>IF(OR(CV12&gt;Summary!$K$19,CV12&lt;=Summary!$E$13),0,IF(CV12&lt;=Summary!$E$13+Summary!$E$20,Summary!$E$19/12*Financing!CV14,PMT(Summary!$E$19/12,Summary!$E$22,-Summary!$E$14,0,0)))</f>
        <v>143224.58863963783</v>
      </c>
      <c r="CW15" s="140">
        <f>IF(OR(CW12&gt;Summary!$K$19,CW12&lt;=Summary!$E$13),0,IF(CW12&lt;=Summary!$E$13+Summary!$E$20,Summary!$E$19/12*Financing!CW14,PMT(Summary!$E$19/12,Summary!$E$22,-Summary!$E$14,0,0)))</f>
        <v>143224.58863963783</v>
      </c>
      <c r="CX15" s="140">
        <f>IF(OR(CX12&gt;Summary!$K$19,CX12&lt;=Summary!$E$13),0,IF(CX12&lt;=Summary!$E$13+Summary!$E$20,Summary!$E$19/12*Financing!CX14,PMT(Summary!$E$19/12,Summary!$E$22,-Summary!$E$14,0,0)))</f>
        <v>143224.58863963783</v>
      </c>
      <c r="CY15" s="140">
        <f>IF(OR(CY12&gt;Summary!$K$19,CY12&lt;=Summary!$E$13),0,IF(CY12&lt;=Summary!$E$13+Summary!$E$20,Summary!$E$19/12*Financing!CY14,PMT(Summary!$E$19/12,Summary!$E$22,-Summary!$E$14,0,0)))</f>
        <v>143224.58863963783</v>
      </c>
      <c r="CZ15" s="140">
        <f>IF(OR(CZ12&gt;Summary!$K$19,CZ12&lt;=Summary!$E$13),0,IF(CZ12&lt;=Summary!$E$13+Summary!$E$20,Summary!$E$19/12*Financing!CZ14,PMT(Summary!$E$19/12,Summary!$E$22,-Summary!$E$14,0,0)))</f>
        <v>143224.58863963783</v>
      </c>
      <c r="DA15" s="140">
        <f>IF(OR(DA12&gt;Summary!$K$19,DA12&lt;=Summary!$E$13),0,IF(DA12&lt;=Summary!$E$13+Summary!$E$20,Summary!$E$19/12*Financing!DA14,PMT(Summary!$E$19/12,Summary!$E$22,-Summary!$E$14,0,0)))</f>
        <v>143224.58863963783</v>
      </c>
      <c r="DB15" s="140">
        <f>IF(OR(DB12&gt;Summary!$K$19,DB12&lt;=Summary!$E$13),0,IF(DB12&lt;=Summary!$E$13+Summary!$E$20,Summary!$E$19/12*Financing!DB14,PMT(Summary!$E$19/12,Summary!$E$22,-Summary!$E$14,0,0)))</f>
        <v>143224.58863963783</v>
      </c>
      <c r="DC15" s="140">
        <f>IF(OR(DC12&gt;Summary!$K$19,DC12&lt;=Summary!$E$13),0,IF(DC12&lt;=Summary!$E$13+Summary!$E$20,Summary!$E$19/12*Financing!DC14,PMT(Summary!$E$19/12,Summary!$E$22,-Summary!$E$14,0,0)))</f>
        <v>143224.58863963783</v>
      </c>
      <c r="DD15" s="140">
        <f>IF(OR(DD12&gt;Summary!$K$19,DD12&lt;=Summary!$E$13),0,IF(DD12&lt;=Summary!$E$13+Summary!$E$20,Summary!$E$19/12*Financing!DD14,PMT(Summary!$E$19/12,Summary!$E$22,-Summary!$E$14,0,0)))</f>
        <v>143224.58863963783</v>
      </c>
      <c r="DE15" s="140">
        <f>IF(OR(DE12&gt;Summary!$K$19,DE12&lt;=Summary!$E$13),0,IF(DE12&lt;=Summary!$E$13+Summary!$E$20,Summary!$E$19/12*Financing!DE14,PMT(Summary!$E$19/12,Summary!$E$22,-Summary!$E$14,0,0)))</f>
        <v>143224.58863963783</v>
      </c>
      <c r="DF15" s="140">
        <f>IF(OR(DF12&gt;Summary!$K$19,DF12&lt;=Summary!$E$13),0,IF(DF12&lt;=Summary!$E$13+Summary!$E$20,Summary!$E$19/12*Financing!DF14,PMT(Summary!$E$19/12,Summary!$E$22,-Summary!$E$14,0,0)))</f>
        <v>143224.58863963783</v>
      </c>
      <c r="DG15" s="140">
        <f>IF(OR(DG12&gt;Summary!$K$19,DG12&lt;=Summary!$E$13),0,IF(DG12&lt;=Summary!$E$13+Summary!$E$20,Summary!$E$19/12*Financing!DG14,PMT(Summary!$E$19/12,Summary!$E$22,-Summary!$E$14,0,0)))</f>
        <v>143224.58863963783</v>
      </c>
      <c r="DH15" s="140">
        <f>IF(OR(DH12&gt;Summary!$K$19,DH12&lt;=Summary!$E$13),0,IF(DH12&lt;=Summary!$E$13+Summary!$E$20,Summary!$E$19/12*Financing!DH14,PMT(Summary!$E$19/12,Summary!$E$22,-Summary!$E$14,0,0)))</f>
        <v>143224.58863963783</v>
      </c>
      <c r="DI15" s="140">
        <f>IF(OR(DI12&gt;Summary!$K$19,DI12&lt;=Summary!$E$13),0,IF(DI12&lt;=Summary!$E$13+Summary!$E$20,Summary!$E$19/12*Financing!DI14,PMT(Summary!$E$19/12,Summary!$E$22,-Summary!$E$14,0,0)))</f>
        <v>143224.58863963783</v>
      </c>
      <c r="DJ15" s="140">
        <f>IF(OR(DJ12&gt;Summary!$K$19,DJ12&lt;=Summary!$E$13),0,IF(DJ12&lt;=Summary!$E$13+Summary!$E$20,Summary!$E$19/12*Financing!DJ14,PMT(Summary!$E$19/12,Summary!$E$22,-Summary!$E$14,0,0)))</f>
        <v>143224.58863963783</v>
      </c>
      <c r="DK15" s="140">
        <f>IF(OR(DK12&gt;Summary!$K$19,DK12&lt;=Summary!$E$13),0,IF(DK12&lt;=Summary!$E$13+Summary!$E$20,Summary!$E$19/12*Financing!DK14,PMT(Summary!$E$19/12,Summary!$E$22,-Summary!$E$14,0,0)))</f>
        <v>143224.58863963783</v>
      </c>
      <c r="DL15" s="140">
        <f>IF(OR(DL12&gt;Summary!$K$19,DL12&lt;=Summary!$E$13),0,IF(DL12&lt;=Summary!$E$13+Summary!$E$20,Summary!$E$19/12*Financing!DL14,PMT(Summary!$E$19/12,Summary!$E$22,-Summary!$E$14,0,0)))</f>
        <v>143224.58863963783</v>
      </c>
      <c r="DM15" s="140">
        <f>IF(OR(DM12&gt;Summary!$K$19,DM12&lt;=Summary!$E$13),0,IF(DM12&lt;=Summary!$E$13+Summary!$E$20,Summary!$E$19/12*Financing!DM14,PMT(Summary!$E$19/12,Summary!$E$22,-Summary!$E$14,0,0)))</f>
        <v>143224.58863963783</v>
      </c>
      <c r="DN15" s="140">
        <f>IF(OR(DN12&gt;Summary!$K$19,DN12&lt;=Summary!$E$13),0,IF(DN12&lt;=Summary!$E$13+Summary!$E$20,Summary!$E$19/12*Financing!DN14,PMT(Summary!$E$19/12,Summary!$E$22,-Summary!$E$14,0,0)))</f>
        <v>143224.58863963783</v>
      </c>
      <c r="DO15" s="140">
        <f>IF(OR(DO12&gt;Summary!$K$19,DO12&lt;=Summary!$E$13),0,IF(DO12&lt;=Summary!$E$13+Summary!$E$20,Summary!$E$19/12*Financing!DO14,PMT(Summary!$E$19/12,Summary!$E$22,-Summary!$E$14,0,0)))</f>
        <v>143224.58863963783</v>
      </c>
      <c r="DP15" s="140">
        <f>IF(OR(DP12&gt;Summary!$K$19,DP12&lt;=Summary!$E$13),0,IF(DP12&lt;=Summary!$E$13+Summary!$E$20,Summary!$E$19/12*Financing!DP14,PMT(Summary!$E$19/12,Summary!$E$22,-Summary!$E$14,0,0)))</f>
        <v>143224.58863963783</v>
      </c>
      <c r="DQ15" s="140">
        <f>IF(OR(DQ12&gt;Summary!$K$19,DQ12&lt;=Summary!$E$13),0,IF(DQ12&lt;=Summary!$E$13+Summary!$E$20,Summary!$E$19/12*Financing!DQ14,PMT(Summary!$E$19/12,Summary!$E$22,-Summary!$E$14,0,0)))</f>
        <v>143224.58863963783</v>
      </c>
      <c r="DR15" s="140">
        <f>IF(OR(DR12&gt;Summary!$K$19,DR12&lt;=Summary!$E$13),0,IF(DR12&lt;=Summary!$E$13+Summary!$E$20,Summary!$E$19/12*Financing!DR14,PMT(Summary!$E$19/12,Summary!$E$22,-Summary!$E$14,0,0)))</f>
        <v>143224.58863963783</v>
      </c>
      <c r="DS15" s="140">
        <f>IF(OR(DS12&gt;Summary!$K$19,DS12&lt;=Summary!$E$13),0,IF(DS12&lt;=Summary!$E$13+Summary!$E$20,Summary!$E$19/12*Financing!DS14,PMT(Summary!$E$19/12,Summary!$E$22,-Summary!$E$14,0,0)))</f>
        <v>0</v>
      </c>
      <c r="DT15" s="140">
        <f>IF(OR(DT12&gt;Summary!$K$19,DT12&lt;=Summary!$E$13),0,IF(DT12&lt;=Summary!$E$13+Summary!$E$20,Summary!$E$19/12*Financing!DT14,PMT(Summary!$E$19/12,Summary!$E$22,-Summary!$E$14,0,0)))</f>
        <v>0</v>
      </c>
      <c r="DU15" s="140">
        <f>IF(OR(DU12&gt;Summary!$K$19,DU12&lt;=Summary!$E$13),0,IF(DU12&lt;=Summary!$E$13+Summary!$E$20,Summary!$E$19/12*Financing!DU14,PMT(Summary!$E$19/12,Summary!$E$22,-Summary!$E$14,0,0)))</f>
        <v>0</v>
      </c>
      <c r="DV15" s="140">
        <f>IF(OR(DV12&gt;Summary!$K$19,DV12&lt;=Summary!$E$13),0,IF(DV12&lt;=Summary!$E$13+Summary!$E$20,Summary!$E$19/12*Financing!DV14,PMT(Summary!$E$19/12,Summary!$E$22,-Summary!$E$14,0,0)))</f>
        <v>0</v>
      </c>
      <c r="DW15" s="140">
        <f>IF(OR(DW12&gt;Summary!$K$19,DW12&lt;=Summary!$E$13),0,IF(DW12&lt;=Summary!$E$13+Summary!$E$20,Summary!$E$19/12*Financing!DW14,PMT(Summary!$E$19/12,Summary!$E$22,-Summary!$E$14,0,0)))</f>
        <v>0</v>
      </c>
      <c r="DX15" s="140">
        <f>IF(OR(DX12&gt;Summary!$K$19,DX12&lt;=Summary!$E$13),0,IF(DX12&lt;=Summary!$E$13+Summary!$E$20,Summary!$E$19/12*Financing!DX14,PMT(Summary!$E$19/12,Summary!$E$22,-Summary!$E$14,0,0)))</f>
        <v>0</v>
      </c>
      <c r="DY15" s="140">
        <f>IF(OR(DY12&gt;Summary!$K$19,DY12&lt;=Summary!$E$13),0,IF(DY12&lt;=Summary!$E$13+Summary!$E$20,Summary!$E$19/12*Financing!DY14,PMT(Summary!$E$19/12,Summary!$E$22,-Summary!$E$14,0,0)))</f>
        <v>0</v>
      </c>
      <c r="DZ15" s="140">
        <f>IF(OR(DZ12&gt;Summary!$K$19,DZ12&lt;=Summary!$E$13),0,IF(DZ12&lt;=Summary!$E$13+Summary!$E$20,Summary!$E$19/12*Financing!DZ14,PMT(Summary!$E$19/12,Summary!$E$22,-Summary!$E$14,0,0)))</f>
        <v>0</v>
      </c>
      <c r="EA15" s="140">
        <f>IF(OR(EA12&gt;Summary!$K$19,EA12&lt;=Summary!$E$13),0,IF(EA12&lt;=Summary!$E$13+Summary!$E$20,Summary!$E$19/12*Financing!EA14,PMT(Summary!$E$19/12,Summary!$E$22,-Summary!$E$14,0,0)))</f>
        <v>0</v>
      </c>
      <c r="EB15" s="140">
        <f>IF(OR(EB12&gt;Summary!$K$19,EB12&lt;=Summary!$E$13),0,IF(EB12&lt;=Summary!$E$13+Summary!$E$20,Summary!$E$19/12*Financing!EB14,PMT(Summary!$E$19/12,Summary!$E$22,-Summary!$E$14,0,0)))</f>
        <v>0</v>
      </c>
      <c r="EC15" s="140">
        <f>IF(OR(EC12&gt;Summary!$K$19,EC12&lt;=Summary!$E$13),0,IF(EC12&lt;=Summary!$E$13+Summary!$E$20,Summary!$E$19/12*Financing!EC14,PMT(Summary!$E$19/12,Summary!$E$22,-Summary!$E$14,0,0)))</f>
        <v>0</v>
      </c>
      <c r="ED15" s="141">
        <f>IF(OR(ED12&gt;Summary!$K$19,ED12&lt;=Summary!$E$13),0,IF(ED12&lt;=Summary!$E$13+Summary!$E$20,Summary!$E$19/12*Financing!ED14,PMT(Summary!$E$19/12,Summary!$E$22,-Summary!$E$14,0,0)))</f>
        <v>0</v>
      </c>
    </row>
    <row r="16" spans="1:134" x14ac:dyDescent="0.35">
      <c r="A16" s="139">
        <f t="shared" ref="A16:A18" si="22">SUM(C16:ED16)</f>
        <v>1078146.0623798298</v>
      </c>
      <c r="B16" s="5" t="s">
        <v>164</v>
      </c>
      <c r="C16" s="140">
        <f>C15-C17</f>
        <v>0</v>
      </c>
      <c r="D16" s="140">
        <f t="shared" ref="D16:BO16" si="23">D15-D17</f>
        <v>0</v>
      </c>
      <c r="E16" s="140">
        <f t="shared" si="23"/>
        <v>0</v>
      </c>
      <c r="F16" s="140">
        <f t="shared" si="23"/>
        <v>0</v>
      </c>
      <c r="G16" s="140">
        <f t="shared" si="23"/>
        <v>0</v>
      </c>
      <c r="H16" s="140">
        <f t="shared" si="23"/>
        <v>0</v>
      </c>
      <c r="I16" s="140">
        <f t="shared" si="23"/>
        <v>0</v>
      </c>
      <c r="J16" s="140">
        <f t="shared" si="23"/>
        <v>0</v>
      </c>
      <c r="K16" s="140">
        <f t="shared" si="23"/>
        <v>0</v>
      </c>
      <c r="L16" s="140">
        <f t="shared" si="23"/>
        <v>0</v>
      </c>
      <c r="M16" s="140">
        <f t="shared" si="23"/>
        <v>0</v>
      </c>
      <c r="N16" s="140">
        <f t="shared" si="23"/>
        <v>0</v>
      </c>
      <c r="O16" s="140">
        <f t="shared" si="23"/>
        <v>0</v>
      </c>
      <c r="P16" s="140">
        <f t="shared" si="23"/>
        <v>0</v>
      </c>
      <c r="Q16" s="140">
        <f t="shared" si="23"/>
        <v>0</v>
      </c>
      <c r="R16" s="140">
        <f t="shared" si="23"/>
        <v>0</v>
      </c>
      <c r="S16" s="140">
        <f t="shared" si="23"/>
        <v>0</v>
      </c>
      <c r="T16" s="140">
        <f t="shared" si="23"/>
        <v>0</v>
      </c>
      <c r="U16" s="140">
        <f t="shared" si="23"/>
        <v>0</v>
      </c>
      <c r="V16" s="140">
        <f t="shared" si="23"/>
        <v>0</v>
      </c>
      <c r="W16" s="140">
        <f t="shared" si="23"/>
        <v>0</v>
      </c>
      <c r="X16" s="140">
        <f t="shared" si="23"/>
        <v>0</v>
      </c>
      <c r="Y16" s="140">
        <f t="shared" si="23"/>
        <v>0</v>
      </c>
      <c r="Z16" s="140">
        <f t="shared" si="23"/>
        <v>0</v>
      </c>
      <c r="AA16" s="140">
        <f t="shared" si="23"/>
        <v>0</v>
      </c>
      <c r="AB16" s="140">
        <f t="shared" si="23"/>
        <v>0</v>
      </c>
      <c r="AC16" s="140">
        <f t="shared" si="23"/>
        <v>0</v>
      </c>
      <c r="AD16" s="140">
        <f t="shared" si="23"/>
        <v>0</v>
      </c>
      <c r="AE16" s="140">
        <f t="shared" si="23"/>
        <v>0</v>
      </c>
      <c r="AF16" s="140">
        <f t="shared" si="23"/>
        <v>0</v>
      </c>
      <c r="AG16" s="140">
        <f t="shared" si="23"/>
        <v>0</v>
      </c>
      <c r="AH16" s="140">
        <f t="shared" si="23"/>
        <v>0</v>
      </c>
      <c r="AI16" s="140">
        <f t="shared" si="23"/>
        <v>0</v>
      </c>
      <c r="AJ16" s="140">
        <f t="shared" si="23"/>
        <v>0</v>
      </c>
      <c r="AK16" s="140">
        <f t="shared" si="23"/>
        <v>0</v>
      </c>
      <c r="AL16" s="140">
        <f t="shared" si="23"/>
        <v>0</v>
      </c>
      <c r="AM16" s="140">
        <f t="shared" si="23"/>
        <v>0</v>
      </c>
      <c r="AN16" s="140">
        <f t="shared" si="23"/>
        <v>0</v>
      </c>
      <c r="AO16" s="140">
        <f t="shared" si="23"/>
        <v>0</v>
      </c>
      <c r="AP16" s="140">
        <f t="shared" si="23"/>
        <v>0</v>
      </c>
      <c r="AQ16" s="140">
        <f t="shared" si="23"/>
        <v>0</v>
      </c>
      <c r="AR16" s="140">
        <f t="shared" si="23"/>
        <v>0</v>
      </c>
      <c r="AS16" s="140">
        <f t="shared" si="23"/>
        <v>0</v>
      </c>
      <c r="AT16" s="140">
        <f t="shared" si="23"/>
        <v>0</v>
      </c>
      <c r="AU16" s="140">
        <f t="shared" si="23"/>
        <v>0</v>
      </c>
      <c r="AV16" s="140">
        <f t="shared" si="23"/>
        <v>0</v>
      </c>
      <c r="AW16" s="140">
        <f t="shared" si="23"/>
        <v>0</v>
      </c>
      <c r="AX16" s="140">
        <f t="shared" si="23"/>
        <v>0</v>
      </c>
      <c r="AY16" s="140">
        <f t="shared" si="23"/>
        <v>0</v>
      </c>
      <c r="AZ16" s="140">
        <f t="shared" si="23"/>
        <v>0</v>
      </c>
      <c r="BA16" s="140">
        <f t="shared" si="23"/>
        <v>0</v>
      </c>
      <c r="BB16" s="140">
        <f t="shared" si="23"/>
        <v>0</v>
      </c>
      <c r="BC16" s="140">
        <f t="shared" si="23"/>
        <v>0</v>
      </c>
      <c r="BD16" s="140">
        <f t="shared" si="23"/>
        <v>0</v>
      </c>
      <c r="BE16" s="140">
        <f t="shared" si="23"/>
        <v>0</v>
      </c>
      <c r="BF16" s="140">
        <f t="shared" si="23"/>
        <v>0</v>
      </c>
      <c r="BG16" s="140">
        <f t="shared" si="23"/>
        <v>0</v>
      </c>
      <c r="BH16" s="140">
        <f t="shared" si="23"/>
        <v>0</v>
      </c>
      <c r="BI16" s="140">
        <f t="shared" si="23"/>
        <v>0</v>
      </c>
      <c r="BJ16" s="140">
        <f t="shared" si="23"/>
        <v>0</v>
      </c>
      <c r="BK16" s="140">
        <f t="shared" si="23"/>
        <v>0</v>
      </c>
      <c r="BL16" s="140">
        <f t="shared" si="23"/>
        <v>0</v>
      </c>
      <c r="BM16" s="140">
        <f t="shared" si="23"/>
        <v>0</v>
      </c>
      <c r="BN16" s="140">
        <f t="shared" si="23"/>
        <v>0</v>
      </c>
      <c r="BO16" s="140">
        <f t="shared" si="23"/>
        <v>0</v>
      </c>
      <c r="BP16" s="140">
        <f t="shared" ref="BP16:EA16" si="24">BP15-BP17</f>
        <v>0</v>
      </c>
      <c r="BQ16" s="140">
        <f t="shared" si="24"/>
        <v>0</v>
      </c>
      <c r="BR16" s="140">
        <f t="shared" si="24"/>
        <v>0</v>
      </c>
      <c r="BS16" s="140">
        <f t="shared" si="24"/>
        <v>0</v>
      </c>
      <c r="BT16" s="140">
        <f t="shared" si="24"/>
        <v>0</v>
      </c>
      <c r="BU16" s="140">
        <f t="shared" si="24"/>
        <v>0</v>
      </c>
      <c r="BV16" s="140">
        <f t="shared" si="24"/>
        <v>0</v>
      </c>
      <c r="BW16" s="140">
        <f t="shared" si="24"/>
        <v>0</v>
      </c>
      <c r="BX16" s="140">
        <f t="shared" si="24"/>
        <v>0</v>
      </c>
      <c r="BY16" s="140">
        <f t="shared" si="24"/>
        <v>0</v>
      </c>
      <c r="BZ16" s="140">
        <f t="shared" si="24"/>
        <v>0</v>
      </c>
      <c r="CA16" s="140">
        <f t="shared" si="24"/>
        <v>0</v>
      </c>
      <c r="CB16" s="140">
        <f t="shared" si="24"/>
        <v>0</v>
      </c>
      <c r="CC16" s="140">
        <f t="shared" si="24"/>
        <v>0</v>
      </c>
      <c r="CD16" s="140">
        <f t="shared" si="24"/>
        <v>0</v>
      </c>
      <c r="CE16" s="140">
        <f t="shared" si="24"/>
        <v>0</v>
      </c>
      <c r="CF16" s="140">
        <f t="shared" si="24"/>
        <v>0</v>
      </c>
      <c r="CG16" s="140">
        <f t="shared" si="24"/>
        <v>0</v>
      </c>
      <c r="CH16" s="140">
        <f t="shared" si="24"/>
        <v>0</v>
      </c>
      <c r="CI16" s="140">
        <f t="shared" si="24"/>
        <v>0</v>
      </c>
      <c r="CJ16" s="140">
        <f t="shared" si="24"/>
        <v>0</v>
      </c>
      <c r="CK16" s="140">
        <f t="shared" si="24"/>
        <v>0</v>
      </c>
      <c r="CL16" s="140">
        <f t="shared" si="24"/>
        <v>0</v>
      </c>
      <c r="CM16" s="140">
        <f t="shared" si="24"/>
        <v>0</v>
      </c>
      <c r="CN16" s="140">
        <f t="shared" si="24"/>
        <v>0</v>
      </c>
      <c r="CO16" s="140">
        <f t="shared" si="24"/>
        <v>0</v>
      </c>
      <c r="CP16" s="140">
        <f t="shared" si="24"/>
        <v>0</v>
      </c>
      <c r="CQ16" s="140">
        <f t="shared" si="24"/>
        <v>0</v>
      </c>
      <c r="CR16" s="140">
        <f t="shared" si="24"/>
        <v>0</v>
      </c>
      <c r="CS16" s="140">
        <f t="shared" si="24"/>
        <v>0</v>
      </c>
      <c r="CT16" s="140">
        <f t="shared" si="24"/>
        <v>0</v>
      </c>
      <c r="CU16" s="140">
        <f t="shared" si="24"/>
        <v>43224.588639637834</v>
      </c>
      <c r="CV16" s="140">
        <f t="shared" si="24"/>
        <v>43368.670601769962</v>
      </c>
      <c r="CW16" s="140">
        <f t="shared" si="24"/>
        <v>43513.232837109186</v>
      </c>
      <c r="CX16" s="140">
        <f t="shared" si="24"/>
        <v>43658.276946566228</v>
      </c>
      <c r="CY16" s="140">
        <f t="shared" si="24"/>
        <v>43803.804536388125</v>
      </c>
      <c r="CZ16" s="140">
        <f t="shared" si="24"/>
        <v>43949.817218176075</v>
      </c>
      <c r="DA16" s="140">
        <f t="shared" si="24"/>
        <v>44096.316608903333</v>
      </c>
      <c r="DB16" s="140">
        <f t="shared" si="24"/>
        <v>44243.30433093301</v>
      </c>
      <c r="DC16" s="140">
        <f t="shared" si="24"/>
        <v>44390.782012036114</v>
      </c>
      <c r="DD16" s="140">
        <f t="shared" si="24"/>
        <v>44538.751285409584</v>
      </c>
      <c r="DE16" s="140">
        <f t="shared" si="24"/>
        <v>44687.213789694288</v>
      </c>
      <c r="DF16" s="140">
        <f t="shared" si="24"/>
        <v>44836.171168993271</v>
      </c>
      <c r="DG16" s="140">
        <f t="shared" si="24"/>
        <v>44985.625072889918</v>
      </c>
      <c r="DH16" s="140">
        <f t="shared" si="24"/>
        <v>45135.577156466214</v>
      </c>
      <c r="DI16" s="140">
        <f t="shared" si="24"/>
        <v>45286.029080321096</v>
      </c>
      <c r="DJ16" s="140">
        <f t="shared" si="24"/>
        <v>45436.98251058883</v>
      </c>
      <c r="DK16" s="140">
        <f t="shared" si="24"/>
        <v>45588.439118957453</v>
      </c>
      <c r="DL16" s="140">
        <f t="shared" si="24"/>
        <v>45740.400582687318</v>
      </c>
      <c r="DM16" s="140">
        <f t="shared" si="24"/>
        <v>45892.868584629614</v>
      </c>
      <c r="DN16" s="140">
        <f t="shared" si="24"/>
        <v>46045.844813245043</v>
      </c>
      <c r="DO16" s="140">
        <f t="shared" si="24"/>
        <v>46199.330962622524</v>
      </c>
      <c r="DP16" s="140">
        <f t="shared" si="24"/>
        <v>46353.328732497932</v>
      </c>
      <c r="DQ16" s="140">
        <f t="shared" si="24"/>
        <v>46507.839828272918</v>
      </c>
      <c r="DR16" s="140">
        <f t="shared" si="24"/>
        <v>46662.865961033822</v>
      </c>
      <c r="DS16" s="140">
        <f t="shared" si="24"/>
        <v>0</v>
      </c>
      <c r="DT16" s="140">
        <f t="shared" si="24"/>
        <v>0</v>
      </c>
      <c r="DU16" s="140">
        <f t="shared" si="24"/>
        <v>0</v>
      </c>
      <c r="DV16" s="140">
        <f t="shared" si="24"/>
        <v>0</v>
      </c>
      <c r="DW16" s="140">
        <f t="shared" si="24"/>
        <v>0</v>
      </c>
      <c r="DX16" s="140">
        <f t="shared" si="24"/>
        <v>0</v>
      </c>
      <c r="DY16" s="140">
        <f t="shared" si="24"/>
        <v>0</v>
      </c>
      <c r="DZ16" s="140">
        <f t="shared" si="24"/>
        <v>0</v>
      </c>
      <c r="EA16" s="140">
        <f t="shared" si="24"/>
        <v>0</v>
      </c>
      <c r="EB16" s="140">
        <f t="shared" ref="EB16:ED16" si="25">EB15-EB17</f>
        <v>0</v>
      </c>
      <c r="EC16" s="140">
        <f t="shared" si="25"/>
        <v>0</v>
      </c>
      <c r="ED16" s="141">
        <f t="shared" si="25"/>
        <v>0</v>
      </c>
    </row>
    <row r="17" spans="1:134" x14ac:dyDescent="0.35">
      <c r="A17" s="139">
        <f t="shared" si="22"/>
        <v>5959244.0649714759</v>
      </c>
      <c r="B17" s="5" t="s">
        <v>165</v>
      </c>
      <c r="C17" s="140">
        <f>IF(C12=Summary!$E$13,0,Summary!$E$19/12*Financing!C14)</f>
        <v>0</v>
      </c>
      <c r="D17" s="140">
        <f>IF(D12=Summary!$E$13,0,Summary!$E$19/12*Financing!D14)</f>
        <v>0</v>
      </c>
      <c r="E17" s="140">
        <f>IF(E12=Summary!$E$13,0,Summary!$E$19/12*Financing!E14)</f>
        <v>0</v>
      </c>
      <c r="F17" s="140">
        <f>IF(F12=Summary!$E$13,0,Summary!$E$19/12*Financing!F14)</f>
        <v>0</v>
      </c>
      <c r="G17" s="140">
        <f>IF(G12=Summary!$E$13,0,Summary!$E$19/12*Financing!G14)</f>
        <v>0</v>
      </c>
      <c r="H17" s="140">
        <f>IF(H12=Summary!$E$13,0,Summary!$E$19/12*Financing!H14)</f>
        <v>0</v>
      </c>
      <c r="I17" s="140">
        <f>IF(I12=Summary!$E$13,0,Summary!$E$19/12*Financing!I14)</f>
        <v>0</v>
      </c>
      <c r="J17" s="140">
        <f>IF(J12=Summary!$E$13,0,Summary!$E$19/12*Financing!J14)</f>
        <v>0</v>
      </c>
      <c r="K17" s="140">
        <f>IF(K12=Summary!$E$13,0,Summary!$E$19/12*Financing!K14)</f>
        <v>0</v>
      </c>
      <c r="L17" s="140">
        <f>IF(L12=Summary!$E$13,0,Summary!$E$19/12*Financing!L14)</f>
        <v>0</v>
      </c>
      <c r="M17" s="140">
        <f>IF(M12=Summary!$E$13,0,Summary!$E$19/12*Financing!M14)</f>
        <v>0</v>
      </c>
      <c r="N17" s="140">
        <f>IF(N12=Summary!$E$13,0,Summary!$E$19/12*Financing!N14)</f>
        <v>0</v>
      </c>
      <c r="O17" s="140">
        <f>IF(O12=Summary!$E$13,0,Summary!$E$19/12*Financing!O14)</f>
        <v>0</v>
      </c>
      <c r="P17" s="140">
        <f>IF(P12=Summary!$E$13,0,Summary!$E$19/12*Financing!P14)</f>
        <v>0</v>
      </c>
      <c r="Q17" s="140">
        <f>IF(Q12=Summary!$E$13,0,Summary!$E$19/12*Financing!Q14)</f>
        <v>0</v>
      </c>
      <c r="R17" s="140">
        <f>IF(R12=Summary!$E$13,0,Summary!$E$19/12*Financing!R14)</f>
        <v>0</v>
      </c>
      <c r="S17" s="140">
        <f>IF(S12=Summary!$E$13,0,Summary!$E$19/12*Financing!S14)</f>
        <v>0</v>
      </c>
      <c r="T17" s="140">
        <f>IF(T12=Summary!$E$13,0,Summary!$E$19/12*Financing!T14)</f>
        <v>0</v>
      </c>
      <c r="U17" s="140">
        <f>IF(U12=Summary!$E$13,0,Summary!$E$19/12*Financing!U14)</f>
        <v>0</v>
      </c>
      <c r="V17" s="140">
        <f>IF(V12=Summary!$E$13,0,Summary!$E$19/12*Financing!V14)</f>
        <v>0</v>
      </c>
      <c r="W17" s="140">
        <f>IF(W12=Summary!$E$13,0,Summary!$E$19/12*Financing!W14)</f>
        <v>0</v>
      </c>
      <c r="X17" s="140">
        <f>IF(X12=Summary!$E$13,0,Summary!$E$19/12*Financing!X14)</f>
        <v>0</v>
      </c>
      <c r="Y17" s="140">
        <f>IF(Y12=Summary!$E$13,0,Summary!$E$19/12*Financing!Y14)</f>
        <v>0</v>
      </c>
      <c r="Z17" s="140">
        <f>IF(Z12=Summary!$E$13,0,Summary!$E$19/12*Financing!Z14)</f>
        <v>0</v>
      </c>
      <c r="AA17" s="140">
        <f>IF(AA12=Summary!$E$13,0,Summary!$E$19/12*Financing!AA14)</f>
        <v>0</v>
      </c>
      <c r="AB17" s="140">
        <f>IF(AB12=Summary!$E$13,0,Summary!$E$19/12*Financing!AB14)</f>
        <v>0</v>
      </c>
      <c r="AC17" s="140">
        <f>IF(AC12=Summary!$E$13,0,Summary!$E$19/12*Financing!AC14)</f>
        <v>0</v>
      </c>
      <c r="AD17" s="140">
        <f>IF(AD12=Summary!$E$13,0,Summary!$E$19/12*Financing!AD14)</f>
        <v>0</v>
      </c>
      <c r="AE17" s="140">
        <f>IF(AE12=Summary!$E$13,0,Summary!$E$19/12*Financing!AE14)</f>
        <v>0</v>
      </c>
      <c r="AF17" s="140">
        <f>IF(AF12=Summary!$E$13,0,Summary!$E$19/12*Financing!AF14)</f>
        <v>0</v>
      </c>
      <c r="AG17" s="140">
        <f>IF(AG12=Summary!$E$13,0,Summary!$E$19/12*Financing!AG14)</f>
        <v>0</v>
      </c>
      <c r="AH17" s="140">
        <f>IF(AH12=Summary!$E$13,0,Summary!$E$19/12*Financing!AH14)</f>
        <v>0</v>
      </c>
      <c r="AI17" s="140">
        <f>IF(AI12=Summary!$E$13,0,Summary!$E$19/12*Financing!AI14)</f>
        <v>0</v>
      </c>
      <c r="AJ17" s="140">
        <f>IF(AJ12=Summary!$E$13,0,Summary!$E$19/12*Financing!AJ14)</f>
        <v>0</v>
      </c>
      <c r="AK17" s="140">
        <f>IF(AK12=Summary!$E$13,0,Summary!$E$19/12*Financing!AK14)</f>
        <v>0</v>
      </c>
      <c r="AL17" s="140">
        <f>IF(AL12=Summary!$E$13,0,Summary!$E$19/12*Financing!AL14)</f>
        <v>0</v>
      </c>
      <c r="AM17" s="140">
        <f>IF(AM12=Summary!$E$13,0,Summary!$E$19/12*Financing!AM14)</f>
        <v>0</v>
      </c>
      <c r="AN17" s="140">
        <f>IF(AN12=Summary!$E$13,0,Summary!$E$19/12*Financing!AN14)</f>
        <v>0</v>
      </c>
      <c r="AO17" s="140">
        <f>IF(AO12=Summary!$E$13,0,Summary!$E$19/12*Financing!AO14)</f>
        <v>0</v>
      </c>
      <c r="AP17" s="140">
        <f>IF(AP12=Summary!$E$13,0,Summary!$E$19/12*Financing!AP14)</f>
        <v>0</v>
      </c>
      <c r="AQ17" s="140">
        <f>IF(AQ12=Summary!$E$13,0,Summary!$E$19/12*Financing!AQ14)</f>
        <v>0</v>
      </c>
      <c r="AR17" s="140">
        <f>IF(AR12=Summary!$E$13,0,Summary!$E$19/12*Financing!AR14)</f>
        <v>0</v>
      </c>
      <c r="AS17" s="140">
        <f>IF(AS12=Summary!$E$13,0,Summary!$E$19/12*Financing!AS14)</f>
        <v>0</v>
      </c>
      <c r="AT17" s="140">
        <f>IF(AT12=Summary!$E$13,0,Summary!$E$19/12*Financing!AT14)</f>
        <v>0</v>
      </c>
      <c r="AU17" s="140">
        <f>IF(AU12=Summary!$E$13,0,Summary!$E$19/12*Financing!AU14)</f>
        <v>0</v>
      </c>
      <c r="AV17" s="140">
        <f>IF(AV12=Summary!$E$13,0,Summary!$E$19/12*Financing!AV14)</f>
        <v>0</v>
      </c>
      <c r="AW17" s="140">
        <f>IF(AW12=Summary!$E$13,0,Summary!$E$19/12*Financing!AW14)</f>
        <v>0</v>
      </c>
      <c r="AX17" s="140">
        <f>IF(AX12=Summary!$E$13,0,Summary!$E$19/12*Financing!AX14)</f>
        <v>0</v>
      </c>
      <c r="AY17" s="140">
        <f>IF(AY12=Summary!$E$13,0,Summary!$E$19/12*Financing!AY14)</f>
        <v>0</v>
      </c>
      <c r="AZ17" s="140">
        <f>IF(AZ12=Summary!$E$13,0,Summary!$E$19/12*Financing!AZ14)</f>
        <v>0</v>
      </c>
      <c r="BA17" s="140">
        <f>IF(BA12=Summary!$E$13,0,Summary!$E$19/12*Financing!BA14)</f>
        <v>0</v>
      </c>
      <c r="BB17" s="140">
        <f>IF(BB12=Summary!$E$13,0,Summary!$E$19/12*Financing!BB14)</f>
        <v>0</v>
      </c>
      <c r="BC17" s="140">
        <f>IF(BC12=Summary!$E$13,0,Summary!$E$19/12*Financing!BC14)</f>
        <v>0</v>
      </c>
      <c r="BD17" s="140">
        <f>IF(BD12=Summary!$E$13,0,Summary!$E$19/12*Financing!BD14)</f>
        <v>0</v>
      </c>
      <c r="BE17" s="140">
        <f>IF(BE12=Summary!$E$13,0,Summary!$E$19/12*Financing!BE14)</f>
        <v>0</v>
      </c>
      <c r="BF17" s="140">
        <f>IF(BF12=Summary!$E$13,0,Summary!$E$19/12*Financing!BF14)</f>
        <v>0</v>
      </c>
      <c r="BG17" s="140">
        <f>IF(BG12=Summary!$E$13,0,Summary!$E$19/12*Financing!BG14)</f>
        <v>0</v>
      </c>
      <c r="BH17" s="140">
        <f>IF(BH12=Summary!$E$13,0,Summary!$E$19/12*Financing!BH14)</f>
        <v>0</v>
      </c>
      <c r="BI17" s="140">
        <f>IF(BI12=Summary!$E$13,0,Summary!$E$19/12*Financing!BI14)</f>
        <v>0</v>
      </c>
      <c r="BJ17" s="140">
        <f>IF(BJ12=Summary!$E$13,0,Summary!$E$19/12*Financing!BJ14)</f>
        <v>0</v>
      </c>
      <c r="BK17" s="140">
        <f>IF(BK12=Summary!$E$13,0,Summary!$E$19/12*Financing!BK14)</f>
        <v>100000</v>
      </c>
      <c r="BL17" s="140">
        <f>IF(BL12=Summary!$E$13,0,Summary!$E$19/12*Financing!BL14)</f>
        <v>100000</v>
      </c>
      <c r="BM17" s="140">
        <f>IF(BM12=Summary!$E$13,0,Summary!$E$19/12*Financing!BM14)</f>
        <v>100000</v>
      </c>
      <c r="BN17" s="140">
        <f>IF(BN12=Summary!$E$13,0,Summary!$E$19/12*Financing!BN14)</f>
        <v>100000</v>
      </c>
      <c r="BO17" s="140">
        <f>IF(BO12=Summary!$E$13,0,Summary!$E$19/12*Financing!BO14)</f>
        <v>100000</v>
      </c>
      <c r="BP17" s="140">
        <f>IF(BP12=Summary!$E$13,0,Summary!$E$19/12*Financing!BP14)</f>
        <v>100000</v>
      </c>
      <c r="BQ17" s="140">
        <f>IF(BQ12=Summary!$E$13,0,Summary!$E$19/12*Financing!BQ14)</f>
        <v>100000</v>
      </c>
      <c r="BR17" s="140">
        <f>IF(BR12=Summary!$E$13,0,Summary!$E$19/12*Financing!BR14)</f>
        <v>100000</v>
      </c>
      <c r="BS17" s="140">
        <f>IF(BS12=Summary!$E$13,0,Summary!$E$19/12*Financing!BS14)</f>
        <v>100000</v>
      </c>
      <c r="BT17" s="140">
        <f>IF(BT12=Summary!$E$13,0,Summary!$E$19/12*Financing!BT14)</f>
        <v>100000</v>
      </c>
      <c r="BU17" s="140">
        <f>IF(BU12=Summary!$E$13,0,Summary!$E$19/12*Financing!BU14)</f>
        <v>100000</v>
      </c>
      <c r="BV17" s="140">
        <f>IF(BV12=Summary!$E$13,0,Summary!$E$19/12*Financing!BV14)</f>
        <v>100000</v>
      </c>
      <c r="BW17" s="140">
        <f>IF(BW12=Summary!$E$13,0,Summary!$E$19/12*Financing!BW14)</f>
        <v>100000</v>
      </c>
      <c r="BX17" s="140">
        <f>IF(BX12=Summary!$E$13,0,Summary!$E$19/12*Financing!BX14)</f>
        <v>100000</v>
      </c>
      <c r="BY17" s="140">
        <f>IF(BY12=Summary!$E$13,0,Summary!$E$19/12*Financing!BY14)</f>
        <v>100000</v>
      </c>
      <c r="BZ17" s="140">
        <f>IF(BZ12=Summary!$E$13,0,Summary!$E$19/12*Financing!BZ14)</f>
        <v>100000</v>
      </c>
      <c r="CA17" s="140">
        <f>IF(CA12=Summary!$E$13,0,Summary!$E$19/12*Financing!CA14)</f>
        <v>100000</v>
      </c>
      <c r="CB17" s="140">
        <f>IF(CB12=Summary!$E$13,0,Summary!$E$19/12*Financing!CB14)</f>
        <v>100000</v>
      </c>
      <c r="CC17" s="140">
        <f>IF(CC12=Summary!$E$13,0,Summary!$E$19/12*Financing!CC14)</f>
        <v>100000</v>
      </c>
      <c r="CD17" s="140">
        <f>IF(CD12=Summary!$E$13,0,Summary!$E$19/12*Financing!CD14)</f>
        <v>100000</v>
      </c>
      <c r="CE17" s="140">
        <f>IF(CE12=Summary!$E$13,0,Summary!$E$19/12*Financing!CE14)</f>
        <v>100000</v>
      </c>
      <c r="CF17" s="140">
        <f>IF(CF12=Summary!$E$13,0,Summary!$E$19/12*Financing!CF14)</f>
        <v>100000</v>
      </c>
      <c r="CG17" s="140">
        <f>IF(CG12=Summary!$E$13,0,Summary!$E$19/12*Financing!CG14)</f>
        <v>100000</v>
      </c>
      <c r="CH17" s="140">
        <f>IF(CH12=Summary!$E$13,0,Summary!$E$19/12*Financing!CH14)</f>
        <v>100000</v>
      </c>
      <c r="CI17" s="140">
        <f>IF(CI12=Summary!$E$13,0,Summary!$E$19/12*Financing!CI14)</f>
        <v>100000</v>
      </c>
      <c r="CJ17" s="140">
        <f>IF(CJ12=Summary!$E$13,0,Summary!$E$19/12*Financing!CJ14)</f>
        <v>100000</v>
      </c>
      <c r="CK17" s="140">
        <f>IF(CK12=Summary!$E$13,0,Summary!$E$19/12*Financing!CK14)</f>
        <v>100000</v>
      </c>
      <c r="CL17" s="140">
        <f>IF(CL12=Summary!$E$13,0,Summary!$E$19/12*Financing!CL14)</f>
        <v>100000</v>
      </c>
      <c r="CM17" s="140">
        <f>IF(CM12=Summary!$E$13,0,Summary!$E$19/12*Financing!CM14)</f>
        <v>100000</v>
      </c>
      <c r="CN17" s="140">
        <f>IF(CN12=Summary!$E$13,0,Summary!$E$19/12*Financing!CN14)</f>
        <v>100000</v>
      </c>
      <c r="CO17" s="140">
        <f>IF(CO12=Summary!$E$13,0,Summary!$E$19/12*Financing!CO14)</f>
        <v>100000</v>
      </c>
      <c r="CP17" s="140">
        <f>IF(CP12=Summary!$E$13,0,Summary!$E$19/12*Financing!CP14)</f>
        <v>100000</v>
      </c>
      <c r="CQ17" s="140">
        <f>IF(CQ12=Summary!$E$13,0,Summary!$E$19/12*Financing!CQ14)</f>
        <v>100000</v>
      </c>
      <c r="CR17" s="140">
        <f>IF(CR12=Summary!$E$13,0,Summary!$E$19/12*Financing!CR14)</f>
        <v>100000</v>
      </c>
      <c r="CS17" s="140">
        <f>IF(CS12=Summary!$E$13,0,Summary!$E$19/12*Financing!CS14)</f>
        <v>100000</v>
      </c>
      <c r="CT17" s="140">
        <f>IF(CT12=Summary!$E$13,0,Summary!$E$19/12*Financing!CT14)</f>
        <v>100000</v>
      </c>
      <c r="CU17" s="140">
        <f>IF(CU12=Summary!$E$13,0,Summary!$E$19/12*Financing!CU14)</f>
        <v>100000</v>
      </c>
      <c r="CV17" s="140">
        <f>IF(CV12=Summary!$E$13,0,Summary!$E$19/12*Financing!CV14)</f>
        <v>99855.918037867872</v>
      </c>
      <c r="CW17" s="140">
        <f>IF(CW12=Summary!$E$13,0,Summary!$E$19/12*Financing!CW14)</f>
        <v>99711.355802528647</v>
      </c>
      <c r="CX17" s="140">
        <f>IF(CX12=Summary!$E$13,0,Summary!$E$19/12*Financing!CX14)</f>
        <v>99566.311693071606</v>
      </c>
      <c r="CY17" s="140">
        <f>IF(CY12=Summary!$E$13,0,Summary!$E$19/12*Financing!CY14)</f>
        <v>99420.784103249709</v>
      </c>
      <c r="CZ17" s="140">
        <f>IF(CZ12=Summary!$E$13,0,Summary!$E$19/12*Financing!CZ14)</f>
        <v>99274.771421461759</v>
      </c>
      <c r="DA17" s="140">
        <f>IF(DA12=Summary!$E$13,0,Summary!$E$19/12*Financing!DA14)</f>
        <v>99128.272030734501</v>
      </c>
      <c r="DB17" s="140">
        <f>IF(DB12=Summary!$E$13,0,Summary!$E$19/12*Financing!DB14)</f>
        <v>98981.284308704824</v>
      </c>
      <c r="DC17" s="140">
        <f>IF(DC12=Summary!$E$13,0,Summary!$E$19/12*Financing!DC14)</f>
        <v>98833.80662760172</v>
      </c>
      <c r="DD17" s="140">
        <f>IF(DD12=Summary!$E$13,0,Summary!$E$19/12*Financing!DD14)</f>
        <v>98685.83735422825</v>
      </c>
      <c r="DE17" s="140">
        <f>IF(DE12=Summary!$E$13,0,Summary!$E$19/12*Financing!DE14)</f>
        <v>98537.374849943546</v>
      </c>
      <c r="DF17" s="140">
        <f>IF(DF12=Summary!$E$13,0,Summary!$E$19/12*Financing!DF14)</f>
        <v>98388.417470644563</v>
      </c>
      <c r="DG17" s="140">
        <f>IF(DG12=Summary!$E$13,0,Summary!$E$19/12*Financing!DG14)</f>
        <v>98238.963566747916</v>
      </c>
      <c r="DH17" s="140">
        <f>IF(DH12=Summary!$E$13,0,Summary!$E$19/12*Financing!DH14)</f>
        <v>98089.01148317162</v>
      </c>
      <c r="DI17" s="140">
        <f>IF(DI12=Summary!$E$13,0,Summary!$E$19/12*Financing!DI14)</f>
        <v>97938.559559316738</v>
      </c>
      <c r="DJ17" s="140">
        <f>IF(DJ12=Summary!$E$13,0,Summary!$E$19/12*Financing!DJ14)</f>
        <v>97787.606129049003</v>
      </c>
      <c r="DK17" s="140">
        <f>IF(DK12=Summary!$E$13,0,Summary!$E$19/12*Financing!DK14)</f>
        <v>97636.149520680381</v>
      </c>
      <c r="DL17" s="140">
        <f>IF(DL12=Summary!$E$13,0,Summary!$E$19/12*Financing!DL14)</f>
        <v>97484.188056950516</v>
      </c>
      <c r="DM17" s="140">
        <f>IF(DM12=Summary!$E$13,0,Summary!$E$19/12*Financing!DM14)</f>
        <v>97331.72005500822</v>
      </c>
      <c r="DN17" s="140">
        <f>IF(DN12=Summary!$E$13,0,Summary!$E$19/12*Financing!DN14)</f>
        <v>97178.743826392791</v>
      </c>
      <c r="DO17" s="140">
        <f>IF(DO12=Summary!$E$13,0,Summary!$E$19/12*Financing!DO14)</f>
        <v>97025.25767701531</v>
      </c>
      <c r="DP17" s="140">
        <f>IF(DP12=Summary!$E$13,0,Summary!$E$19/12*Financing!DP14)</f>
        <v>96871.259907139902</v>
      </c>
      <c r="DQ17" s="140">
        <f>IF(DQ12=Summary!$E$13,0,Summary!$E$19/12*Financing!DQ14)</f>
        <v>96716.748811364916</v>
      </c>
      <c r="DR17" s="140">
        <f>IF(DR12=Summary!$E$13,0,Summary!$E$19/12*Financing!DR14)</f>
        <v>96561.722678604012</v>
      </c>
      <c r="DS17" s="140">
        <f>IF(DS12=Summary!$E$13,0,Summary!$E$19/12*Financing!DS14)</f>
        <v>0</v>
      </c>
      <c r="DT17" s="140">
        <f>IF(DT12=Summary!$E$13,0,Summary!$E$19/12*Financing!DT14)</f>
        <v>0</v>
      </c>
      <c r="DU17" s="140">
        <f>IF(DU12=Summary!$E$13,0,Summary!$E$19/12*Financing!DU14)</f>
        <v>0</v>
      </c>
      <c r="DV17" s="140">
        <f>IF(DV12=Summary!$E$13,0,Summary!$E$19/12*Financing!DV14)</f>
        <v>0</v>
      </c>
      <c r="DW17" s="140">
        <f>IF(DW12=Summary!$E$13,0,Summary!$E$19/12*Financing!DW14)</f>
        <v>0</v>
      </c>
      <c r="DX17" s="140">
        <f>IF(DX12=Summary!$E$13,0,Summary!$E$19/12*Financing!DX14)</f>
        <v>0</v>
      </c>
      <c r="DY17" s="140">
        <f>IF(DY12=Summary!$E$13,0,Summary!$E$19/12*Financing!DY14)</f>
        <v>0</v>
      </c>
      <c r="DZ17" s="140">
        <f>IF(DZ12=Summary!$E$13,0,Summary!$E$19/12*Financing!DZ14)</f>
        <v>0</v>
      </c>
      <c r="EA17" s="140">
        <f>IF(EA12=Summary!$E$13,0,Summary!$E$19/12*Financing!EA14)</f>
        <v>0</v>
      </c>
      <c r="EB17" s="140">
        <f>IF(EB12=Summary!$E$13,0,Summary!$E$19/12*Financing!EB14)</f>
        <v>0</v>
      </c>
      <c r="EC17" s="140">
        <f>IF(EC12=Summary!$E$13,0,Summary!$E$19/12*Financing!EC14)</f>
        <v>0</v>
      </c>
      <c r="ED17" s="141">
        <f>IF(ED12=Summary!$E$13,0,Summary!$E$19/12*Financing!ED14)</f>
        <v>0</v>
      </c>
    </row>
    <row r="18" spans="1:134" x14ac:dyDescent="0.35">
      <c r="A18" s="139">
        <f t="shared" si="22"/>
        <v>-28921853.937620167</v>
      </c>
      <c r="B18" s="5" t="s">
        <v>166</v>
      </c>
      <c r="C18" s="140">
        <f>IF(C12=Summary!$K$19,-Financing!C14+Financing!C16,0)</f>
        <v>0</v>
      </c>
      <c r="D18" s="140">
        <f>IF(D12=Summary!$K$19,-Financing!D14+Financing!D16,0)</f>
        <v>0</v>
      </c>
      <c r="E18" s="140">
        <f>IF(E12=Summary!$K$19,-Financing!E14+Financing!E16,0)</f>
        <v>0</v>
      </c>
      <c r="F18" s="140">
        <f>IF(F12=Summary!$K$19,-Financing!F14+Financing!F16,0)</f>
        <v>0</v>
      </c>
      <c r="G18" s="140">
        <f>IF(G12=Summary!$K$19,-Financing!G14+Financing!G16,0)</f>
        <v>0</v>
      </c>
      <c r="H18" s="140">
        <f>IF(H12=Summary!$K$19,-Financing!H14+Financing!H16,0)</f>
        <v>0</v>
      </c>
      <c r="I18" s="140">
        <f>IF(I12=Summary!$K$19,-Financing!I14+Financing!I16,0)</f>
        <v>0</v>
      </c>
      <c r="J18" s="140">
        <f>IF(J12=Summary!$K$19,-Financing!J14+Financing!J16,0)</f>
        <v>0</v>
      </c>
      <c r="K18" s="140">
        <f>IF(K12=Summary!$K$19,-Financing!K14+Financing!K16,0)</f>
        <v>0</v>
      </c>
      <c r="L18" s="140">
        <f>IF(L12=Summary!$K$19,-Financing!L14+Financing!L16,0)</f>
        <v>0</v>
      </c>
      <c r="M18" s="140">
        <f>IF(M12=Summary!$K$19,-Financing!M14+Financing!M16,0)</f>
        <v>0</v>
      </c>
      <c r="N18" s="140">
        <f>IF(N12=Summary!$K$19,-Financing!N14+Financing!N16,0)</f>
        <v>0</v>
      </c>
      <c r="O18" s="140">
        <f>IF(O12=Summary!$K$19,-Financing!O14+Financing!O16,0)</f>
        <v>0</v>
      </c>
      <c r="P18" s="140">
        <f>IF(P12=Summary!$K$19,-Financing!P14+Financing!P16,0)</f>
        <v>0</v>
      </c>
      <c r="Q18" s="140">
        <f>IF(Q12=Summary!$K$19,-Financing!Q14+Financing!Q16,0)</f>
        <v>0</v>
      </c>
      <c r="R18" s="140">
        <f>IF(R12=Summary!$K$19,-Financing!R14+Financing!R16,0)</f>
        <v>0</v>
      </c>
      <c r="S18" s="140">
        <f>IF(S12=Summary!$K$19,-Financing!S14+Financing!S16,0)</f>
        <v>0</v>
      </c>
      <c r="T18" s="140">
        <f>IF(T12=Summary!$K$19,-Financing!T14+Financing!T16,0)</f>
        <v>0</v>
      </c>
      <c r="U18" s="140">
        <f>IF(U12=Summary!$K$19,-Financing!U14+Financing!U16,0)</f>
        <v>0</v>
      </c>
      <c r="V18" s="140">
        <f>IF(V12=Summary!$K$19,-Financing!V14+Financing!V16,0)</f>
        <v>0</v>
      </c>
      <c r="W18" s="140">
        <f>IF(W12=Summary!$K$19,-Financing!W14+Financing!W16,0)</f>
        <v>0</v>
      </c>
      <c r="X18" s="140">
        <f>IF(X12=Summary!$K$19,-Financing!X14+Financing!X16,0)</f>
        <v>0</v>
      </c>
      <c r="Y18" s="140">
        <f>IF(Y12=Summary!$K$19,-Financing!Y14+Financing!Y16,0)</f>
        <v>0</v>
      </c>
      <c r="Z18" s="140">
        <f>IF(Z12=Summary!$K$19,-Financing!Z14+Financing!Z16,0)</f>
        <v>0</v>
      </c>
      <c r="AA18" s="140">
        <f>IF(AA12=Summary!$K$19,-Financing!AA14+Financing!AA16,0)</f>
        <v>0</v>
      </c>
      <c r="AB18" s="140">
        <f>IF(AB12=Summary!$K$19,-Financing!AB14+Financing!AB16,0)</f>
        <v>0</v>
      </c>
      <c r="AC18" s="140">
        <f>IF(AC12=Summary!$K$19,-Financing!AC14+Financing!AC16,0)</f>
        <v>0</v>
      </c>
      <c r="AD18" s="140">
        <f>IF(AD12=Summary!$K$19,-Financing!AD14+Financing!AD16,0)</f>
        <v>0</v>
      </c>
      <c r="AE18" s="140">
        <f>IF(AE12=Summary!$K$19,-Financing!AE14+Financing!AE16,0)</f>
        <v>0</v>
      </c>
      <c r="AF18" s="140">
        <f>IF(AF12=Summary!$K$19,-Financing!AF14+Financing!AF16,0)</f>
        <v>0</v>
      </c>
      <c r="AG18" s="140">
        <f>IF(AG12=Summary!$K$19,-Financing!AG14+Financing!AG16,0)</f>
        <v>0</v>
      </c>
      <c r="AH18" s="140">
        <f>IF(AH12=Summary!$K$19,-Financing!AH14+Financing!AH16,0)</f>
        <v>0</v>
      </c>
      <c r="AI18" s="140">
        <f>IF(AI12=Summary!$K$19,-Financing!AI14+Financing!AI16,0)</f>
        <v>0</v>
      </c>
      <c r="AJ18" s="140">
        <f>IF(AJ12=Summary!$K$19,-Financing!AJ14+Financing!AJ16,0)</f>
        <v>0</v>
      </c>
      <c r="AK18" s="140">
        <f>IF(AK12=Summary!$K$19,-Financing!AK14+Financing!AK16,0)</f>
        <v>0</v>
      </c>
      <c r="AL18" s="140">
        <f>IF(AL12=Summary!$K$19,-Financing!AL14+Financing!AL16,0)</f>
        <v>0</v>
      </c>
      <c r="AM18" s="140">
        <f>IF(AM12=Summary!$K$19,-Financing!AM14+Financing!AM16,0)</f>
        <v>0</v>
      </c>
      <c r="AN18" s="140">
        <f>IF(AN12=Summary!$K$19,-Financing!AN14+Financing!AN16,0)</f>
        <v>0</v>
      </c>
      <c r="AO18" s="140">
        <f>IF(AO12=Summary!$K$19,-Financing!AO14+Financing!AO16,0)</f>
        <v>0</v>
      </c>
      <c r="AP18" s="140">
        <f>IF(AP12=Summary!$K$19,-Financing!AP14+Financing!AP16,0)</f>
        <v>0</v>
      </c>
      <c r="AQ18" s="140">
        <f>IF(AQ12=Summary!$K$19,-Financing!AQ14+Financing!AQ16,0)</f>
        <v>0</v>
      </c>
      <c r="AR18" s="140">
        <f>IF(AR12=Summary!$K$19,-Financing!AR14+Financing!AR16,0)</f>
        <v>0</v>
      </c>
      <c r="AS18" s="140">
        <f>IF(AS12=Summary!$K$19,-Financing!AS14+Financing!AS16,0)</f>
        <v>0</v>
      </c>
      <c r="AT18" s="140">
        <f>IF(AT12=Summary!$K$19,-Financing!AT14+Financing!AT16,0)</f>
        <v>0</v>
      </c>
      <c r="AU18" s="140">
        <f>IF(AU12=Summary!$K$19,-Financing!AU14+Financing!AU16,0)</f>
        <v>0</v>
      </c>
      <c r="AV18" s="140">
        <f>IF(AV12=Summary!$K$19,-Financing!AV14+Financing!AV16,0)</f>
        <v>0</v>
      </c>
      <c r="AW18" s="140">
        <f>IF(AW12=Summary!$K$19,-Financing!AW14+Financing!AW16,0)</f>
        <v>0</v>
      </c>
      <c r="AX18" s="140">
        <f>IF(AX12=Summary!$K$19,-Financing!AX14+Financing!AX16,0)</f>
        <v>0</v>
      </c>
      <c r="AY18" s="140">
        <f>IF(AY12=Summary!$K$19,-Financing!AY14+Financing!AY16,0)</f>
        <v>0</v>
      </c>
      <c r="AZ18" s="140">
        <f>IF(AZ12=Summary!$K$19,-Financing!AZ14+Financing!AZ16,0)</f>
        <v>0</v>
      </c>
      <c r="BA18" s="140">
        <f>IF(BA12=Summary!$K$19,-Financing!BA14+Financing!BA16,0)</f>
        <v>0</v>
      </c>
      <c r="BB18" s="140">
        <f>IF(BB12=Summary!$K$19,-Financing!BB14+Financing!BB16,0)</f>
        <v>0</v>
      </c>
      <c r="BC18" s="140">
        <f>IF(BC12=Summary!$K$19,-Financing!BC14+Financing!BC16,0)</f>
        <v>0</v>
      </c>
      <c r="BD18" s="140">
        <f>IF(BD12=Summary!$K$19,-Financing!BD14+Financing!BD16,0)</f>
        <v>0</v>
      </c>
      <c r="BE18" s="140">
        <f>IF(BE12=Summary!$K$19,-Financing!BE14+Financing!BE16,0)</f>
        <v>0</v>
      </c>
      <c r="BF18" s="140">
        <f>IF(BF12=Summary!$K$19,-Financing!BF14+Financing!BF16,0)</f>
        <v>0</v>
      </c>
      <c r="BG18" s="140">
        <f>IF(BG12=Summary!$K$19,-Financing!BG14+Financing!BG16,0)</f>
        <v>0</v>
      </c>
      <c r="BH18" s="140">
        <f>IF(BH12=Summary!$K$19,-Financing!BH14+Financing!BH16,0)</f>
        <v>0</v>
      </c>
      <c r="BI18" s="140">
        <f>IF(BI12=Summary!$K$19,-Financing!BI14+Financing!BI16,0)</f>
        <v>0</v>
      </c>
      <c r="BJ18" s="140">
        <f>IF(BJ12=Summary!$K$19,-Financing!BJ14+Financing!BJ16,0)</f>
        <v>0</v>
      </c>
      <c r="BK18" s="140">
        <f>IF(BK12=Summary!$K$19,-Financing!BK14+Financing!BK16,0)</f>
        <v>0</v>
      </c>
      <c r="BL18" s="140">
        <f>IF(BL12=Summary!$K$19,-Financing!BL14+Financing!BL16,0)</f>
        <v>0</v>
      </c>
      <c r="BM18" s="140">
        <f>IF(BM12=Summary!$K$19,-Financing!BM14+Financing!BM16,0)</f>
        <v>0</v>
      </c>
      <c r="BN18" s="140">
        <f>IF(BN12=Summary!$K$19,-Financing!BN14+Financing!BN16,0)</f>
        <v>0</v>
      </c>
      <c r="BO18" s="140">
        <f>IF(BO12=Summary!$K$19,-Financing!BO14+Financing!BO16,0)</f>
        <v>0</v>
      </c>
      <c r="BP18" s="140">
        <f>IF(BP12=Summary!$K$19,-Financing!BP14+Financing!BP16,0)</f>
        <v>0</v>
      </c>
      <c r="BQ18" s="140">
        <f>IF(BQ12=Summary!$K$19,-Financing!BQ14+Financing!BQ16,0)</f>
        <v>0</v>
      </c>
      <c r="BR18" s="140">
        <f>IF(BR12=Summary!$K$19,-Financing!BR14+Financing!BR16,0)</f>
        <v>0</v>
      </c>
      <c r="BS18" s="140">
        <f>IF(BS12=Summary!$K$19,-Financing!BS14+Financing!BS16,0)</f>
        <v>0</v>
      </c>
      <c r="BT18" s="140">
        <f>IF(BT12=Summary!$K$19,-Financing!BT14+Financing!BT16,0)</f>
        <v>0</v>
      </c>
      <c r="BU18" s="140">
        <f>IF(BU12=Summary!$K$19,-Financing!BU14+Financing!BU16,0)</f>
        <v>0</v>
      </c>
      <c r="BV18" s="140">
        <f>IF(BV12=Summary!$K$19,-Financing!BV14+Financing!BV16,0)</f>
        <v>0</v>
      </c>
      <c r="BW18" s="140">
        <f>IF(BW12=Summary!$K$19,-Financing!BW14+Financing!BW16,0)</f>
        <v>0</v>
      </c>
      <c r="BX18" s="140">
        <f>IF(BX12=Summary!$K$19,-Financing!BX14+Financing!BX16,0)</f>
        <v>0</v>
      </c>
      <c r="BY18" s="140">
        <f>IF(BY12=Summary!$K$19,-Financing!BY14+Financing!BY16,0)</f>
        <v>0</v>
      </c>
      <c r="BZ18" s="140">
        <f>IF(BZ12=Summary!$K$19,-Financing!BZ14+Financing!BZ16,0)</f>
        <v>0</v>
      </c>
      <c r="CA18" s="140">
        <f>IF(CA12=Summary!$K$19,-Financing!CA14+Financing!CA16,0)</f>
        <v>0</v>
      </c>
      <c r="CB18" s="140">
        <f>IF(CB12=Summary!$K$19,-Financing!CB14+Financing!CB16,0)</f>
        <v>0</v>
      </c>
      <c r="CC18" s="140">
        <f>IF(CC12=Summary!$K$19,-Financing!CC14+Financing!CC16,0)</f>
        <v>0</v>
      </c>
      <c r="CD18" s="140">
        <f>IF(CD12=Summary!$K$19,-Financing!CD14+Financing!CD16,0)</f>
        <v>0</v>
      </c>
      <c r="CE18" s="140">
        <f>IF(CE12=Summary!$K$19,-Financing!CE14+Financing!CE16,0)</f>
        <v>0</v>
      </c>
      <c r="CF18" s="140">
        <f>IF(CF12=Summary!$K$19,-Financing!CF14+Financing!CF16,0)</f>
        <v>0</v>
      </c>
      <c r="CG18" s="140">
        <f>IF(CG12=Summary!$K$19,-Financing!CG14+Financing!CG16,0)</f>
        <v>0</v>
      </c>
      <c r="CH18" s="140">
        <f>IF(CH12=Summary!$K$19,-Financing!CH14+Financing!CH16,0)</f>
        <v>0</v>
      </c>
      <c r="CI18" s="140">
        <f>IF(CI12=Summary!$K$19,-Financing!CI14+Financing!CI16,0)</f>
        <v>0</v>
      </c>
      <c r="CJ18" s="140">
        <f>IF(CJ12=Summary!$K$19,-Financing!CJ14+Financing!CJ16,0)</f>
        <v>0</v>
      </c>
      <c r="CK18" s="140">
        <f>IF(CK12=Summary!$K$19,-Financing!CK14+Financing!CK16,0)</f>
        <v>0</v>
      </c>
      <c r="CL18" s="140">
        <f>IF(CL12=Summary!$K$19,-Financing!CL14+Financing!CL16,0)</f>
        <v>0</v>
      </c>
      <c r="CM18" s="140">
        <f>IF(CM12=Summary!$K$19,-Financing!CM14+Financing!CM16,0)</f>
        <v>0</v>
      </c>
      <c r="CN18" s="140">
        <f>IF(CN12=Summary!$K$19,-Financing!CN14+Financing!CN16,0)</f>
        <v>0</v>
      </c>
      <c r="CO18" s="140">
        <f>IF(CO12=Summary!$K$19,-Financing!CO14+Financing!CO16,0)</f>
        <v>0</v>
      </c>
      <c r="CP18" s="140">
        <f>IF(CP12=Summary!$K$19,-Financing!CP14+Financing!CP16,0)</f>
        <v>0</v>
      </c>
      <c r="CQ18" s="140">
        <f>IF(CQ12=Summary!$K$19,-Financing!CQ14+Financing!CQ16,0)</f>
        <v>0</v>
      </c>
      <c r="CR18" s="140">
        <f>IF(CR12=Summary!$K$19,-Financing!CR14+Financing!CR16,0)</f>
        <v>0</v>
      </c>
      <c r="CS18" s="140">
        <f>IF(CS12=Summary!$K$19,-Financing!CS14+Financing!CS16,0)</f>
        <v>0</v>
      </c>
      <c r="CT18" s="140">
        <f>IF(CT12=Summary!$K$19,-Financing!CT14+Financing!CT16,0)</f>
        <v>0</v>
      </c>
      <c r="CU18" s="140">
        <f>IF(CU12=Summary!$K$19,-Financing!CU14+Financing!CU16,0)</f>
        <v>0</v>
      </c>
      <c r="CV18" s="140">
        <f>IF(CV12=Summary!$K$19,-Financing!CV14+Financing!CV16,0)</f>
        <v>0</v>
      </c>
      <c r="CW18" s="140">
        <f>IF(CW12=Summary!$K$19,-Financing!CW14+Financing!CW16,0)</f>
        <v>0</v>
      </c>
      <c r="CX18" s="140">
        <f>IF(CX12=Summary!$K$19,-Financing!CX14+Financing!CX16,0)</f>
        <v>0</v>
      </c>
      <c r="CY18" s="140">
        <f>IF(CY12=Summary!$K$19,-Financing!CY14+Financing!CY16,0)</f>
        <v>0</v>
      </c>
      <c r="CZ18" s="140">
        <f>IF(CZ12=Summary!$K$19,-Financing!CZ14+Financing!CZ16,0)</f>
        <v>0</v>
      </c>
      <c r="DA18" s="140">
        <f>IF(DA12=Summary!$K$19,-Financing!DA14+Financing!DA16,0)</f>
        <v>0</v>
      </c>
      <c r="DB18" s="140">
        <f>IF(DB12=Summary!$K$19,-Financing!DB14+Financing!DB16,0)</f>
        <v>0</v>
      </c>
      <c r="DC18" s="140">
        <f>IF(DC12=Summary!$K$19,-Financing!DC14+Financing!DC16,0)</f>
        <v>0</v>
      </c>
      <c r="DD18" s="140">
        <f>IF(DD12=Summary!$K$19,-Financing!DD14+Financing!DD16,0)</f>
        <v>0</v>
      </c>
      <c r="DE18" s="140">
        <f>IF(DE12=Summary!$K$19,-Financing!DE14+Financing!DE16,0)</f>
        <v>0</v>
      </c>
      <c r="DF18" s="140">
        <f>IF(DF12=Summary!$K$19,-Financing!DF14+Financing!DF16,0)</f>
        <v>0</v>
      </c>
      <c r="DG18" s="140">
        <f>IF(DG12=Summary!$K$19,-Financing!DG14+Financing!DG16,0)</f>
        <v>0</v>
      </c>
      <c r="DH18" s="140">
        <f>IF(DH12=Summary!$K$19,-Financing!DH14+Financing!DH16,0)</f>
        <v>0</v>
      </c>
      <c r="DI18" s="140">
        <f>IF(DI12=Summary!$K$19,-Financing!DI14+Financing!DI16,0)</f>
        <v>0</v>
      </c>
      <c r="DJ18" s="140">
        <f>IF(DJ12=Summary!$K$19,-Financing!DJ14+Financing!DJ16,0)</f>
        <v>0</v>
      </c>
      <c r="DK18" s="140">
        <f>IF(DK12=Summary!$K$19,-Financing!DK14+Financing!DK16,0)</f>
        <v>0</v>
      </c>
      <c r="DL18" s="140">
        <f>IF(DL12=Summary!$K$19,-Financing!DL14+Financing!DL16,0)</f>
        <v>0</v>
      </c>
      <c r="DM18" s="140">
        <f>IF(DM12=Summary!$K$19,-Financing!DM14+Financing!DM16,0)</f>
        <v>0</v>
      </c>
      <c r="DN18" s="140">
        <f>IF(DN12=Summary!$K$19,-Financing!DN14+Financing!DN16,0)</f>
        <v>0</v>
      </c>
      <c r="DO18" s="140">
        <f>IF(DO12=Summary!$K$19,-Financing!DO14+Financing!DO16,0)</f>
        <v>0</v>
      </c>
      <c r="DP18" s="140">
        <f>IF(DP12=Summary!$K$19,-Financing!DP14+Financing!DP16,0)</f>
        <v>0</v>
      </c>
      <c r="DQ18" s="140">
        <f>IF(DQ12=Summary!$K$19,-Financing!DQ14+Financing!DQ16,0)</f>
        <v>0</v>
      </c>
      <c r="DR18" s="140">
        <f>IF(DR12=Summary!$K$19,-Financing!DR14+Financing!DR16,0)</f>
        <v>-28921853.937620167</v>
      </c>
      <c r="DS18" s="140">
        <f>IF(DS12=Summary!$K$19,-Financing!DS14+Financing!DS16,0)</f>
        <v>0</v>
      </c>
      <c r="DT18" s="140">
        <f>IF(DT12=Summary!$K$19,-Financing!DT14+Financing!DT16,0)</f>
        <v>0</v>
      </c>
      <c r="DU18" s="140">
        <f>IF(DU12=Summary!$K$19,-Financing!DU14+Financing!DU16,0)</f>
        <v>0</v>
      </c>
      <c r="DV18" s="140">
        <f>IF(DV12=Summary!$K$19,-Financing!DV14+Financing!DV16,0)</f>
        <v>0</v>
      </c>
      <c r="DW18" s="140">
        <f>IF(DW12=Summary!$K$19,-Financing!DW14+Financing!DW16,0)</f>
        <v>0</v>
      </c>
      <c r="DX18" s="140">
        <f>IF(DX12=Summary!$K$19,-Financing!DX14+Financing!DX16,0)</f>
        <v>0</v>
      </c>
      <c r="DY18" s="140">
        <f>IF(DY12=Summary!$K$19,-Financing!DY14+Financing!DY16,0)</f>
        <v>0</v>
      </c>
      <c r="DZ18" s="140">
        <f>IF(DZ12=Summary!$K$19,-Financing!DZ14+Financing!DZ16,0)</f>
        <v>0</v>
      </c>
      <c r="EA18" s="140">
        <f>IF(EA12=Summary!$K$19,-Financing!EA14+Financing!EA16,0)</f>
        <v>0</v>
      </c>
      <c r="EB18" s="140">
        <f>IF(EB12=Summary!$K$19,-Financing!EB14+Financing!EB16,0)</f>
        <v>0</v>
      </c>
      <c r="EC18" s="140">
        <f>IF(EC12=Summary!$K$19,-Financing!EC14+Financing!EC16,0)</f>
        <v>0</v>
      </c>
      <c r="ED18" s="141">
        <f>IF(ED12=Summary!$K$19,-Financing!ED14+Financing!ED16,0)</f>
        <v>0</v>
      </c>
    </row>
    <row r="19" spans="1:134" x14ac:dyDescent="0.35">
      <c r="B19" s="14" t="s">
        <v>167</v>
      </c>
      <c r="C19" s="142">
        <f>C14-C16+C18</f>
        <v>0</v>
      </c>
      <c r="D19" s="142">
        <f t="shared" ref="D19:BO19" si="26">D14-D16+D18</f>
        <v>0</v>
      </c>
      <c r="E19" s="142">
        <f t="shared" si="26"/>
        <v>0</v>
      </c>
      <c r="F19" s="142">
        <f t="shared" si="26"/>
        <v>0</v>
      </c>
      <c r="G19" s="142">
        <f t="shared" si="26"/>
        <v>0</v>
      </c>
      <c r="H19" s="142">
        <f t="shared" si="26"/>
        <v>0</v>
      </c>
      <c r="I19" s="142">
        <f t="shared" si="26"/>
        <v>0</v>
      </c>
      <c r="J19" s="142">
        <f t="shared" si="26"/>
        <v>0</v>
      </c>
      <c r="K19" s="142">
        <f t="shared" si="26"/>
        <v>0</v>
      </c>
      <c r="L19" s="142">
        <f t="shared" si="26"/>
        <v>0</v>
      </c>
      <c r="M19" s="142">
        <f t="shared" si="26"/>
        <v>0</v>
      </c>
      <c r="N19" s="142">
        <f t="shared" si="26"/>
        <v>0</v>
      </c>
      <c r="O19" s="142">
        <f t="shared" si="26"/>
        <v>0</v>
      </c>
      <c r="P19" s="142">
        <f t="shared" si="26"/>
        <v>0</v>
      </c>
      <c r="Q19" s="142">
        <f t="shared" si="26"/>
        <v>0</v>
      </c>
      <c r="R19" s="142">
        <f t="shared" si="26"/>
        <v>0</v>
      </c>
      <c r="S19" s="142">
        <f t="shared" si="26"/>
        <v>0</v>
      </c>
      <c r="T19" s="142">
        <f t="shared" si="26"/>
        <v>0</v>
      </c>
      <c r="U19" s="142">
        <f t="shared" si="26"/>
        <v>0</v>
      </c>
      <c r="V19" s="142">
        <f t="shared" si="26"/>
        <v>0</v>
      </c>
      <c r="W19" s="142">
        <f t="shared" si="26"/>
        <v>0</v>
      </c>
      <c r="X19" s="142">
        <f t="shared" si="26"/>
        <v>0</v>
      </c>
      <c r="Y19" s="142">
        <f t="shared" si="26"/>
        <v>0</v>
      </c>
      <c r="Z19" s="142">
        <f t="shared" si="26"/>
        <v>0</v>
      </c>
      <c r="AA19" s="142">
        <f t="shared" si="26"/>
        <v>0</v>
      </c>
      <c r="AB19" s="142">
        <f t="shared" si="26"/>
        <v>0</v>
      </c>
      <c r="AC19" s="142">
        <f t="shared" si="26"/>
        <v>0</v>
      </c>
      <c r="AD19" s="142">
        <f t="shared" si="26"/>
        <v>0</v>
      </c>
      <c r="AE19" s="142">
        <f t="shared" si="26"/>
        <v>0</v>
      </c>
      <c r="AF19" s="142">
        <f t="shared" si="26"/>
        <v>0</v>
      </c>
      <c r="AG19" s="142">
        <f t="shared" si="26"/>
        <v>0</v>
      </c>
      <c r="AH19" s="142">
        <f t="shared" si="26"/>
        <v>0</v>
      </c>
      <c r="AI19" s="142">
        <f t="shared" si="26"/>
        <v>0</v>
      </c>
      <c r="AJ19" s="142">
        <f t="shared" si="26"/>
        <v>0</v>
      </c>
      <c r="AK19" s="142">
        <f t="shared" si="26"/>
        <v>0</v>
      </c>
      <c r="AL19" s="142">
        <f t="shared" si="26"/>
        <v>0</v>
      </c>
      <c r="AM19" s="142">
        <f t="shared" si="26"/>
        <v>0</v>
      </c>
      <c r="AN19" s="142">
        <f t="shared" si="26"/>
        <v>0</v>
      </c>
      <c r="AO19" s="142">
        <f t="shared" si="26"/>
        <v>0</v>
      </c>
      <c r="AP19" s="142">
        <f t="shared" si="26"/>
        <v>0</v>
      </c>
      <c r="AQ19" s="142">
        <f t="shared" si="26"/>
        <v>0</v>
      </c>
      <c r="AR19" s="142">
        <f t="shared" si="26"/>
        <v>0</v>
      </c>
      <c r="AS19" s="142">
        <f t="shared" si="26"/>
        <v>0</v>
      </c>
      <c r="AT19" s="142">
        <f t="shared" si="26"/>
        <v>0</v>
      </c>
      <c r="AU19" s="142">
        <f t="shared" si="26"/>
        <v>0</v>
      </c>
      <c r="AV19" s="142">
        <f t="shared" si="26"/>
        <v>0</v>
      </c>
      <c r="AW19" s="142">
        <f t="shared" si="26"/>
        <v>0</v>
      </c>
      <c r="AX19" s="142">
        <f t="shared" si="26"/>
        <v>0</v>
      </c>
      <c r="AY19" s="142">
        <f t="shared" si="26"/>
        <v>0</v>
      </c>
      <c r="AZ19" s="142">
        <f t="shared" si="26"/>
        <v>0</v>
      </c>
      <c r="BA19" s="142">
        <f t="shared" si="26"/>
        <v>0</v>
      </c>
      <c r="BB19" s="142">
        <f t="shared" si="26"/>
        <v>0</v>
      </c>
      <c r="BC19" s="142">
        <f t="shared" si="26"/>
        <v>0</v>
      </c>
      <c r="BD19" s="142">
        <f t="shared" si="26"/>
        <v>0</v>
      </c>
      <c r="BE19" s="142">
        <f t="shared" si="26"/>
        <v>0</v>
      </c>
      <c r="BF19" s="142">
        <f t="shared" si="26"/>
        <v>0</v>
      </c>
      <c r="BG19" s="142">
        <f t="shared" si="26"/>
        <v>0</v>
      </c>
      <c r="BH19" s="142">
        <f t="shared" si="26"/>
        <v>0</v>
      </c>
      <c r="BI19" s="142">
        <f t="shared" si="26"/>
        <v>0</v>
      </c>
      <c r="BJ19" s="142">
        <f t="shared" si="26"/>
        <v>30000000</v>
      </c>
      <c r="BK19" s="142">
        <f t="shared" si="26"/>
        <v>30000000</v>
      </c>
      <c r="BL19" s="142">
        <f t="shared" si="26"/>
        <v>30000000</v>
      </c>
      <c r="BM19" s="142">
        <f t="shared" si="26"/>
        <v>30000000</v>
      </c>
      <c r="BN19" s="142">
        <f t="shared" si="26"/>
        <v>30000000</v>
      </c>
      <c r="BO19" s="142">
        <f t="shared" si="26"/>
        <v>30000000</v>
      </c>
      <c r="BP19" s="142">
        <f t="shared" ref="BP19:EA19" si="27">BP14-BP16+BP18</f>
        <v>30000000</v>
      </c>
      <c r="BQ19" s="142">
        <f t="shared" si="27"/>
        <v>30000000</v>
      </c>
      <c r="BR19" s="142">
        <f t="shared" si="27"/>
        <v>30000000</v>
      </c>
      <c r="BS19" s="142">
        <f t="shared" si="27"/>
        <v>30000000</v>
      </c>
      <c r="BT19" s="142">
        <f t="shared" si="27"/>
        <v>30000000</v>
      </c>
      <c r="BU19" s="142">
        <f t="shared" si="27"/>
        <v>30000000</v>
      </c>
      <c r="BV19" s="142">
        <f t="shared" si="27"/>
        <v>30000000</v>
      </c>
      <c r="BW19" s="142">
        <f t="shared" si="27"/>
        <v>30000000</v>
      </c>
      <c r="BX19" s="142">
        <f t="shared" si="27"/>
        <v>30000000</v>
      </c>
      <c r="BY19" s="142">
        <f t="shared" si="27"/>
        <v>30000000</v>
      </c>
      <c r="BZ19" s="142">
        <f t="shared" si="27"/>
        <v>30000000</v>
      </c>
      <c r="CA19" s="142">
        <f t="shared" si="27"/>
        <v>30000000</v>
      </c>
      <c r="CB19" s="142">
        <f t="shared" si="27"/>
        <v>30000000</v>
      </c>
      <c r="CC19" s="142">
        <f t="shared" si="27"/>
        <v>30000000</v>
      </c>
      <c r="CD19" s="142">
        <f t="shared" si="27"/>
        <v>30000000</v>
      </c>
      <c r="CE19" s="142">
        <f t="shared" si="27"/>
        <v>30000000</v>
      </c>
      <c r="CF19" s="142">
        <f t="shared" si="27"/>
        <v>30000000</v>
      </c>
      <c r="CG19" s="142">
        <f t="shared" si="27"/>
        <v>30000000</v>
      </c>
      <c r="CH19" s="142">
        <f t="shared" si="27"/>
        <v>30000000</v>
      </c>
      <c r="CI19" s="142">
        <f t="shared" si="27"/>
        <v>30000000</v>
      </c>
      <c r="CJ19" s="142">
        <f t="shared" si="27"/>
        <v>30000000</v>
      </c>
      <c r="CK19" s="142">
        <f t="shared" si="27"/>
        <v>30000000</v>
      </c>
      <c r="CL19" s="142">
        <f t="shared" si="27"/>
        <v>30000000</v>
      </c>
      <c r="CM19" s="142">
        <f t="shared" si="27"/>
        <v>30000000</v>
      </c>
      <c r="CN19" s="142">
        <f t="shared" si="27"/>
        <v>30000000</v>
      </c>
      <c r="CO19" s="142">
        <f t="shared" si="27"/>
        <v>30000000</v>
      </c>
      <c r="CP19" s="142">
        <f t="shared" si="27"/>
        <v>30000000</v>
      </c>
      <c r="CQ19" s="142">
        <f t="shared" si="27"/>
        <v>30000000</v>
      </c>
      <c r="CR19" s="142">
        <f t="shared" si="27"/>
        <v>30000000</v>
      </c>
      <c r="CS19" s="142">
        <f t="shared" si="27"/>
        <v>30000000</v>
      </c>
      <c r="CT19" s="142">
        <f t="shared" si="27"/>
        <v>30000000</v>
      </c>
      <c r="CU19" s="142">
        <f t="shared" si="27"/>
        <v>29956775.411360361</v>
      </c>
      <c r="CV19" s="142">
        <f t="shared" si="27"/>
        <v>29913406.74075859</v>
      </c>
      <c r="CW19" s="142">
        <f t="shared" si="27"/>
        <v>29869893.50792148</v>
      </c>
      <c r="CX19" s="142">
        <f t="shared" si="27"/>
        <v>29826235.230974913</v>
      </c>
      <c r="CY19" s="142">
        <f t="shared" si="27"/>
        <v>29782431.426438525</v>
      </c>
      <c r="CZ19" s="142">
        <f t="shared" si="27"/>
        <v>29738481.609220348</v>
      </c>
      <c r="DA19" s="142">
        <f t="shared" si="27"/>
        <v>29694385.292611446</v>
      </c>
      <c r="DB19" s="142">
        <f t="shared" si="27"/>
        <v>29650141.988280512</v>
      </c>
      <c r="DC19" s="142">
        <f t="shared" si="27"/>
        <v>29605751.206268474</v>
      </c>
      <c r="DD19" s="142">
        <f t="shared" si="27"/>
        <v>29561212.454983063</v>
      </c>
      <c r="DE19" s="142">
        <f t="shared" si="27"/>
        <v>29516525.241193369</v>
      </c>
      <c r="DF19" s="142">
        <f t="shared" si="27"/>
        <v>29471689.070024375</v>
      </c>
      <c r="DG19" s="142">
        <f t="shared" si="27"/>
        <v>29426703.444951486</v>
      </c>
      <c r="DH19" s="142">
        <f t="shared" si="27"/>
        <v>29381567.86779502</v>
      </c>
      <c r="DI19" s="142">
        <f t="shared" si="27"/>
        <v>29336281.8387147</v>
      </c>
      <c r="DJ19" s="142">
        <f t="shared" si="27"/>
        <v>29290844.856204111</v>
      </c>
      <c r="DK19" s="142">
        <f t="shared" si="27"/>
        <v>29245256.417085152</v>
      </c>
      <c r="DL19" s="142">
        <f t="shared" si="27"/>
        <v>29199516.016502466</v>
      </c>
      <c r="DM19" s="142">
        <f t="shared" si="27"/>
        <v>29153623.147917837</v>
      </c>
      <c r="DN19" s="142">
        <f t="shared" si="27"/>
        <v>29107577.303104591</v>
      </c>
      <c r="DO19" s="142">
        <f t="shared" si="27"/>
        <v>29061377.97214197</v>
      </c>
      <c r="DP19" s="142">
        <f t="shared" si="27"/>
        <v>29015024.643409472</v>
      </c>
      <c r="DQ19" s="142">
        <f t="shared" si="27"/>
        <v>28968516.803581201</v>
      </c>
      <c r="DR19" s="142">
        <f t="shared" si="27"/>
        <v>0</v>
      </c>
      <c r="DS19" s="142">
        <f t="shared" si="27"/>
        <v>0</v>
      </c>
      <c r="DT19" s="142">
        <f t="shared" si="27"/>
        <v>0</v>
      </c>
      <c r="DU19" s="142">
        <f t="shared" si="27"/>
        <v>0</v>
      </c>
      <c r="DV19" s="142">
        <f t="shared" si="27"/>
        <v>0</v>
      </c>
      <c r="DW19" s="142">
        <f t="shared" si="27"/>
        <v>0</v>
      </c>
      <c r="DX19" s="142">
        <f t="shared" si="27"/>
        <v>0</v>
      </c>
      <c r="DY19" s="142">
        <f t="shared" si="27"/>
        <v>0</v>
      </c>
      <c r="DZ19" s="142">
        <f t="shared" si="27"/>
        <v>0</v>
      </c>
      <c r="EA19" s="142">
        <f t="shared" si="27"/>
        <v>0</v>
      </c>
      <c r="EB19" s="142">
        <f t="shared" ref="EB19:ED19" si="28">EB14-EB16+EB18</f>
        <v>0</v>
      </c>
      <c r="EC19" s="142">
        <f t="shared" si="28"/>
        <v>0</v>
      </c>
      <c r="ED19" s="143">
        <f t="shared" si="28"/>
        <v>0</v>
      </c>
    </row>
  </sheetData>
  <conditionalFormatting sqref="A2">
    <cfRule type="containsText" dxfId="3" priority="3" operator="containsText" text="ERROR">
      <formula>NOT(ISERROR(SEARCH("ERROR",A2)))</formula>
    </cfRule>
    <cfRule type="containsText" dxfId="2" priority="4" operator="containsText" text="OK">
      <formula>NOT(ISERROR(SEARCH("OK",A2)))</formula>
    </cfRule>
  </conditionalFormatting>
  <conditionalFormatting sqref="A12">
    <cfRule type="containsText" dxfId="1" priority="1" operator="containsText" text="ERROR">
      <formula>NOT(ISERROR(SEARCH("ERROR",A12)))</formula>
    </cfRule>
    <cfRule type="containsText" dxfId="0" priority="2" operator="containsText" text="OK">
      <formula>NOT(ISERROR(SEARCH("OK",A12)))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E826-D464-4B00-9B30-400A8913E727}">
  <dimension ref="A1:EE70"/>
  <sheetViews>
    <sheetView showGridLines="0" zoomScale="71" workbookViewId="0">
      <pane xSplit="2" ySplit="3" topLeftCell="CC4" activePane="bottomRight" state="frozen"/>
      <selection pane="topRight" activeCell="C1" sqref="C1"/>
      <selection pane="bottomLeft" activeCell="A4" sqref="A4"/>
      <selection pane="bottomRight" activeCell="CC6" sqref="CC6"/>
    </sheetView>
  </sheetViews>
  <sheetFormatPr defaultColWidth="8.81640625" defaultRowHeight="13.5" x14ac:dyDescent="0.35"/>
  <cols>
    <col min="1" max="1" width="12.08984375" style="1" bestFit="1" customWidth="1"/>
    <col min="2" max="2" width="28.36328125" style="1" bestFit="1" customWidth="1"/>
    <col min="3" max="3" width="12.81640625" style="1" bestFit="1" customWidth="1"/>
    <col min="4" max="11" width="10.08984375" style="1" bestFit="1" customWidth="1"/>
    <col min="12" max="14" width="11.1796875" style="1" bestFit="1" customWidth="1"/>
    <col min="15" max="23" width="10.08984375" style="1" bestFit="1" customWidth="1"/>
    <col min="24" max="26" width="11.1796875" style="1" bestFit="1" customWidth="1"/>
    <col min="27" max="35" width="10.08984375" style="1" bestFit="1" customWidth="1"/>
    <col min="36" max="38" width="11.1796875" style="1" bestFit="1" customWidth="1"/>
    <col min="39" max="47" width="10.08984375" style="1" bestFit="1" customWidth="1"/>
    <col min="48" max="50" width="11.1796875" style="1" bestFit="1" customWidth="1"/>
    <col min="51" max="59" width="10.08984375" style="1" bestFit="1" customWidth="1"/>
    <col min="60" max="62" width="11.1796875" style="1" bestFit="1" customWidth="1"/>
    <col min="63" max="63" width="11.54296875" style="1" bestFit="1" customWidth="1"/>
    <col min="64" max="71" width="10.08984375" style="1" bestFit="1" customWidth="1"/>
    <col min="72" max="74" width="11.1796875" style="1" bestFit="1" customWidth="1"/>
    <col min="75" max="83" width="10.08984375" style="1" bestFit="1" customWidth="1"/>
    <col min="84" max="86" width="11.1796875" style="1" bestFit="1" customWidth="1"/>
    <col min="87" max="95" width="10.08984375" style="1" bestFit="1" customWidth="1"/>
    <col min="96" max="98" width="11.1796875" style="1" bestFit="1" customWidth="1"/>
    <col min="99" max="107" width="10.08984375" style="1" bestFit="1" customWidth="1"/>
    <col min="108" max="110" width="11.1796875" style="1" bestFit="1" customWidth="1"/>
    <col min="111" max="119" width="10.08984375" style="1" bestFit="1" customWidth="1"/>
    <col min="120" max="122" width="11.1796875" style="1" bestFit="1" customWidth="1"/>
    <col min="123" max="123" width="12.1796875" style="1" bestFit="1" customWidth="1"/>
    <col min="124" max="131" width="10.08984375" style="1" bestFit="1" customWidth="1"/>
    <col min="132" max="134" width="11.1796875" style="1" bestFit="1" customWidth="1"/>
    <col min="135" max="135" width="10.08984375" style="1" bestFit="1" customWidth="1"/>
    <col min="136" max="16384" width="8.81640625" style="1"/>
  </cols>
  <sheetData>
    <row r="1" spans="1:135" x14ac:dyDescent="0.35">
      <c r="B1" s="145" t="s">
        <v>160</v>
      </c>
      <c r="C1" s="151">
        <v>0</v>
      </c>
      <c r="D1" s="147">
        <v>1</v>
      </c>
      <c r="E1" s="147">
        <f>D1+1</f>
        <v>2</v>
      </c>
      <c r="F1" s="147">
        <f t="shared" ref="F1:BQ1" si="0">E1+1</f>
        <v>3</v>
      </c>
      <c r="G1" s="147">
        <f t="shared" si="0"/>
        <v>4</v>
      </c>
      <c r="H1" s="147">
        <f t="shared" si="0"/>
        <v>5</v>
      </c>
      <c r="I1" s="147">
        <f t="shared" si="0"/>
        <v>6</v>
      </c>
      <c r="J1" s="147">
        <f t="shared" si="0"/>
        <v>7</v>
      </c>
      <c r="K1" s="147">
        <f t="shared" si="0"/>
        <v>8</v>
      </c>
      <c r="L1" s="147">
        <f t="shared" si="0"/>
        <v>9</v>
      </c>
      <c r="M1" s="147">
        <f t="shared" si="0"/>
        <v>10</v>
      </c>
      <c r="N1" s="147">
        <f t="shared" si="0"/>
        <v>11</v>
      </c>
      <c r="O1" s="147">
        <f t="shared" si="0"/>
        <v>12</v>
      </c>
      <c r="P1" s="147">
        <f t="shared" si="0"/>
        <v>13</v>
      </c>
      <c r="Q1" s="147">
        <f t="shared" si="0"/>
        <v>14</v>
      </c>
      <c r="R1" s="147">
        <f t="shared" si="0"/>
        <v>15</v>
      </c>
      <c r="S1" s="147">
        <f t="shared" si="0"/>
        <v>16</v>
      </c>
      <c r="T1" s="147">
        <f t="shared" si="0"/>
        <v>17</v>
      </c>
      <c r="U1" s="147">
        <f t="shared" si="0"/>
        <v>18</v>
      </c>
      <c r="V1" s="147">
        <f t="shared" si="0"/>
        <v>19</v>
      </c>
      <c r="W1" s="147">
        <f t="shared" si="0"/>
        <v>20</v>
      </c>
      <c r="X1" s="147">
        <f t="shared" si="0"/>
        <v>21</v>
      </c>
      <c r="Y1" s="147">
        <f t="shared" si="0"/>
        <v>22</v>
      </c>
      <c r="Z1" s="147">
        <f t="shared" si="0"/>
        <v>23</v>
      </c>
      <c r="AA1" s="147">
        <f t="shared" si="0"/>
        <v>24</v>
      </c>
      <c r="AB1" s="147">
        <f t="shared" si="0"/>
        <v>25</v>
      </c>
      <c r="AC1" s="147">
        <f t="shared" si="0"/>
        <v>26</v>
      </c>
      <c r="AD1" s="147">
        <f t="shared" si="0"/>
        <v>27</v>
      </c>
      <c r="AE1" s="147">
        <f t="shared" si="0"/>
        <v>28</v>
      </c>
      <c r="AF1" s="147">
        <f t="shared" si="0"/>
        <v>29</v>
      </c>
      <c r="AG1" s="147">
        <f t="shared" si="0"/>
        <v>30</v>
      </c>
      <c r="AH1" s="147">
        <f t="shared" si="0"/>
        <v>31</v>
      </c>
      <c r="AI1" s="147">
        <f t="shared" si="0"/>
        <v>32</v>
      </c>
      <c r="AJ1" s="147">
        <f t="shared" si="0"/>
        <v>33</v>
      </c>
      <c r="AK1" s="147">
        <f t="shared" si="0"/>
        <v>34</v>
      </c>
      <c r="AL1" s="147">
        <f t="shared" si="0"/>
        <v>35</v>
      </c>
      <c r="AM1" s="147">
        <f t="shared" si="0"/>
        <v>36</v>
      </c>
      <c r="AN1" s="147">
        <f t="shared" si="0"/>
        <v>37</v>
      </c>
      <c r="AO1" s="147">
        <f t="shared" si="0"/>
        <v>38</v>
      </c>
      <c r="AP1" s="147">
        <f t="shared" si="0"/>
        <v>39</v>
      </c>
      <c r="AQ1" s="147">
        <f t="shared" si="0"/>
        <v>40</v>
      </c>
      <c r="AR1" s="147">
        <f t="shared" si="0"/>
        <v>41</v>
      </c>
      <c r="AS1" s="147">
        <f t="shared" si="0"/>
        <v>42</v>
      </c>
      <c r="AT1" s="147">
        <f t="shared" si="0"/>
        <v>43</v>
      </c>
      <c r="AU1" s="147">
        <f t="shared" si="0"/>
        <v>44</v>
      </c>
      <c r="AV1" s="147">
        <f t="shared" si="0"/>
        <v>45</v>
      </c>
      <c r="AW1" s="147">
        <f t="shared" si="0"/>
        <v>46</v>
      </c>
      <c r="AX1" s="147">
        <f t="shared" si="0"/>
        <v>47</v>
      </c>
      <c r="AY1" s="147">
        <f t="shared" si="0"/>
        <v>48</v>
      </c>
      <c r="AZ1" s="147">
        <f t="shared" si="0"/>
        <v>49</v>
      </c>
      <c r="BA1" s="147">
        <f t="shared" si="0"/>
        <v>50</v>
      </c>
      <c r="BB1" s="147">
        <f t="shared" si="0"/>
        <v>51</v>
      </c>
      <c r="BC1" s="147">
        <f t="shared" si="0"/>
        <v>52</v>
      </c>
      <c r="BD1" s="147">
        <f t="shared" si="0"/>
        <v>53</v>
      </c>
      <c r="BE1" s="147">
        <f t="shared" si="0"/>
        <v>54</v>
      </c>
      <c r="BF1" s="147">
        <f t="shared" si="0"/>
        <v>55</v>
      </c>
      <c r="BG1" s="147">
        <f t="shared" si="0"/>
        <v>56</v>
      </c>
      <c r="BH1" s="147">
        <f t="shared" si="0"/>
        <v>57</v>
      </c>
      <c r="BI1" s="147">
        <f t="shared" si="0"/>
        <v>58</v>
      </c>
      <c r="BJ1" s="147">
        <f t="shared" si="0"/>
        <v>59</v>
      </c>
      <c r="BK1" s="147">
        <f t="shared" si="0"/>
        <v>60</v>
      </c>
      <c r="BL1" s="147">
        <f t="shared" si="0"/>
        <v>61</v>
      </c>
      <c r="BM1" s="147">
        <f t="shared" si="0"/>
        <v>62</v>
      </c>
      <c r="BN1" s="147">
        <f t="shared" si="0"/>
        <v>63</v>
      </c>
      <c r="BO1" s="147">
        <f t="shared" si="0"/>
        <v>64</v>
      </c>
      <c r="BP1" s="147">
        <f t="shared" si="0"/>
        <v>65</v>
      </c>
      <c r="BQ1" s="147">
        <f t="shared" si="0"/>
        <v>66</v>
      </c>
      <c r="BR1" s="147">
        <f t="shared" ref="BR1:EC1" si="1">BQ1+1</f>
        <v>67</v>
      </c>
      <c r="BS1" s="147">
        <f t="shared" si="1"/>
        <v>68</v>
      </c>
      <c r="BT1" s="147">
        <f t="shared" si="1"/>
        <v>69</v>
      </c>
      <c r="BU1" s="147">
        <f t="shared" si="1"/>
        <v>70</v>
      </c>
      <c r="BV1" s="147">
        <f t="shared" si="1"/>
        <v>71</v>
      </c>
      <c r="BW1" s="147">
        <f t="shared" si="1"/>
        <v>72</v>
      </c>
      <c r="BX1" s="147">
        <f t="shared" si="1"/>
        <v>73</v>
      </c>
      <c r="BY1" s="147">
        <f t="shared" si="1"/>
        <v>74</v>
      </c>
      <c r="BZ1" s="147">
        <f t="shared" si="1"/>
        <v>75</v>
      </c>
      <c r="CA1" s="147">
        <f t="shared" si="1"/>
        <v>76</v>
      </c>
      <c r="CB1" s="147">
        <f t="shared" si="1"/>
        <v>77</v>
      </c>
      <c r="CC1" s="147">
        <f t="shared" si="1"/>
        <v>78</v>
      </c>
      <c r="CD1" s="147">
        <f t="shared" si="1"/>
        <v>79</v>
      </c>
      <c r="CE1" s="147">
        <f t="shared" si="1"/>
        <v>80</v>
      </c>
      <c r="CF1" s="147">
        <f t="shared" si="1"/>
        <v>81</v>
      </c>
      <c r="CG1" s="147">
        <f t="shared" si="1"/>
        <v>82</v>
      </c>
      <c r="CH1" s="147">
        <f t="shared" si="1"/>
        <v>83</v>
      </c>
      <c r="CI1" s="147">
        <f t="shared" si="1"/>
        <v>84</v>
      </c>
      <c r="CJ1" s="147">
        <f t="shared" si="1"/>
        <v>85</v>
      </c>
      <c r="CK1" s="147">
        <f t="shared" si="1"/>
        <v>86</v>
      </c>
      <c r="CL1" s="147">
        <f t="shared" si="1"/>
        <v>87</v>
      </c>
      <c r="CM1" s="147">
        <f t="shared" si="1"/>
        <v>88</v>
      </c>
      <c r="CN1" s="147">
        <f t="shared" si="1"/>
        <v>89</v>
      </c>
      <c r="CO1" s="147">
        <f t="shared" si="1"/>
        <v>90</v>
      </c>
      <c r="CP1" s="147">
        <f t="shared" si="1"/>
        <v>91</v>
      </c>
      <c r="CQ1" s="147">
        <f t="shared" si="1"/>
        <v>92</v>
      </c>
      <c r="CR1" s="147">
        <f t="shared" si="1"/>
        <v>93</v>
      </c>
      <c r="CS1" s="147">
        <f t="shared" si="1"/>
        <v>94</v>
      </c>
      <c r="CT1" s="147">
        <f t="shared" si="1"/>
        <v>95</v>
      </c>
      <c r="CU1" s="147">
        <f t="shared" si="1"/>
        <v>96</v>
      </c>
      <c r="CV1" s="147">
        <f t="shared" si="1"/>
        <v>97</v>
      </c>
      <c r="CW1" s="147">
        <f t="shared" si="1"/>
        <v>98</v>
      </c>
      <c r="CX1" s="147">
        <f t="shared" si="1"/>
        <v>99</v>
      </c>
      <c r="CY1" s="147">
        <f t="shared" si="1"/>
        <v>100</v>
      </c>
      <c r="CZ1" s="147">
        <f t="shared" si="1"/>
        <v>101</v>
      </c>
      <c r="DA1" s="147">
        <f t="shared" si="1"/>
        <v>102</v>
      </c>
      <c r="DB1" s="147">
        <f t="shared" si="1"/>
        <v>103</v>
      </c>
      <c r="DC1" s="147">
        <f t="shared" si="1"/>
        <v>104</v>
      </c>
      <c r="DD1" s="147">
        <f t="shared" si="1"/>
        <v>105</v>
      </c>
      <c r="DE1" s="147">
        <f t="shared" si="1"/>
        <v>106</v>
      </c>
      <c r="DF1" s="147">
        <f t="shared" si="1"/>
        <v>107</v>
      </c>
      <c r="DG1" s="147">
        <f t="shared" si="1"/>
        <v>108</v>
      </c>
      <c r="DH1" s="147">
        <f t="shared" si="1"/>
        <v>109</v>
      </c>
      <c r="DI1" s="147">
        <f t="shared" si="1"/>
        <v>110</v>
      </c>
      <c r="DJ1" s="147">
        <f t="shared" si="1"/>
        <v>111</v>
      </c>
      <c r="DK1" s="147">
        <f t="shared" si="1"/>
        <v>112</v>
      </c>
      <c r="DL1" s="147">
        <f t="shared" si="1"/>
        <v>113</v>
      </c>
      <c r="DM1" s="147">
        <f t="shared" si="1"/>
        <v>114</v>
      </c>
      <c r="DN1" s="147">
        <f t="shared" si="1"/>
        <v>115</v>
      </c>
      <c r="DO1" s="147">
        <f t="shared" si="1"/>
        <v>116</v>
      </c>
      <c r="DP1" s="147">
        <f t="shared" si="1"/>
        <v>117</v>
      </c>
      <c r="DQ1" s="147">
        <f t="shared" si="1"/>
        <v>118</v>
      </c>
      <c r="DR1" s="147">
        <f t="shared" si="1"/>
        <v>119</v>
      </c>
      <c r="DS1" s="147">
        <f t="shared" si="1"/>
        <v>120</v>
      </c>
      <c r="DT1" s="147">
        <f t="shared" si="1"/>
        <v>121</v>
      </c>
      <c r="DU1" s="147">
        <f t="shared" si="1"/>
        <v>122</v>
      </c>
      <c r="DV1" s="147">
        <f t="shared" si="1"/>
        <v>123</v>
      </c>
      <c r="DW1" s="147">
        <f t="shared" si="1"/>
        <v>124</v>
      </c>
      <c r="DX1" s="147">
        <f t="shared" si="1"/>
        <v>125</v>
      </c>
      <c r="DY1" s="147">
        <f t="shared" si="1"/>
        <v>126</v>
      </c>
      <c r="DZ1" s="147">
        <f t="shared" si="1"/>
        <v>127</v>
      </c>
      <c r="EA1" s="147">
        <f t="shared" si="1"/>
        <v>128</v>
      </c>
      <c r="EB1" s="147">
        <f t="shared" si="1"/>
        <v>129</v>
      </c>
      <c r="EC1" s="147">
        <f t="shared" si="1"/>
        <v>130</v>
      </c>
      <c r="ED1" s="147">
        <f t="shared" ref="ED1:EE1" si="2">EC1+1</f>
        <v>131</v>
      </c>
      <c r="EE1" s="148">
        <f t="shared" si="2"/>
        <v>132</v>
      </c>
    </row>
    <row r="2" spans="1:135" x14ac:dyDescent="0.35">
      <c r="B2" s="152" t="s">
        <v>169</v>
      </c>
      <c r="C2" s="149">
        <v>0</v>
      </c>
      <c r="D2" s="150">
        <f>ROUNDUP(D1/12,0)</f>
        <v>1</v>
      </c>
      <c r="E2" s="150">
        <f t="shared" ref="E2:BP2" si="3">ROUNDUP(E1/12,0)</f>
        <v>1</v>
      </c>
      <c r="F2" s="150">
        <f t="shared" si="3"/>
        <v>1</v>
      </c>
      <c r="G2" s="150">
        <f t="shared" si="3"/>
        <v>1</v>
      </c>
      <c r="H2" s="150">
        <f t="shared" si="3"/>
        <v>1</v>
      </c>
      <c r="I2" s="150">
        <f t="shared" si="3"/>
        <v>1</v>
      </c>
      <c r="J2" s="150">
        <f t="shared" si="3"/>
        <v>1</v>
      </c>
      <c r="K2" s="150">
        <f t="shared" si="3"/>
        <v>1</v>
      </c>
      <c r="L2" s="150">
        <f t="shared" si="3"/>
        <v>1</v>
      </c>
      <c r="M2" s="150">
        <f t="shared" si="3"/>
        <v>1</v>
      </c>
      <c r="N2" s="150">
        <f t="shared" si="3"/>
        <v>1</v>
      </c>
      <c r="O2" s="150">
        <f t="shared" si="3"/>
        <v>1</v>
      </c>
      <c r="P2" s="150">
        <f t="shared" si="3"/>
        <v>2</v>
      </c>
      <c r="Q2" s="150">
        <f t="shared" si="3"/>
        <v>2</v>
      </c>
      <c r="R2" s="150">
        <f t="shared" si="3"/>
        <v>2</v>
      </c>
      <c r="S2" s="150">
        <f t="shared" si="3"/>
        <v>2</v>
      </c>
      <c r="T2" s="150">
        <f t="shared" si="3"/>
        <v>2</v>
      </c>
      <c r="U2" s="150">
        <f t="shared" si="3"/>
        <v>2</v>
      </c>
      <c r="V2" s="150">
        <f t="shared" si="3"/>
        <v>2</v>
      </c>
      <c r="W2" s="150">
        <f t="shared" si="3"/>
        <v>2</v>
      </c>
      <c r="X2" s="150">
        <f t="shared" si="3"/>
        <v>2</v>
      </c>
      <c r="Y2" s="150">
        <f t="shared" si="3"/>
        <v>2</v>
      </c>
      <c r="Z2" s="150">
        <f t="shared" si="3"/>
        <v>2</v>
      </c>
      <c r="AA2" s="150">
        <f t="shared" si="3"/>
        <v>2</v>
      </c>
      <c r="AB2" s="150">
        <f t="shared" si="3"/>
        <v>3</v>
      </c>
      <c r="AC2" s="150">
        <f t="shared" si="3"/>
        <v>3</v>
      </c>
      <c r="AD2" s="150">
        <f t="shared" si="3"/>
        <v>3</v>
      </c>
      <c r="AE2" s="150">
        <f t="shared" si="3"/>
        <v>3</v>
      </c>
      <c r="AF2" s="150">
        <f t="shared" si="3"/>
        <v>3</v>
      </c>
      <c r="AG2" s="150">
        <f t="shared" si="3"/>
        <v>3</v>
      </c>
      <c r="AH2" s="150">
        <f t="shared" si="3"/>
        <v>3</v>
      </c>
      <c r="AI2" s="150">
        <f t="shared" si="3"/>
        <v>3</v>
      </c>
      <c r="AJ2" s="150">
        <f t="shared" si="3"/>
        <v>3</v>
      </c>
      <c r="AK2" s="150">
        <f t="shared" si="3"/>
        <v>3</v>
      </c>
      <c r="AL2" s="150">
        <f t="shared" si="3"/>
        <v>3</v>
      </c>
      <c r="AM2" s="150">
        <f t="shared" si="3"/>
        <v>3</v>
      </c>
      <c r="AN2" s="150">
        <f t="shared" si="3"/>
        <v>4</v>
      </c>
      <c r="AO2" s="150">
        <f t="shared" si="3"/>
        <v>4</v>
      </c>
      <c r="AP2" s="150">
        <f t="shared" si="3"/>
        <v>4</v>
      </c>
      <c r="AQ2" s="150">
        <f t="shared" si="3"/>
        <v>4</v>
      </c>
      <c r="AR2" s="150">
        <f t="shared" si="3"/>
        <v>4</v>
      </c>
      <c r="AS2" s="150">
        <f t="shared" si="3"/>
        <v>4</v>
      </c>
      <c r="AT2" s="150">
        <f t="shared" si="3"/>
        <v>4</v>
      </c>
      <c r="AU2" s="150">
        <f t="shared" si="3"/>
        <v>4</v>
      </c>
      <c r="AV2" s="150">
        <f t="shared" si="3"/>
        <v>4</v>
      </c>
      <c r="AW2" s="150">
        <f t="shared" si="3"/>
        <v>4</v>
      </c>
      <c r="AX2" s="150">
        <f t="shared" si="3"/>
        <v>4</v>
      </c>
      <c r="AY2" s="150">
        <f t="shared" si="3"/>
        <v>4</v>
      </c>
      <c r="AZ2" s="150">
        <f t="shared" si="3"/>
        <v>5</v>
      </c>
      <c r="BA2" s="150">
        <f t="shared" si="3"/>
        <v>5</v>
      </c>
      <c r="BB2" s="150">
        <f t="shared" si="3"/>
        <v>5</v>
      </c>
      <c r="BC2" s="150">
        <f t="shared" si="3"/>
        <v>5</v>
      </c>
      <c r="BD2" s="150">
        <f t="shared" si="3"/>
        <v>5</v>
      </c>
      <c r="BE2" s="150">
        <f t="shared" si="3"/>
        <v>5</v>
      </c>
      <c r="BF2" s="150">
        <f t="shared" si="3"/>
        <v>5</v>
      </c>
      <c r="BG2" s="150">
        <f t="shared" si="3"/>
        <v>5</v>
      </c>
      <c r="BH2" s="150">
        <f t="shared" si="3"/>
        <v>5</v>
      </c>
      <c r="BI2" s="150">
        <f t="shared" si="3"/>
        <v>5</v>
      </c>
      <c r="BJ2" s="150">
        <f t="shared" si="3"/>
        <v>5</v>
      </c>
      <c r="BK2" s="150">
        <f t="shared" si="3"/>
        <v>5</v>
      </c>
      <c r="BL2" s="150">
        <f t="shared" si="3"/>
        <v>6</v>
      </c>
      <c r="BM2" s="150">
        <f t="shared" si="3"/>
        <v>6</v>
      </c>
      <c r="BN2" s="150">
        <f t="shared" si="3"/>
        <v>6</v>
      </c>
      <c r="BO2" s="150">
        <f t="shared" si="3"/>
        <v>6</v>
      </c>
      <c r="BP2" s="150">
        <f t="shared" si="3"/>
        <v>6</v>
      </c>
      <c r="BQ2" s="150">
        <f t="shared" ref="BQ2:EB2" si="4">ROUNDUP(BQ1/12,0)</f>
        <v>6</v>
      </c>
      <c r="BR2" s="150">
        <f t="shared" si="4"/>
        <v>6</v>
      </c>
      <c r="BS2" s="150">
        <f t="shared" si="4"/>
        <v>6</v>
      </c>
      <c r="BT2" s="150">
        <f t="shared" si="4"/>
        <v>6</v>
      </c>
      <c r="BU2" s="150">
        <f t="shared" si="4"/>
        <v>6</v>
      </c>
      <c r="BV2" s="150">
        <f t="shared" si="4"/>
        <v>6</v>
      </c>
      <c r="BW2" s="150">
        <f t="shared" si="4"/>
        <v>6</v>
      </c>
      <c r="BX2" s="150">
        <f t="shared" si="4"/>
        <v>7</v>
      </c>
      <c r="BY2" s="150">
        <f t="shared" si="4"/>
        <v>7</v>
      </c>
      <c r="BZ2" s="150">
        <f t="shared" si="4"/>
        <v>7</v>
      </c>
      <c r="CA2" s="150">
        <f t="shared" si="4"/>
        <v>7</v>
      </c>
      <c r="CB2" s="150">
        <f t="shared" si="4"/>
        <v>7</v>
      </c>
      <c r="CC2" s="150">
        <f t="shared" si="4"/>
        <v>7</v>
      </c>
      <c r="CD2" s="150">
        <f t="shared" si="4"/>
        <v>7</v>
      </c>
      <c r="CE2" s="150">
        <f t="shared" si="4"/>
        <v>7</v>
      </c>
      <c r="CF2" s="150">
        <f t="shared" si="4"/>
        <v>7</v>
      </c>
      <c r="CG2" s="150">
        <f t="shared" si="4"/>
        <v>7</v>
      </c>
      <c r="CH2" s="150">
        <f t="shared" si="4"/>
        <v>7</v>
      </c>
      <c r="CI2" s="150">
        <f t="shared" si="4"/>
        <v>7</v>
      </c>
      <c r="CJ2" s="150">
        <f t="shared" si="4"/>
        <v>8</v>
      </c>
      <c r="CK2" s="150">
        <f t="shared" si="4"/>
        <v>8</v>
      </c>
      <c r="CL2" s="150">
        <f t="shared" si="4"/>
        <v>8</v>
      </c>
      <c r="CM2" s="150">
        <f t="shared" si="4"/>
        <v>8</v>
      </c>
      <c r="CN2" s="150">
        <f t="shared" si="4"/>
        <v>8</v>
      </c>
      <c r="CO2" s="150">
        <f t="shared" si="4"/>
        <v>8</v>
      </c>
      <c r="CP2" s="150">
        <f t="shared" si="4"/>
        <v>8</v>
      </c>
      <c r="CQ2" s="150">
        <f t="shared" si="4"/>
        <v>8</v>
      </c>
      <c r="CR2" s="150">
        <f t="shared" si="4"/>
        <v>8</v>
      </c>
      <c r="CS2" s="150">
        <f t="shared" si="4"/>
        <v>8</v>
      </c>
      <c r="CT2" s="150">
        <f t="shared" si="4"/>
        <v>8</v>
      </c>
      <c r="CU2" s="150">
        <f t="shared" si="4"/>
        <v>8</v>
      </c>
      <c r="CV2" s="150">
        <f t="shared" si="4"/>
        <v>9</v>
      </c>
      <c r="CW2" s="150">
        <f t="shared" si="4"/>
        <v>9</v>
      </c>
      <c r="CX2" s="150">
        <f t="shared" si="4"/>
        <v>9</v>
      </c>
      <c r="CY2" s="150">
        <f t="shared" si="4"/>
        <v>9</v>
      </c>
      <c r="CZ2" s="150">
        <f t="shared" si="4"/>
        <v>9</v>
      </c>
      <c r="DA2" s="150">
        <f t="shared" si="4"/>
        <v>9</v>
      </c>
      <c r="DB2" s="150">
        <f t="shared" si="4"/>
        <v>9</v>
      </c>
      <c r="DC2" s="150">
        <f t="shared" si="4"/>
        <v>9</v>
      </c>
      <c r="DD2" s="150">
        <f t="shared" si="4"/>
        <v>9</v>
      </c>
      <c r="DE2" s="150">
        <f t="shared" si="4"/>
        <v>9</v>
      </c>
      <c r="DF2" s="150">
        <f t="shared" si="4"/>
        <v>9</v>
      </c>
      <c r="DG2" s="150">
        <f t="shared" si="4"/>
        <v>9</v>
      </c>
      <c r="DH2" s="150">
        <f t="shared" si="4"/>
        <v>10</v>
      </c>
      <c r="DI2" s="150">
        <f t="shared" si="4"/>
        <v>10</v>
      </c>
      <c r="DJ2" s="150">
        <f t="shared" si="4"/>
        <v>10</v>
      </c>
      <c r="DK2" s="150">
        <f t="shared" si="4"/>
        <v>10</v>
      </c>
      <c r="DL2" s="150">
        <f t="shared" si="4"/>
        <v>10</v>
      </c>
      <c r="DM2" s="150">
        <f t="shared" si="4"/>
        <v>10</v>
      </c>
      <c r="DN2" s="150">
        <f t="shared" si="4"/>
        <v>10</v>
      </c>
      <c r="DO2" s="150">
        <f t="shared" si="4"/>
        <v>10</v>
      </c>
      <c r="DP2" s="150">
        <f t="shared" si="4"/>
        <v>10</v>
      </c>
      <c r="DQ2" s="150">
        <f t="shared" si="4"/>
        <v>10</v>
      </c>
      <c r="DR2" s="150">
        <f t="shared" si="4"/>
        <v>10</v>
      </c>
      <c r="DS2" s="150">
        <f t="shared" si="4"/>
        <v>10</v>
      </c>
      <c r="DT2" s="150">
        <f t="shared" si="4"/>
        <v>11</v>
      </c>
      <c r="DU2" s="150">
        <f t="shared" si="4"/>
        <v>11</v>
      </c>
      <c r="DV2" s="150">
        <f t="shared" si="4"/>
        <v>11</v>
      </c>
      <c r="DW2" s="150">
        <f t="shared" si="4"/>
        <v>11</v>
      </c>
      <c r="DX2" s="150">
        <f t="shared" si="4"/>
        <v>11</v>
      </c>
      <c r="DY2" s="150">
        <f t="shared" si="4"/>
        <v>11</v>
      </c>
      <c r="DZ2" s="150">
        <f t="shared" si="4"/>
        <v>11</v>
      </c>
      <c r="EA2" s="150">
        <f t="shared" si="4"/>
        <v>11</v>
      </c>
      <c r="EB2" s="150">
        <f t="shared" si="4"/>
        <v>11</v>
      </c>
      <c r="EC2" s="150">
        <f t="shared" ref="EC2:EE2" si="5">ROUNDUP(EC1/12,0)</f>
        <v>11</v>
      </c>
      <c r="ED2" s="150">
        <f t="shared" si="5"/>
        <v>11</v>
      </c>
      <c r="EE2" s="153">
        <f t="shared" si="5"/>
        <v>11</v>
      </c>
    </row>
    <row r="3" spans="1:135" x14ac:dyDescent="0.35">
      <c r="B3" s="146" t="s">
        <v>170</v>
      </c>
      <c r="C3" s="154">
        <f>Summary!B25</f>
        <v>44227</v>
      </c>
      <c r="D3" s="154">
        <f>EOMONTH(C3,1)</f>
        <v>44255</v>
      </c>
      <c r="E3" s="154">
        <f t="shared" ref="E3:BP3" si="6">EOMONTH(D3,1)</f>
        <v>44286</v>
      </c>
      <c r="F3" s="154">
        <f t="shared" si="6"/>
        <v>44316</v>
      </c>
      <c r="G3" s="154">
        <f t="shared" si="6"/>
        <v>44347</v>
      </c>
      <c r="H3" s="154">
        <f t="shared" si="6"/>
        <v>44377</v>
      </c>
      <c r="I3" s="154">
        <f t="shared" si="6"/>
        <v>44408</v>
      </c>
      <c r="J3" s="154">
        <f t="shared" si="6"/>
        <v>44439</v>
      </c>
      <c r="K3" s="154">
        <f t="shared" si="6"/>
        <v>44469</v>
      </c>
      <c r="L3" s="154">
        <f t="shared" si="6"/>
        <v>44500</v>
      </c>
      <c r="M3" s="154">
        <f t="shared" si="6"/>
        <v>44530</v>
      </c>
      <c r="N3" s="154">
        <f t="shared" si="6"/>
        <v>44561</v>
      </c>
      <c r="O3" s="154">
        <f t="shared" si="6"/>
        <v>44592</v>
      </c>
      <c r="P3" s="154">
        <f t="shared" si="6"/>
        <v>44620</v>
      </c>
      <c r="Q3" s="154">
        <f t="shared" si="6"/>
        <v>44651</v>
      </c>
      <c r="R3" s="154">
        <f t="shared" si="6"/>
        <v>44681</v>
      </c>
      <c r="S3" s="154">
        <f t="shared" si="6"/>
        <v>44712</v>
      </c>
      <c r="T3" s="154">
        <f t="shared" si="6"/>
        <v>44742</v>
      </c>
      <c r="U3" s="154">
        <f t="shared" si="6"/>
        <v>44773</v>
      </c>
      <c r="V3" s="154">
        <f t="shared" si="6"/>
        <v>44804</v>
      </c>
      <c r="W3" s="154">
        <f t="shared" si="6"/>
        <v>44834</v>
      </c>
      <c r="X3" s="154">
        <f t="shared" si="6"/>
        <v>44865</v>
      </c>
      <c r="Y3" s="154">
        <f t="shared" si="6"/>
        <v>44895</v>
      </c>
      <c r="Z3" s="154">
        <f t="shared" si="6"/>
        <v>44926</v>
      </c>
      <c r="AA3" s="154">
        <f t="shared" si="6"/>
        <v>44957</v>
      </c>
      <c r="AB3" s="154">
        <f t="shared" si="6"/>
        <v>44985</v>
      </c>
      <c r="AC3" s="154">
        <f t="shared" si="6"/>
        <v>45016</v>
      </c>
      <c r="AD3" s="154">
        <f t="shared" si="6"/>
        <v>45046</v>
      </c>
      <c r="AE3" s="154">
        <f t="shared" si="6"/>
        <v>45077</v>
      </c>
      <c r="AF3" s="154">
        <f t="shared" si="6"/>
        <v>45107</v>
      </c>
      <c r="AG3" s="154">
        <f t="shared" si="6"/>
        <v>45138</v>
      </c>
      <c r="AH3" s="154">
        <f t="shared" si="6"/>
        <v>45169</v>
      </c>
      <c r="AI3" s="154">
        <f t="shared" si="6"/>
        <v>45199</v>
      </c>
      <c r="AJ3" s="154">
        <f t="shared" si="6"/>
        <v>45230</v>
      </c>
      <c r="AK3" s="154">
        <f t="shared" si="6"/>
        <v>45260</v>
      </c>
      <c r="AL3" s="154">
        <f t="shared" si="6"/>
        <v>45291</v>
      </c>
      <c r="AM3" s="154">
        <f t="shared" si="6"/>
        <v>45322</v>
      </c>
      <c r="AN3" s="154">
        <f t="shared" si="6"/>
        <v>45351</v>
      </c>
      <c r="AO3" s="154">
        <f t="shared" si="6"/>
        <v>45382</v>
      </c>
      <c r="AP3" s="154">
        <f t="shared" si="6"/>
        <v>45412</v>
      </c>
      <c r="AQ3" s="154">
        <f t="shared" si="6"/>
        <v>45443</v>
      </c>
      <c r="AR3" s="154">
        <f t="shared" si="6"/>
        <v>45473</v>
      </c>
      <c r="AS3" s="154">
        <f t="shared" si="6"/>
        <v>45504</v>
      </c>
      <c r="AT3" s="154">
        <f t="shared" si="6"/>
        <v>45535</v>
      </c>
      <c r="AU3" s="154">
        <f t="shared" si="6"/>
        <v>45565</v>
      </c>
      <c r="AV3" s="154">
        <f t="shared" si="6"/>
        <v>45596</v>
      </c>
      <c r="AW3" s="154">
        <f t="shared" si="6"/>
        <v>45626</v>
      </c>
      <c r="AX3" s="154">
        <f t="shared" si="6"/>
        <v>45657</v>
      </c>
      <c r="AY3" s="154">
        <f t="shared" si="6"/>
        <v>45688</v>
      </c>
      <c r="AZ3" s="154">
        <f t="shared" si="6"/>
        <v>45716</v>
      </c>
      <c r="BA3" s="154">
        <f t="shared" si="6"/>
        <v>45747</v>
      </c>
      <c r="BB3" s="154">
        <f t="shared" si="6"/>
        <v>45777</v>
      </c>
      <c r="BC3" s="154">
        <f t="shared" si="6"/>
        <v>45808</v>
      </c>
      <c r="BD3" s="154">
        <f t="shared" si="6"/>
        <v>45838</v>
      </c>
      <c r="BE3" s="154">
        <f t="shared" si="6"/>
        <v>45869</v>
      </c>
      <c r="BF3" s="154">
        <f t="shared" si="6"/>
        <v>45900</v>
      </c>
      <c r="BG3" s="154">
        <f t="shared" si="6"/>
        <v>45930</v>
      </c>
      <c r="BH3" s="154">
        <f t="shared" si="6"/>
        <v>45961</v>
      </c>
      <c r="BI3" s="154">
        <f t="shared" si="6"/>
        <v>45991</v>
      </c>
      <c r="BJ3" s="154">
        <f t="shared" si="6"/>
        <v>46022</v>
      </c>
      <c r="BK3" s="154">
        <f t="shared" si="6"/>
        <v>46053</v>
      </c>
      <c r="BL3" s="154">
        <f t="shared" si="6"/>
        <v>46081</v>
      </c>
      <c r="BM3" s="154">
        <f t="shared" si="6"/>
        <v>46112</v>
      </c>
      <c r="BN3" s="154">
        <f t="shared" si="6"/>
        <v>46142</v>
      </c>
      <c r="BO3" s="154">
        <f t="shared" si="6"/>
        <v>46173</v>
      </c>
      <c r="BP3" s="154">
        <f t="shared" si="6"/>
        <v>46203</v>
      </c>
      <c r="BQ3" s="154">
        <f t="shared" ref="BQ3:EB3" si="7">EOMONTH(BP3,1)</f>
        <v>46234</v>
      </c>
      <c r="BR3" s="154">
        <f t="shared" si="7"/>
        <v>46265</v>
      </c>
      <c r="BS3" s="154">
        <f t="shared" si="7"/>
        <v>46295</v>
      </c>
      <c r="BT3" s="154">
        <f t="shared" si="7"/>
        <v>46326</v>
      </c>
      <c r="BU3" s="154">
        <f t="shared" si="7"/>
        <v>46356</v>
      </c>
      <c r="BV3" s="154">
        <f t="shared" si="7"/>
        <v>46387</v>
      </c>
      <c r="BW3" s="154">
        <f t="shared" si="7"/>
        <v>46418</v>
      </c>
      <c r="BX3" s="154">
        <f t="shared" si="7"/>
        <v>46446</v>
      </c>
      <c r="BY3" s="154">
        <f t="shared" si="7"/>
        <v>46477</v>
      </c>
      <c r="BZ3" s="154">
        <f t="shared" si="7"/>
        <v>46507</v>
      </c>
      <c r="CA3" s="154">
        <f t="shared" si="7"/>
        <v>46538</v>
      </c>
      <c r="CB3" s="154">
        <f t="shared" si="7"/>
        <v>46568</v>
      </c>
      <c r="CC3" s="154">
        <f t="shared" si="7"/>
        <v>46599</v>
      </c>
      <c r="CD3" s="154">
        <f t="shared" si="7"/>
        <v>46630</v>
      </c>
      <c r="CE3" s="154">
        <f t="shared" si="7"/>
        <v>46660</v>
      </c>
      <c r="CF3" s="154">
        <f t="shared" si="7"/>
        <v>46691</v>
      </c>
      <c r="CG3" s="154">
        <f t="shared" si="7"/>
        <v>46721</v>
      </c>
      <c r="CH3" s="154">
        <f t="shared" si="7"/>
        <v>46752</v>
      </c>
      <c r="CI3" s="154">
        <f t="shared" si="7"/>
        <v>46783</v>
      </c>
      <c r="CJ3" s="154">
        <f t="shared" si="7"/>
        <v>46812</v>
      </c>
      <c r="CK3" s="154">
        <f t="shared" si="7"/>
        <v>46843</v>
      </c>
      <c r="CL3" s="154">
        <f t="shared" si="7"/>
        <v>46873</v>
      </c>
      <c r="CM3" s="154">
        <f t="shared" si="7"/>
        <v>46904</v>
      </c>
      <c r="CN3" s="154">
        <f t="shared" si="7"/>
        <v>46934</v>
      </c>
      <c r="CO3" s="154">
        <f t="shared" si="7"/>
        <v>46965</v>
      </c>
      <c r="CP3" s="154">
        <f t="shared" si="7"/>
        <v>46996</v>
      </c>
      <c r="CQ3" s="154">
        <f t="shared" si="7"/>
        <v>47026</v>
      </c>
      <c r="CR3" s="154">
        <f t="shared" si="7"/>
        <v>47057</v>
      </c>
      <c r="CS3" s="154">
        <f t="shared" si="7"/>
        <v>47087</v>
      </c>
      <c r="CT3" s="154">
        <f t="shared" si="7"/>
        <v>47118</v>
      </c>
      <c r="CU3" s="154">
        <f t="shared" si="7"/>
        <v>47149</v>
      </c>
      <c r="CV3" s="154">
        <f t="shared" si="7"/>
        <v>47177</v>
      </c>
      <c r="CW3" s="154">
        <f t="shared" si="7"/>
        <v>47208</v>
      </c>
      <c r="CX3" s="154">
        <f t="shared" si="7"/>
        <v>47238</v>
      </c>
      <c r="CY3" s="154">
        <f t="shared" si="7"/>
        <v>47269</v>
      </c>
      <c r="CZ3" s="154">
        <f t="shared" si="7"/>
        <v>47299</v>
      </c>
      <c r="DA3" s="154">
        <f t="shared" si="7"/>
        <v>47330</v>
      </c>
      <c r="DB3" s="154">
        <f t="shared" si="7"/>
        <v>47361</v>
      </c>
      <c r="DC3" s="154">
        <f t="shared" si="7"/>
        <v>47391</v>
      </c>
      <c r="DD3" s="154">
        <f t="shared" si="7"/>
        <v>47422</v>
      </c>
      <c r="DE3" s="154">
        <f t="shared" si="7"/>
        <v>47452</v>
      </c>
      <c r="DF3" s="154">
        <f t="shared" si="7"/>
        <v>47483</v>
      </c>
      <c r="DG3" s="154">
        <f t="shared" si="7"/>
        <v>47514</v>
      </c>
      <c r="DH3" s="154">
        <f t="shared" si="7"/>
        <v>47542</v>
      </c>
      <c r="DI3" s="154">
        <f t="shared" si="7"/>
        <v>47573</v>
      </c>
      <c r="DJ3" s="154">
        <f t="shared" si="7"/>
        <v>47603</v>
      </c>
      <c r="DK3" s="154">
        <f t="shared" si="7"/>
        <v>47634</v>
      </c>
      <c r="DL3" s="154">
        <f t="shared" si="7"/>
        <v>47664</v>
      </c>
      <c r="DM3" s="154">
        <f t="shared" si="7"/>
        <v>47695</v>
      </c>
      <c r="DN3" s="154">
        <f t="shared" si="7"/>
        <v>47726</v>
      </c>
      <c r="DO3" s="154">
        <f t="shared" si="7"/>
        <v>47756</v>
      </c>
      <c r="DP3" s="154">
        <f t="shared" si="7"/>
        <v>47787</v>
      </c>
      <c r="DQ3" s="154">
        <f t="shared" si="7"/>
        <v>47817</v>
      </c>
      <c r="DR3" s="154">
        <f t="shared" si="7"/>
        <v>47848</v>
      </c>
      <c r="DS3" s="154">
        <f t="shared" si="7"/>
        <v>47879</v>
      </c>
      <c r="DT3" s="154">
        <f t="shared" si="7"/>
        <v>47907</v>
      </c>
      <c r="DU3" s="154">
        <f t="shared" si="7"/>
        <v>47938</v>
      </c>
      <c r="DV3" s="154">
        <f t="shared" si="7"/>
        <v>47968</v>
      </c>
      <c r="DW3" s="154">
        <f t="shared" si="7"/>
        <v>47999</v>
      </c>
      <c r="DX3" s="154">
        <f t="shared" si="7"/>
        <v>48029</v>
      </c>
      <c r="DY3" s="154">
        <f t="shared" si="7"/>
        <v>48060</v>
      </c>
      <c r="DZ3" s="154">
        <f t="shared" si="7"/>
        <v>48091</v>
      </c>
      <c r="EA3" s="154">
        <f t="shared" si="7"/>
        <v>48121</v>
      </c>
      <c r="EB3" s="154">
        <f t="shared" si="7"/>
        <v>48152</v>
      </c>
      <c r="EC3" s="154">
        <f t="shared" ref="EC3:EE3" si="8">EOMONTH(EB3,1)</f>
        <v>48182</v>
      </c>
      <c r="ED3" s="154">
        <f t="shared" si="8"/>
        <v>48213</v>
      </c>
      <c r="EE3" s="155">
        <f t="shared" si="8"/>
        <v>48244</v>
      </c>
    </row>
    <row r="4" spans="1:135" x14ac:dyDescent="0.35">
      <c r="B4" s="4"/>
      <c r="C4" s="157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58"/>
      <c r="BM4" s="158"/>
      <c r="BN4" s="158"/>
      <c r="BO4" s="158"/>
      <c r="BP4" s="158"/>
      <c r="BQ4" s="158"/>
      <c r="BR4" s="158"/>
      <c r="BS4" s="158"/>
      <c r="BT4" s="158"/>
      <c r="BU4" s="158"/>
      <c r="BV4" s="158"/>
      <c r="BW4" s="158"/>
      <c r="BX4" s="158"/>
      <c r="BY4" s="158"/>
      <c r="BZ4" s="158"/>
      <c r="CA4" s="158"/>
      <c r="CB4" s="158"/>
      <c r="CC4" s="158"/>
      <c r="CD4" s="158"/>
      <c r="CE4" s="158"/>
      <c r="CF4" s="158"/>
      <c r="CG4" s="158"/>
      <c r="CH4" s="158"/>
      <c r="CI4" s="158"/>
      <c r="CJ4" s="158"/>
      <c r="CK4" s="158"/>
      <c r="CL4" s="158"/>
      <c r="CM4" s="158"/>
      <c r="CN4" s="158"/>
      <c r="CO4" s="158"/>
      <c r="CP4" s="158"/>
      <c r="CQ4" s="158"/>
      <c r="CR4" s="158"/>
      <c r="CS4" s="158"/>
      <c r="CT4" s="158"/>
      <c r="CU4" s="158"/>
      <c r="CV4" s="158"/>
      <c r="CW4" s="158"/>
      <c r="CX4" s="158"/>
      <c r="CY4" s="158"/>
      <c r="CZ4" s="158"/>
      <c r="DA4" s="158"/>
      <c r="DB4" s="158"/>
      <c r="DC4" s="158"/>
      <c r="DD4" s="158"/>
      <c r="DE4" s="158"/>
      <c r="DF4" s="158"/>
      <c r="DG4" s="158"/>
      <c r="DH4" s="158"/>
      <c r="DI4" s="158"/>
      <c r="DJ4" s="158"/>
      <c r="DK4" s="158"/>
      <c r="DL4" s="158"/>
      <c r="DM4" s="158"/>
      <c r="DN4" s="158"/>
      <c r="DO4" s="158"/>
      <c r="DP4" s="158"/>
      <c r="DQ4" s="158"/>
      <c r="DR4" s="158"/>
      <c r="DS4" s="158"/>
      <c r="DT4" s="158"/>
      <c r="DU4" s="158"/>
      <c r="DV4" s="158"/>
      <c r="DW4" s="158"/>
      <c r="DX4" s="158"/>
      <c r="DY4" s="158"/>
      <c r="DZ4" s="158"/>
      <c r="EA4" s="158"/>
      <c r="EB4" s="158"/>
      <c r="EC4" s="158"/>
      <c r="ED4" s="158"/>
      <c r="EE4" s="159"/>
    </row>
    <row r="5" spans="1:135" x14ac:dyDescent="0.35">
      <c r="B5" s="156" t="s">
        <v>171</v>
      </c>
      <c r="C5" s="160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O5" s="161"/>
      <c r="BP5" s="161"/>
      <c r="BQ5" s="161"/>
      <c r="BR5" s="161"/>
      <c r="BS5" s="161"/>
      <c r="BT5" s="161"/>
      <c r="BU5" s="161"/>
      <c r="BV5" s="161"/>
      <c r="BW5" s="161"/>
      <c r="BX5" s="161"/>
      <c r="BY5" s="161"/>
      <c r="BZ5" s="161"/>
      <c r="CA5" s="161"/>
      <c r="CB5" s="161"/>
      <c r="CC5" s="161"/>
      <c r="CD5" s="161"/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161"/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  <c r="DH5" s="161"/>
      <c r="DI5" s="161"/>
      <c r="DJ5" s="161"/>
      <c r="DK5" s="161"/>
      <c r="DL5" s="161"/>
      <c r="DM5" s="161"/>
      <c r="DN5" s="161"/>
      <c r="DO5" s="161"/>
      <c r="DP5" s="161"/>
      <c r="DQ5" s="161"/>
      <c r="DR5" s="161"/>
      <c r="DS5" s="161"/>
      <c r="DT5" s="161"/>
      <c r="DU5" s="161"/>
      <c r="DV5" s="161"/>
      <c r="DW5" s="161"/>
      <c r="DX5" s="161"/>
      <c r="DY5" s="161"/>
      <c r="DZ5" s="161"/>
      <c r="EA5" s="161"/>
      <c r="EB5" s="161"/>
      <c r="EC5" s="161"/>
      <c r="ED5" s="161"/>
      <c r="EE5" s="162"/>
    </row>
    <row r="6" spans="1:135" x14ac:dyDescent="0.35">
      <c r="A6" s="168">
        <f>SUMIF($C$1:$EE$1,"&lt;="&amp;Summary!$K$19,'Monthly CF'!C6:EE6)</f>
        <v>36563661.132040918</v>
      </c>
      <c r="B6" s="5" t="s">
        <v>172</v>
      </c>
      <c r="C6" s="160"/>
      <c r="D6" s="161">
        <f>Revenue!AF5</f>
        <v>245000.00000000003</v>
      </c>
      <c r="E6" s="161">
        <f>Revenue!AG5</f>
        <v>245998.16032699388</v>
      </c>
      <c r="F6" s="161">
        <f>Revenue!AH5</f>
        <v>247000.38728271582</v>
      </c>
      <c r="G6" s="161">
        <f>Revenue!AI5</f>
        <v>248006.69743511468</v>
      </c>
      <c r="H6" s="161">
        <f>Revenue!AJ5</f>
        <v>250033.50377645402</v>
      </c>
      <c r="I6" s="161">
        <f>Revenue!AK5</f>
        <v>252072.70850228437</v>
      </c>
      <c r="J6" s="161">
        <f>Revenue!AL5</f>
        <v>254124.37899579815</v>
      </c>
      <c r="K6" s="161">
        <f>Revenue!AM5</f>
        <v>256188.58298344829</v>
      </c>
      <c r="L6" s="161">
        <f>Revenue!AN5</f>
        <v>258265.38853662682</v>
      </c>
      <c r="M6" s="161">
        <f>Revenue!AO5</f>
        <v>260354.86407335135</v>
      </c>
      <c r="N6" s="161">
        <f>Revenue!AP5</f>
        <v>262457.07835995936</v>
      </c>
      <c r="O6" s="161">
        <f>Revenue!AQ5</f>
        <v>264572.10051281116</v>
      </c>
      <c r="P6" s="161">
        <f>Revenue!AR5</f>
        <v>266700.00000000023</v>
      </c>
      <c r="Q6" s="161">
        <f>Revenue!AS5</f>
        <v>268626.54382668395</v>
      </c>
      <c r="R6" s="161">
        <f>Revenue!AT5</f>
        <v>270562.84333654738</v>
      </c>
      <c r="S6" s="161">
        <f>Revenue!AU5</f>
        <v>271448.59568036307</v>
      </c>
      <c r="T6" s="161">
        <f>Revenue!AV5</f>
        <v>272337.24774686393</v>
      </c>
      <c r="U6" s="161">
        <f>Revenue!AW5</f>
        <v>273228.80902898742</v>
      </c>
      <c r="V6" s="161">
        <f>Revenue!AX5</f>
        <v>274123.28905074846</v>
      </c>
      <c r="W6" s="161">
        <f>Revenue!AY5</f>
        <v>275020.69736734108</v>
      </c>
      <c r="X6" s="161">
        <f>Revenue!AZ5</f>
        <v>275921.04356524063</v>
      </c>
      <c r="Y6" s="161">
        <f>Revenue!BA5</f>
        <v>276824.33726230601</v>
      </c>
      <c r="Z6" s="161">
        <f>Revenue!BB5</f>
        <v>277730.58810788248</v>
      </c>
      <c r="AA6" s="161">
        <f>Revenue!BC5</f>
        <v>278639.80578290473</v>
      </c>
      <c r="AB6" s="161">
        <f>Revenue!BD5</f>
        <v>279552.00000000041</v>
      </c>
      <c r="AC6" s="161">
        <f>Revenue!BE5</f>
        <v>280241.45064738742</v>
      </c>
      <c r="AD6" s="161">
        <f>Revenue!BF5</f>
        <v>280932.60166606563</v>
      </c>
      <c r="AE6" s="161">
        <f>Revenue!BG5</f>
        <v>281625.45724960929</v>
      </c>
      <c r="AF6" s="161">
        <f>Revenue!BH5</f>
        <v>282320.02160193521</v>
      </c>
      <c r="AG6" s="161">
        <f>Revenue!BI5</f>
        <v>283016.29893732816</v>
      </c>
      <c r="AH6" s="161">
        <f>Revenue!BJ5</f>
        <v>283714.29348046653</v>
      </c>
      <c r="AI6" s="161">
        <f>Revenue!BK5</f>
        <v>284414.00946644793</v>
      </c>
      <c r="AJ6" s="161">
        <f>Revenue!BL5</f>
        <v>285115.45114081469</v>
      </c>
      <c r="AK6" s="161">
        <f>Revenue!BM5</f>
        <v>285818.62275958003</v>
      </c>
      <c r="AL6" s="161">
        <f>Revenue!BN5</f>
        <v>286523.52858925343</v>
      </c>
      <c r="AM6" s="161">
        <f>Revenue!BO5</f>
        <v>287230.17290686688</v>
      </c>
      <c r="AN6" s="161">
        <f>Revenue!BP5</f>
        <v>287938.56000000064</v>
      </c>
      <c r="AO6" s="161">
        <f>Revenue!BQ5</f>
        <v>288648.69416680926</v>
      </c>
      <c r="AP6" s="161">
        <f>Revenue!BR5</f>
        <v>289360.5797160478</v>
      </c>
      <c r="AQ6" s="161">
        <f>Revenue!BS5</f>
        <v>290074.22096709773</v>
      </c>
      <c r="AR6" s="161">
        <f>Revenue!BT5</f>
        <v>290789.62224999344</v>
      </c>
      <c r="AS6" s="161">
        <f>Revenue!BU5</f>
        <v>291506.78790544823</v>
      </c>
      <c r="AT6" s="161">
        <f>Revenue!BV5</f>
        <v>292225.72228488076</v>
      </c>
      <c r="AU6" s="161">
        <f>Revenue!BW5</f>
        <v>292946.42975044157</v>
      </c>
      <c r="AV6" s="161">
        <f>Revenue!BX5</f>
        <v>293668.91467503936</v>
      </c>
      <c r="AW6" s="161">
        <f>Revenue!BY5</f>
        <v>294393.18144236761</v>
      </c>
      <c r="AX6" s="161">
        <f>Revenue!BZ5</f>
        <v>295119.23444693122</v>
      </c>
      <c r="AY6" s="161">
        <f>Revenue!CA5</f>
        <v>295847.07809407311</v>
      </c>
      <c r="AZ6" s="161">
        <f>Revenue!CB5</f>
        <v>296576.71680000087</v>
      </c>
      <c r="BA6" s="161">
        <f>Revenue!CC5</f>
        <v>297308.15499181376</v>
      </c>
      <c r="BB6" s="161">
        <f>Revenue!CD5</f>
        <v>298041.39710752945</v>
      </c>
      <c r="BC6" s="161">
        <f>Revenue!CE5</f>
        <v>298776.44759611093</v>
      </c>
      <c r="BD6" s="161">
        <f>Revenue!CF5</f>
        <v>299513.31091749348</v>
      </c>
      <c r="BE6" s="161">
        <f>Revenue!CG5</f>
        <v>300251.99154261191</v>
      </c>
      <c r="BF6" s="161">
        <f>Revenue!CH5</f>
        <v>300992.49395342742</v>
      </c>
      <c r="BG6" s="161">
        <f>Revenue!CI5</f>
        <v>301734.82264295506</v>
      </c>
      <c r="BH6" s="161">
        <f>Revenue!CJ5</f>
        <v>302478.98211529077</v>
      </c>
      <c r="BI6" s="161">
        <f>Revenue!CK5</f>
        <v>303224.9768856389</v>
      </c>
      <c r="BJ6" s="161">
        <f>Revenue!CL5</f>
        <v>303972.81148033944</v>
      </c>
      <c r="BK6" s="161">
        <f>Revenue!CM5</f>
        <v>304722.49043689558</v>
      </c>
      <c r="BL6" s="161">
        <f>Revenue!CN5</f>
        <v>305474.01830400119</v>
      </c>
      <c r="BM6" s="161">
        <f>Revenue!CO5</f>
        <v>306227.39964156848</v>
      </c>
      <c r="BN6" s="161">
        <f>Revenue!CP5</f>
        <v>306982.63902075565</v>
      </c>
      <c r="BO6" s="161">
        <f>Revenue!CQ5</f>
        <v>307739.74102399457</v>
      </c>
      <c r="BP6" s="161">
        <f>Revenue!CR5</f>
        <v>308498.71024501859</v>
      </c>
      <c r="BQ6" s="161">
        <f>Revenue!CS5</f>
        <v>309259.55128889054</v>
      </c>
      <c r="BR6" s="161">
        <f>Revenue!CT5</f>
        <v>310022.26877203054</v>
      </c>
      <c r="BS6" s="161">
        <f>Revenue!CU5</f>
        <v>310786.86732224398</v>
      </c>
      <c r="BT6" s="161">
        <f>Revenue!CV5</f>
        <v>311553.35157874977</v>
      </c>
      <c r="BU6" s="161">
        <f>Revenue!CW5</f>
        <v>312321.72619220836</v>
      </c>
      <c r="BV6" s="161">
        <f>Revenue!CX5</f>
        <v>313091.99582474993</v>
      </c>
      <c r="BW6" s="161">
        <f>Revenue!CY5</f>
        <v>313864.16515000275</v>
      </c>
      <c r="BX6" s="161">
        <f>Revenue!CZ5</f>
        <v>314638.23885312153</v>
      </c>
      <c r="BY6" s="161">
        <f>Revenue!DA5</f>
        <v>315414.22163081582</v>
      </c>
      <c r="BZ6" s="161">
        <f>Revenue!DB5</f>
        <v>316192.1181913786</v>
      </c>
      <c r="CA6" s="161">
        <f>Revenue!DC5</f>
        <v>316971.93325471465</v>
      </c>
      <c r="CB6" s="161">
        <f>Revenue!DD5</f>
        <v>317753.67155236943</v>
      </c>
      <c r="CC6" s="161">
        <f>Revenue!DE5</f>
        <v>318537.33782755752</v>
      </c>
      <c r="CD6" s="161">
        <f>Revenue!DF5</f>
        <v>319322.93683519174</v>
      </c>
      <c r="CE6" s="161">
        <f>Revenue!DG5</f>
        <v>320110.47334191162</v>
      </c>
      <c r="CF6" s="161">
        <f>Revenue!DH5</f>
        <v>320899.95212611259</v>
      </c>
      <c r="CG6" s="161">
        <f>Revenue!DI5</f>
        <v>321691.37797797495</v>
      </c>
      <c r="CH6" s="161">
        <f>Revenue!DJ5</f>
        <v>322484.75569949276</v>
      </c>
      <c r="CI6" s="161">
        <f>Revenue!DK5</f>
        <v>323280.09010450315</v>
      </c>
      <c r="CJ6" s="161">
        <f>Revenue!DL5</f>
        <v>324077.38601871551</v>
      </c>
      <c r="CK6" s="161">
        <f>Revenue!DM5</f>
        <v>324876.64827974065</v>
      </c>
      <c r="CL6" s="161">
        <f>Revenue!DN5</f>
        <v>325677.88173712033</v>
      </c>
      <c r="CM6" s="161">
        <f>Revenue!DO5</f>
        <v>326481.09125235648</v>
      </c>
      <c r="CN6" s="161">
        <f>Revenue!DP5</f>
        <v>327286.2816989409</v>
      </c>
      <c r="CO6" s="161">
        <f>Revenue!DQ5</f>
        <v>328093.45796238468</v>
      </c>
      <c r="CP6" s="161">
        <f>Revenue!DR5</f>
        <v>328902.62494024792</v>
      </c>
      <c r="CQ6" s="161">
        <f>Revenue!DS5</f>
        <v>329713.78754216939</v>
      </c>
      <c r="CR6" s="161">
        <f>Revenue!DT5</f>
        <v>330526.95068989642</v>
      </c>
      <c r="CS6" s="161">
        <f>Revenue!DU5</f>
        <v>331342.11931731465</v>
      </c>
      <c r="CT6" s="161">
        <f>Revenue!DV5</f>
        <v>332159.29837047798</v>
      </c>
      <c r="CU6" s="161">
        <f>Revenue!DW5</f>
        <v>332978.49280763872</v>
      </c>
      <c r="CV6" s="161">
        <f>Revenue!DX5</f>
        <v>333799.70759927743</v>
      </c>
      <c r="CW6" s="161">
        <f>Revenue!DY5</f>
        <v>334622.94772813335</v>
      </c>
      <c r="CX6" s="161">
        <f>Revenue!DZ5</f>
        <v>335448.21818923438</v>
      </c>
      <c r="CY6" s="161">
        <f>Revenue!EA5</f>
        <v>336275.52398992761</v>
      </c>
      <c r="CZ6" s="161">
        <f>Revenue!EB5</f>
        <v>337104.87014990952</v>
      </c>
      <c r="DA6" s="161">
        <f>Revenue!EC5</f>
        <v>337936.26170125662</v>
      </c>
      <c r="DB6" s="161">
        <f>Revenue!ED5</f>
        <v>338769.70368845575</v>
      </c>
      <c r="DC6" s="161">
        <f>Revenue!EE5</f>
        <v>339605.20116843487</v>
      </c>
      <c r="DD6" s="161">
        <f>Revenue!EF5</f>
        <v>340442.75921059371</v>
      </c>
      <c r="DE6" s="161">
        <f>Revenue!EG5</f>
        <v>341282.38289683446</v>
      </c>
      <c r="DF6" s="161">
        <f>Revenue!EH5</f>
        <v>342124.07732159272</v>
      </c>
      <c r="DG6" s="161">
        <f>Revenue!EI5</f>
        <v>342967.84759186825</v>
      </c>
      <c r="DH6" s="161">
        <f>Revenue!EJ5</f>
        <v>343813.69882725616</v>
      </c>
      <c r="DI6" s="161">
        <f>Revenue!EK5</f>
        <v>344661.63615997776</v>
      </c>
      <c r="DJ6" s="161">
        <f>Revenue!EL5</f>
        <v>345511.66473491187</v>
      </c>
      <c r="DK6" s="161">
        <f>Revenue!EM5</f>
        <v>346363.78970962588</v>
      </c>
      <c r="DL6" s="161">
        <f>Revenue!EN5</f>
        <v>347218.0162544073</v>
      </c>
      <c r="DM6" s="161">
        <f>Revenue!EO5</f>
        <v>348074.34955229476</v>
      </c>
      <c r="DN6" s="161">
        <f>Revenue!EP5</f>
        <v>348932.79479910986</v>
      </c>
      <c r="DO6" s="161">
        <f>Revenue!EQ5</f>
        <v>349793.35720348835</v>
      </c>
      <c r="DP6" s="161">
        <f>Revenue!ER5</f>
        <v>350656.04198691197</v>
      </c>
      <c r="DQ6" s="161">
        <f>Revenue!ES5</f>
        <v>351520.85438373993</v>
      </c>
      <c r="DR6" s="161">
        <f>Revenue!ET5</f>
        <v>352387.79964124091</v>
      </c>
      <c r="DS6" s="161">
        <f>Revenue!EU5</f>
        <v>353256.88301962469</v>
      </c>
      <c r="DT6" s="161">
        <f>Revenue!EV5</f>
        <v>354128.10979207419</v>
      </c>
      <c r="DU6" s="161">
        <f>Revenue!EW5</f>
        <v>355001.4852447774</v>
      </c>
      <c r="DV6" s="161">
        <f>Revenue!EX5</f>
        <v>355877.01467695949</v>
      </c>
      <c r="DW6" s="161">
        <f>Revenue!EY5</f>
        <v>356754.70340091496</v>
      </c>
      <c r="DX6" s="161">
        <f>Revenue!EZ5</f>
        <v>357634.5567420398</v>
      </c>
      <c r="DY6" s="161">
        <f>Revenue!FA5</f>
        <v>358516.58003886393</v>
      </c>
      <c r="DZ6" s="161">
        <f>Revenue!FB5</f>
        <v>359400.77864308347</v>
      </c>
      <c r="EA6" s="161">
        <f>Revenue!FC5</f>
        <v>360287.15791959333</v>
      </c>
      <c r="EB6" s="161">
        <f>Revenue!FD5</f>
        <v>361175.72324651963</v>
      </c>
      <c r="EC6" s="161">
        <f>Revenue!FE5</f>
        <v>362066.48001525243</v>
      </c>
      <c r="ED6" s="161">
        <f>Revenue!FF5</f>
        <v>362959.43363047845</v>
      </c>
      <c r="EE6" s="162">
        <f>Revenue!FG5</f>
        <v>363854.58951021376</v>
      </c>
    </row>
    <row r="7" spans="1:135" x14ac:dyDescent="0.35">
      <c r="A7" s="168">
        <f>SUMIF($C$1:$EE$1,"&lt;="&amp;Summary!$K$19,'Monthly CF'!C7:EE7)</f>
        <v>-1875029.6141136794</v>
      </c>
      <c r="B7" s="5" t="s">
        <v>101</v>
      </c>
      <c r="C7" s="160"/>
      <c r="D7" s="161">
        <f>D$6*-HLOOKUP(D$2,Revenue!$S$1:$AC$5,MATCH('Monthly CF'!$B7,Revenue!$R$1:$R$5,0),0)</f>
        <v>-14700.000000000002</v>
      </c>
      <c r="E7" s="161">
        <f>E$6*-HLOOKUP(E$2,Revenue!$S$1:$AC$5,MATCH('Monthly CF'!$B7,Revenue!$R$1:$R$5,0),0)</f>
        <v>-14759.889619619633</v>
      </c>
      <c r="F7" s="161">
        <f>F$6*-HLOOKUP(F$2,Revenue!$S$1:$AC$5,MATCH('Monthly CF'!$B7,Revenue!$R$1:$R$5,0),0)</f>
        <v>-14820.023236962948</v>
      </c>
      <c r="G7" s="161">
        <f>G$6*-HLOOKUP(G$2,Revenue!$S$1:$AC$5,MATCH('Monthly CF'!$B7,Revenue!$R$1:$R$5,0),0)</f>
        <v>-14880.401846106881</v>
      </c>
      <c r="H7" s="161">
        <f>H$6*-HLOOKUP(H$2,Revenue!$S$1:$AC$5,MATCH('Monthly CF'!$B7,Revenue!$R$1:$R$5,0),0)</f>
        <v>-15002.010226587241</v>
      </c>
      <c r="I7" s="161">
        <f>I$6*-HLOOKUP(I$2,Revenue!$S$1:$AC$5,MATCH('Monthly CF'!$B7,Revenue!$R$1:$R$5,0),0)</f>
        <v>-15124.362510137062</v>
      </c>
      <c r="J7" s="161">
        <f>J$6*-HLOOKUP(J$2,Revenue!$S$1:$AC$5,MATCH('Monthly CF'!$B7,Revenue!$R$1:$R$5,0),0)</f>
        <v>-15247.462739747889</v>
      </c>
      <c r="K7" s="161">
        <f>K$6*-HLOOKUP(K$2,Revenue!$S$1:$AC$5,MATCH('Monthly CF'!$B7,Revenue!$R$1:$R$5,0),0)</f>
        <v>-15371.314979006896</v>
      </c>
      <c r="L7" s="161">
        <f>L$6*-HLOOKUP(L$2,Revenue!$S$1:$AC$5,MATCH('Monthly CF'!$B7,Revenue!$R$1:$R$5,0),0)</f>
        <v>-15495.923312197609</v>
      </c>
      <c r="M7" s="161">
        <f>M$6*-HLOOKUP(M$2,Revenue!$S$1:$AC$5,MATCH('Monthly CF'!$B7,Revenue!$R$1:$R$5,0),0)</f>
        <v>-15621.291844401079</v>
      </c>
      <c r="N7" s="161">
        <f>N$6*-HLOOKUP(N$2,Revenue!$S$1:$AC$5,MATCH('Monthly CF'!$B7,Revenue!$R$1:$R$5,0),0)</f>
        <v>-15747.424701597562</v>
      </c>
      <c r="O7" s="161">
        <f>O$6*-HLOOKUP(O$2,Revenue!$S$1:$AC$5,MATCH('Monthly CF'!$B7,Revenue!$R$1:$R$5,0),0)</f>
        <v>-15874.326030768669</v>
      </c>
      <c r="P7" s="161">
        <f>P$6*-HLOOKUP(P$2,Revenue!$S$1:$AC$5,MATCH('Monthly CF'!$B7,Revenue!$R$1:$R$5,0),0)</f>
        <v>-14668.500000000013</v>
      </c>
      <c r="Q7" s="161">
        <f>Q$6*-HLOOKUP(Q$2,Revenue!$S$1:$AC$5,MATCH('Monthly CF'!$B7,Revenue!$R$1:$R$5,0),0)</f>
        <v>-14774.459910467618</v>
      </c>
      <c r="R7" s="161">
        <f>R$6*-HLOOKUP(R$2,Revenue!$S$1:$AC$5,MATCH('Monthly CF'!$B7,Revenue!$R$1:$R$5,0),0)</f>
        <v>-14880.956383510105</v>
      </c>
      <c r="S7" s="161">
        <f>S$6*-HLOOKUP(S$2,Revenue!$S$1:$AC$5,MATCH('Monthly CF'!$B7,Revenue!$R$1:$R$5,0),0)</f>
        <v>-14929.672762419968</v>
      </c>
      <c r="T7" s="161">
        <f>T$6*-HLOOKUP(T$2,Revenue!$S$1:$AC$5,MATCH('Monthly CF'!$B7,Revenue!$R$1:$R$5,0),0)</f>
        <v>-14978.548626077516</v>
      </c>
      <c r="U7" s="161">
        <f>U$6*-HLOOKUP(U$2,Revenue!$S$1:$AC$5,MATCH('Monthly CF'!$B7,Revenue!$R$1:$R$5,0),0)</f>
        <v>-15027.584496594309</v>
      </c>
      <c r="V7" s="161">
        <f>V$6*-HLOOKUP(V$2,Revenue!$S$1:$AC$5,MATCH('Monthly CF'!$B7,Revenue!$R$1:$R$5,0),0)</f>
        <v>-15076.780897791165</v>
      </c>
      <c r="W7" s="161">
        <f>W$6*-HLOOKUP(W$2,Revenue!$S$1:$AC$5,MATCH('Monthly CF'!$B7,Revenue!$R$1:$R$5,0),0)</f>
        <v>-15126.138355203761</v>
      </c>
      <c r="X7" s="161">
        <f>X$6*-HLOOKUP(X$2,Revenue!$S$1:$AC$5,MATCH('Monthly CF'!$B7,Revenue!$R$1:$R$5,0),0)</f>
        <v>-15175.657396088234</v>
      </c>
      <c r="Y7" s="161">
        <f>Y$6*-HLOOKUP(Y$2,Revenue!$S$1:$AC$5,MATCH('Monthly CF'!$B7,Revenue!$R$1:$R$5,0),0)</f>
        <v>-15225.338549426831</v>
      </c>
      <c r="Z7" s="161">
        <f>Z$6*-HLOOKUP(Z$2,Revenue!$S$1:$AC$5,MATCH('Monthly CF'!$B7,Revenue!$R$1:$R$5,0),0)</f>
        <v>-15275.182345933536</v>
      </c>
      <c r="AA7" s="161">
        <f>AA$6*-HLOOKUP(AA$2,Revenue!$S$1:$AC$5,MATCH('Monthly CF'!$B7,Revenue!$R$1:$R$5,0),0)</f>
        <v>-15325.18931805976</v>
      </c>
      <c r="AB7" s="161">
        <f>AB$6*-HLOOKUP(AB$2,Revenue!$S$1:$AC$5,MATCH('Monthly CF'!$B7,Revenue!$R$1:$R$5,0),0)</f>
        <v>-13977.60000000002</v>
      </c>
      <c r="AC7" s="161">
        <f>AC$6*-HLOOKUP(AC$2,Revenue!$S$1:$AC$5,MATCH('Monthly CF'!$B7,Revenue!$R$1:$R$5,0),0)</f>
        <v>-14012.072532369371</v>
      </c>
      <c r="AD7" s="161">
        <f>AD$6*-HLOOKUP(AD$2,Revenue!$S$1:$AC$5,MATCH('Monthly CF'!$B7,Revenue!$R$1:$R$5,0),0)</f>
        <v>-14046.630083303282</v>
      </c>
      <c r="AE7" s="161">
        <f>AE$6*-HLOOKUP(AE$2,Revenue!$S$1:$AC$5,MATCH('Monthly CF'!$B7,Revenue!$R$1:$R$5,0),0)</f>
        <v>-14081.272862480466</v>
      </c>
      <c r="AF7" s="161">
        <f>AF$6*-HLOOKUP(AF$2,Revenue!$S$1:$AC$5,MATCH('Monthly CF'!$B7,Revenue!$R$1:$R$5,0),0)</f>
        <v>-14116.001080096761</v>
      </c>
      <c r="AG7" s="161">
        <f>AG$6*-HLOOKUP(AG$2,Revenue!$S$1:$AC$5,MATCH('Monthly CF'!$B7,Revenue!$R$1:$R$5,0),0)</f>
        <v>-14150.814946866409</v>
      </c>
      <c r="AH7" s="161">
        <f>AH$6*-HLOOKUP(AH$2,Revenue!$S$1:$AC$5,MATCH('Monthly CF'!$B7,Revenue!$R$1:$R$5,0),0)</f>
        <v>-14185.714674023327</v>
      </c>
      <c r="AI7" s="161">
        <f>AI$6*-HLOOKUP(AI$2,Revenue!$S$1:$AC$5,MATCH('Monthly CF'!$B7,Revenue!$R$1:$R$5,0),0)</f>
        <v>-14220.700473322397</v>
      </c>
      <c r="AJ7" s="161">
        <f>AJ$6*-HLOOKUP(AJ$2,Revenue!$S$1:$AC$5,MATCH('Monthly CF'!$B7,Revenue!$R$1:$R$5,0),0)</f>
        <v>-14255.772557040735</v>
      </c>
      <c r="AK7" s="161">
        <f>AK$6*-HLOOKUP(AK$2,Revenue!$S$1:$AC$5,MATCH('Monthly CF'!$B7,Revenue!$R$1:$R$5,0),0)</f>
        <v>-14290.931137979002</v>
      </c>
      <c r="AL7" s="161">
        <f>AL$6*-HLOOKUP(AL$2,Revenue!$S$1:$AC$5,MATCH('Monthly CF'!$B7,Revenue!$R$1:$R$5,0),0)</f>
        <v>-14326.176429462672</v>
      </c>
      <c r="AM7" s="161">
        <f>AM$6*-HLOOKUP(AM$2,Revenue!$S$1:$AC$5,MATCH('Monthly CF'!$B7,Revenue!$R$1:$R$5,0),0)</f>
        <v>-14361.508645343345</v>
      </c>
      <c r="AN7" s="161">
        <f>AN$6*-HLOOKUP(AN$2,Revenue!$S$1:$AC$5,MATCH('Monthly CF'!$B7,Revenue!$R$1:$R$5,0),0)</f>
        <v>-14396.928000000033</v>
      </c>
      <c r="AO7" s="161">
        <f>AO$6*-HLOOKUP(AO$2,Revenue!$S$1:$AC$5,MATCH('Monthly CF'!$B7,Revenue!$R$1:$R$5,0),0)</f>
        <v>-14432.434708340465</v>
      </c>
      <c r="AP7" s="161">
        <f>AP$6*-HLOOKUP(AP$2,Revenue!$S$1:$AC$5,MATCH('Monthly CF'!$B7,Revenue!$R$1:$R$5,0),0)</f>
        <v>-14468.02898580239</v>
      </c>
      <c r="AQ7" s="161">
        <f>AQ$6*-HLOOKUP(AQ$2,Revenue!$S$1:$AC$5,MATCH('Monthly CF'!$B7,Revenue!$R$1:$R$5,0),0)</f>
        <v>-14503.711048354888</v>
      </c>
      <c r="AR7" s="161">
        <f>AR$6*-HLOOKUP(AR$2,Revenue!$S$1:$AC$5,MATCH('Monthly CF'!$B7,Revenue!$R$1:$R$5,0),0)</f>
        <v>-14539.481112499672</v>
      </c>
      <c r="AS7" s="161">
        <f>AS$6*-HLOOKUP(AS$2,Revenue!$S$1:$AC$5,MATCH('Monthly CF'!$B7,Revenue!$R$1:$R$5,0),0)</f>
        <v>-14575.339395272413</v>
      </c>
      <c r="AT7" s="161">
        <f>AT$6*-HLOOKUP(AT$2,Revenue!$S$1:$AC$5,MATCH('Monthly CF'!$B7,Revenue!$R$1:$R$5,0),0)</f>
        <v>-14611.286114244038</v>
      </c>
      <c r="AU7" s="161">
        <f>AU$6*-HLOOKUP(AU$2,Revenue!$S$1:$AC$5,MATCH('Monthly CF'!$B7,Revenue!$R$1:$R$5,0),0)</f>
        <v>-14647.32148752208</v>
      </c>
      <c r="AV7" s="161">
        <f>AV$6*-HLOOKUP(AV$2,Revenue!$S$1:$AC$5,MATCH('Monthly CF'!$B7,Revenue!$R$1:$R$5,0),0)</f>
        <v>-14683.445733751969</v>
      </c>
      <c r="AW7" s="161">
        <f>AW$6*-HLOOKUP(AW$2,Revenue!$S$1:$AC$5,MATCH('Monthly CF'!$B7,Revenue!$R$1:$R$5,0),0)</f>
        <v>-14719.659072118382</v>
      </c>
      <c r="AX7" s="161">
        <f>AX$6*-HLOOKUP(AX$2,Revenue!$S$1:$AC$5,MATCH('Monthly CF'!$B7,Revenue!$R$1:$R$5,0),0)</f>
        <v>-14755.961722346561</v>
      </c>
      <c r="AY7" s="161">
        <f>AY$6*-HLOOKUP(AY$2,Revenue!$S$1:$AC$5,MATCH('Monthly CF'!$B7,Revenue!$R$1:$R$5,0),0)</f>
        <v>-14792.353904703656</v>
      </c>
      <c r="AZ7" s="161">
        <f>AZ$6*-HLOOKUP(AZ$2,Revenue!$S$1:$AC$5,MATCH('Monthly CF'!$B7,Revenue!$R$1:$R$5,0),0)</f>
        <v>-14828.835840000043</v>
      </c>
      <c r="BA7" s="161">
        <f>BA$6*-HLOOKUP(BA$2,Revenue!$S$1:$AC$5,MATCH('Monthly CF'!$B7,Revenue!$R$1:$R$5,0),0)</f>
        <v>-14865.407749590689</v>
      </c>
      <c r="BB7" s="161">
        <f>BB$6*-HLOOKUP(BB$2,Revenue!$S$1:$AC$5,MATCH('Monthly CF'!$B7,Revenue!$R$1:$R$5,0),0)</f>
        <v>-14902.069855376474</v>
      </c>
      <c r="BC7" s="161">
        <f>BC$6*-HLOOKUP(BC$2,Revenue!$S$1:$AC$5,MATCH('Monthly CF'!$B7,Revenue!$R$1:$R$5,0),0)</f>
        <v>-14938.822379805548</v>
      </c>
      <c r="BD7" s="161">
        <f>BD$6*-HLOOKUP(BD$2,Revenue!$S$1:$AC$5,MATCH('Monthly CF'!$B7,Revenue!$R$1:$R$5,0),0)</f>
        <v>-14975.665545874675</v>
      </c>
      <c r="BE7" s="161">
        <f>BE$6*-HLOOKUP(BE$2,Revenue!$S$1:$AC$5,MATCH('Monthly CF'!$B7,Revenue!$R$1:$R$5,0),0)</f>
        <v>-15012.599577130597</v>
      </c>
      <c r="BF7" s="161">
        <f>BF$6*-HLOOKUP(BF$2,Revenue!$S$1:$AC$5,MATCH('Monthly CF'!$B7,Revenue!$R$1:$R$5,0),0)</f>
        <v>-15049.624697671372</v>
      </c>
      <c r="BG7" s="161">
        <f>BG$6*-HLOOKUP(BG$2,Revenue!$S$1:$AC$5,MATCH('Monthly CF'!$B7,Revenue!$R$1:$R$5,0),0)</f>
        <v>-15086.741132147754</v>
      </c>
      <c r="BH7" s="161">
        <f>BH$6*-HLOOKUP(BH$2,Revenue!$S$1:$AC$5,MATCH('Monthly CF'!$B7,Revenue!$R$1:$R$5,0),0)</f>
        <v>-15123.949105764539</v>
      </c>
      <c r="BI7" s="161">
        <f>BI$6*-HLOOKUP(BI$2,Revenue!$S$1:$AC$5,MATCH('Monthly CF'!$B7,Revenue!$R$1:$R$5,0),0)</f>
        <v>-15161.248844281945</v>
      </c>
      <c r="BJ7" s="161">
        <f>BJ$6*-HLOOKUP(BJ$2,Revenue!$S$1:$AC$5,MATCH('Monthly CF'!$B7,Revenue!$R$1:$R$5,0),0)</f>
        <v>-15198.640574016972</v>
      </c>
      <c r="BK7" s="161">
        <f>BK$6*-HLOOKUP(BK$2,Revenue!$S$1:$AC$5,MATCH('Monthly CF'!$B7,Revenue!$R$1:$R$5,0),0)</f>
        <v>-15236.12452184478</v>
      </c>
      <c r="BL7" s="161">
        <f>BL$6*-HLOOKUP(BL$2,Revenue!$S$1:$AC$5,MATCH('Monthly CF'!$B7,Revenue!$R$1:$R$5,0),0)</f>
        <v>-15273.700915200061</v>
      </c>
      <c r="BM7" s="161">
        <f>BM$6*-HLOOKUP(BM$2,Revenue!$S$1:$AC$5,MATCH('Monthly CF'!$B7,Revenue!$R$1:$R$5,0),0)</f>
        <v>-15311.369982078424</v>
      </c>
      <c r="BN7" s="161">
        <f>BN$6*-HLOOKUP(BN$2,Revenue!$S$1:$AC$5,MATCH('Monthly CF'!$B7,Revenue!$R$1:$R$5,0),0)</f>
        <v>-15349.131951037783</v>
      </c>
      <c r="BO7" s="161">
        <f>BO$6*-HLOOKUP(BO$2,Revenue!$S$1:$AC$5,MATCH('Monthly CF'!$B7,Revenue!$R$1:$R$5,0),0)</f>
        <v>-15386.987051199729</v>
      </c>
      <c r="BP7" s="161">
        <f>BP$6*-HLOOKUP(BP$2,Revenue!$S$1:$AC$5,MATCH('Monthly CF'!$B7,Revenue!$R$1:$R$5,0),0)</f>
        <v>-15424.93551225093</v>
      </c>
      <c r="BQ7" s="161">
        <f>BQ$6*-HLOOKUP(BQ$2,Revenue!$S$1:$AC$5,MATCH('Monthly CF'!$B7,Revenue!$R$1:$R$5,0),0)</f>
        <v>-15462.977564444527</v>
      </c>
      <c r="BR7" s="161">
        <f>BR$6*-HLOOKUP(BR$2,Revenue!$S$1:$AC$5,MATCH('Monthly CF'!$B7,Revenue!$R$1:$R$5,0),0)</f>
        <v>-15501.113438601527</v>
      </c>
      <c r="BS7" s="161">
        <f>BS$6*-HLOOKUP(BS$2,Revenue!$S$1:$AC$5,MATCH('Monthly CF'!$B7,Revenue!$R$1:$R$5,0),0)</f>
        <v>-15539.3433661122</v>
      </c>
      <c r="BT7" s="161">
        <f>BT$6*-HLOOKUP(BT$2,Revenue!$S$1:$AC$5,MATCH('Monthly CF'!$B7,Revenue!$R$1:$R$5,0),0)</f>
        <v>-15577.667578937489</v>
      </c>
      <c r="BU7" s="161">
        <f>BU$6*-HLOOKUP(BU$2,Revenue!$S$1:$AC$5,MATCH('Monthly CF'!$B7,Revenue!$R$1:$R$5,0),0)</f>
        <v>-15616.086309610419</v>
      </c>
      <c r="BV7" s="161">
        <f>BV$6*-HLOOKUP(BV$2,Revenue!$S$1:$AC$5,MATCH('Monthly CF'!$B7,Revenue!$R$1:$R$5,0),0)</f>
        <v>-15654.599791237497</v>
      </c>
      <c r="BW7" s="161">
        <f>BW$6*-HLOOKUP(BW$2,Revenue!$S$1:$AC$5,MATCH('Monthly CF'!$B7,Revenue!$R$1:$R$5,0),0)</f>
        <v>-15693.208257500139</v>
      </c>
      <c r="BX7" s="161">
        <f>BX$6*-HLOOKUP(BX$2,Revenue!$S$1:$AC$5,MATCH('Monthly CF'!$B7,Revenue!$R$1:$R$5,0),0)</f>
        <v>-15731.911942656077</v>
      </c>
      <c r="BY7" s="161">
        <f>BY$6*-HLOOKUP(BY$2,Revenue!$S$1:$AC$5,MATCH('Monthly CF'!$B7,Revenue!$R$1:$R$5,0),0)</f>
        <v>-15770.711081540792</v>
      </c>
      <c r="BZ7" s="161">
        <f>BZ$6*-HLOOKUP(BZ$2,Revenue!$S$1:$AC$5,MATCH('Monthly CF'!$B7,Revenue!$R$1:$R$5,0),0)</f>
        <v>-15809.605909568931</v>
      </c>
      <c r="CA7" s="161">
        <f>CA$6*-HLOOKUP(CA$2,Revenue!$S$1:$AC$5,MATCH('Monthly CF'!$B7,Revenue!$R$1:$R$5,0),0)</f>
        <v>-15848.596662735734</v>
      </c>
      <c r="CB7" s="161">
        <f>CB$6*-HLOOKUP(CB$2,Revenue!$S$1:$AC$5,MATCH('Monthly CF'!$B7,Revenue!$R$1:$R$5,0),0)</f>
        <v>-15887.683577618473</v>
      </c>
      <c r="CC7" s="161">
        <f>CC$6*-HLOOKUP(CC$2,Revenue!$S$1:$AC$5,MATCH('Monthly CF'!$B7,Revenue!$R$1:$R$5,0),0)</f>
        <v>-15926.866891377877</v>
      </c>
      <c r="CD7" s="161">
        <f>CD$6*-HLOOKUP(CD$2,Revenue!$S$1:$AC$5,MATCH('Monthly CF'!$B7,Revenue!$R$1:$R$5,0),0)</f>
        <v>-15966.146841759588</v>
      </c>
      <c r="CE7" s="161">
        <f>CE$6*-HLOOKUP(CE$2,Revenue!$S$1:$AC$5,MATCH('Monthly CF'!$B7,Revenue!$R$1:$R$5,0),0)</f>
        <v>-16005.523667095582</v>
      </c>
      <c r="CF7" s="161">
        <f>CF$6*-HLOOKUP(CF$2,Revenue!$S$1:$AC$5,MATCH('Monthly CF'!$B7,Revenue!$R$1:$R$5,0),0)</f>
        <v>-16044.997606305631</v>
      </c>
      <c r="CG7" s="161">
        <f>CG$6*-HLOOKUP(CG$2,Revenue!$S$1:$AC$5,MATCH('Monthly CF'!$B7,Revenue!$R$1:$R$5,0),0)</f>
        <v>-16084.568898898748</v>
      </c>
      <c r="CH7" s="161">
        <f>CH$6*-HLOOKUP(CH$2,Revenue!$S$1:$AC$5,MATCH('Monthly CF'!$B7,Revenue!$R$1:$R$5,0),0)</f>
        <v>-16124.237784974639</v>
      </c>
      <c r="CI7" s="161">
        <f>CI$6*-HLOOKUP(CI$2,Revenue!$S$1:$AC$5,MATCH('Monthly CF'!$B7,Revenue!$R$1:$R$5,0),0)</f>
        <v>-16164.004505225159</v>
      </c>
      <c r="CJ7" s="161">
        <f>CJ$6*-HLOOKUP(CJ$2,Revenue!$S$1:$AC$5,MATCH('Monthly CF'!$B7,Revenue!$R$1:$R$5,0),0)</f>
        <v>-16203.869300935776</v>
      </c>
      <c r="CK7" s="161">
        <f>CK$6*-HLOOKUP(CK$2,Revenue!$S$1:$AC$5,MATCH('Monthly CF'!$B7,Revenue!$R$1:$R$5,0),0)</f>
        <v>-16243.832413987033</v>
      </c>
      <c r="CL7" s="161">
        <f>CL$6*-HLOOKUP(CL$2,Revenue!$S$1:$AC$5,MATCH('Monthly CF'!$B7,Revenue!$R$1:$R$5,0),0)</f>
        <v>-16283.894086856017</v>
      </c>
      <c r="CM7" s="161">
        <f>CM$6*-HLOOKUP(CM$2,Revenue!$S$1:$AC$5,MATCH('Monthly CF'!$B7,Revenue!$R$1:$R$5,0),0)</f>
        <v>-16324.054562617825</v>
      </c>
      <c r="CN7" s="161">
        <f>CN$6*-HLOOKUP(CN$2,Revenue!$S$1:$AC$5,MATCH('Monthly CF'!$B7,Revenue!$R$1:$R$5,0),0)</f>
        <v>-16364.314084947046</v>
      </c>
      <c r="CO7" s="161">
        <f>CO$6*-HLOOKUP(CO$2,Revenue!$S$1:$AC$5,MATCH('Monthly CF'!$B7,Revenue!$R$1:$R$5,0),0)</f>
        <v>-16404.672898119235</v>
      </c>
      <c r="CP7" s="161">
        <f>CP$6*-HLOOKUP(CP$2,Revenue!$S$1:$AC$5,MATCH('Monthly CF'!$B7,Revenue!$R$1:$R$5,0),0)</f>
        <v>-16445.131247012396</v>
      </c>
      <c r="CQ7" s="161">
        <f>CQ$6*-HLOOKUP(CQ$2,Revenue!$S$1:$AC$5,MATCH('Monthly CF'!$B7,Revenue!$R$1:$R$5,0),0)</f>
        <v>-16485.689377108469</v>
      </c>
      <c r="CR7" s="161">
        <f>CR$6*-HLOOKUP(CR$2,Revenue!$S$1:$AC$5,MATCH('Monthly CF'!$B7,Revenue!$R$1:$R$5,0),0)</f>
        <v>-16526.34753449482</v>
      </c>
      <c r="CS7" s="161">
        <f>CS$6*-HLOOKUP(CS$2,Revenue!$S$1:$AC$5,MATCH('Monthly CF'!$B7,Revenue!$R$1:$R$5,0),0)</f>
        <v>-16567.105965865732</v>
      </c>
      <c r="CT7" s="161">
        <f>CT$6*-HLOOKUP(CT$2,Revenue!$S$1:$AC$5,MATCH('Monthly CF'!$B7,Revenue!$R$1:$R$5,0),0)</f>
        <v>-16607.9649185239</v>
      </c>
      <c r="CU7" s="161">
        <f>CU$6*-HLOOKUP(CU$2,Revenue!$S$1:$AC$5,MATCH('Monthly CF'!$B7,Revenue!$R$1:$R$5,0),0)</f>
        <v>-16648.924640381938</v>
      </c>
      <c r="CV7" s="161">
        <f>CV$6*-HLOOKUP(CV$2,Revenue!$S$1:$AC$5,MATCH('Monthly CF'!$B7,Revenue!$R$1:$R$5,0),0)</f>
        <v>-16689.985379963873</v>
      </c>
      <c r="CW7" s="161">
        <f>CW$6*-HLOOKUP(CW$2,Revenue!$S$1:$AC$5,MATCH('Monthly CF'!$B7,Revenue!$R$1:$R$5,0),0)</f>
        <v>-16731.147386406668</v>
      </c>
      <c r="CX7" s="161">
        <f>CX$6*-HLOOKUP(CX$2,Revenue!$S$1:$AC$5,MATCH('Monthly CF'!$B7,Revenue!$R$1:$R$5,0),0)</f>
        <v>-16772.41090946172</v>
      </c>
      <c r="CY7" s="161">
        <f>CY$6*-HLOOKUP(CY$2,Revenue!$S$1:$AC$5,MATCH('Monthly CF'!$B7,Revenue!$R$1:$R$5,0),0)</f>
        <v>-16813.77619949638</v>
      </c>
      <c r="CZ7" s="161">
        <f>CZ$6*-HLOOKUP(CZ$2,Revenue!$S$1:$AC$5,MATCH('Monthly CF'!$B7,Revenue!$R$1:$R$5,0),0)</f>
        <v>-16855.243507495477</v>
      </c>
      <c r="DA7" s="161">
        <f>DA$6*-HLOOKUP(DA$2,Revenue!$S$1:$AC$5,MATCH('Monthly CF'!$B7,Revenue!$R$1:$R$5,0),0)</f>
        <v>-16896.813085062833</v>
      </c>
      <c r="DB7" s="161">
        <f>DB$6*-HLOOKUP(DB$2,Revenue!$S$1:$AC$5,MATCH('Monthly CF'!$B7,Revenue!$R$1:$R$5,0),0)</f>
        <v>-16938.485184422789</v>
      </c>
      <c r="DC7" s="161">
        <f>DC$6*-HLOOKUP(DC$2,Revenue!$S$1:$AC$5,MATCH('Monthly CF'!$B7,Revenue!$R$1:$R$5,0),0)</f>
        <v>-16980.260058421743</v>
      </c>
      <c r="DD7" s="161">
        <f>DD$6*-HLOOKUP(DD$2,Revenue!$S$1:$AC$5,MATCH('Monthly CF'!$B7,Revenue!$R$1:$R$5,0),0)</f>
        <v>-17022.137960529686</v>
      </c>
      <c r="DE7" s="161">
        <f>DE$6*-HLOOKUP(DE$2,Revenue!$S$1:$AC$5,MATCH('Monthly CF'!$B7,Revenue!$R$1:$R$5,0),0)</f>
        <v>-17064.119144841723</v>
      </c>
      <c r="DF7" s="161">
        <f>DF$6*-HLOOKUP(DF$2,Revenue!$S$1:$AC$5,MATCH('Monthly CF'!$B7,Revenue!$R$1:$R$5,0),0)</f>
        <v>-17106.203866079635</v>
      </c>
      <c r="DG7" s="161">
        <f>DG$6*-HLOOKUP(DG$2,Revenue!$S$1:$AC$5,MATCH('Monthly CF'!$B7,Revenue!$R$1:$R$5,0),0)</f>
        <v>-17148.392379593413</v>
      </c>
      <c r="DH7" s="161">
        <f>DH$6*-HLOOKUP(DH$2,Revenue!$S$1:$AC$5,MATCH('Monthly CF'!$B7,Revenue!$R$1:$R$5,0),0)</f>
        <v>-17190.684941362808</v>
      </c>
      <c r="DI7" s="161">
        <f>DI$6*-HLOOKUP(DI$2,Revenue!$S$1:$AC$5,MATCH('Monthly CF'!$B7,Revenue!$R$1:$R$5,0),0)</f>
        <v>-17233.081807998889</v>
      </c>
      <c r="DJ7" s="161">
        <f>DJ$6*-HLOOKUP(DJ$2,Revenue!$S$1:$AC$5,MATCH('Monthly CF'!$B7,Revenue!$R$1:$R$5,0),0)</f>
        <v>-17275.583236745595</v>
      </c>
      <c r="DK7" s="161">
        <f>DK$6*-HLOOKUP(DK$2,Revenue!$S$1:$AC$5,MATCH('Monthly CF'!$B7,Revenue!$R$1:$R$5,0),0)</f>
        <v>-17318.189485481296</v>
      </c>
      <c r="DL7" s="161">
        <f>DL$6*-HLOOKUP(DL$2,Revenue!$S$1:$AC$5,MATCH('Monthly CF'!$B7,Revenue!$R$1:$R$5,0),0)</f>
        <v>-17360.900812720367</v>
      </c>
      <c r="DM7" s="161">
        <f>DM$6*-HLOOKUP(DM$2,Revenue!$S$1:$AC$5,MATCH('Monthly CF'!$B7,Revenue!$R$1:$R$5,0),0)</f>
        <v>-17403.71747761474</v>
      </c>
      <c r="DN7" s="161">
        <f>DN$6*-HLOOKUP(DN$2,Revenue!$S$1:$AC$5,MATCH('Monthly CF'!$B7,Revenue!$R$1:$R$5,0),0)</f>
        <v>-17446.639739955495</v>
      </c>
      <c r="DO7" s="161">
        <f>DO$6*-HLOOKUP(DO$2,Revenue!$S$1:$AC$5,MATCH('Monthly CF'!$B7,Revenue!$R$1:$R$5,0),0)</f>
        <v>-17489.667860174417</v>
      </c>
      <c r="DP7" s="161">
        <f>DP$6*-HLOOKUP(DP$2,Revenue!$S$1:$AC$5,MATCH('Monthly CF'!$B7,Revenue!$R$1:$R$5,0),0)</f>
        <v>-17532.802099345598</v>
      </c>
      <c r="DQ7" s="161">
        <f>DQ$6*-HLOOKUP(DQ$2,Revenue!$S$1:$AC$5,MATCH('Monthly CF'!$B7,Revenue!$R$1:$R$5,0),0)</f>
        <v>-17576.042719186997</v>
      </c>
      <c r="DR7" s="161">
        <f>DR$6*-HLOOKUP(DR$2,Revenue!$S$1:$AC$5,MATCH('Monthly CF'!$B7,Revenue!$R$1:$R$5,0),0)</f>
        <v>-17619.389982062046</v>
      </c>
      <c r="DS7" s="161">
        <f>DS$6*-HLOOKUP(DS$2,Revenue!$S$1:$AC$5,MATCH('Monthly CF'!$B7,Revenue!$R$1:$R$5,0),0)</f>
        <v>-17662.844150981236</v>
      </c>
      <c r="DT7" s="161">
        <f>DT$6*-HLOOKUP(DT$2,Revenue!$S$1:$AC$5,MATCH('Monthly CF'!$B7,Revenue!$R$1:$R$5,0),0)</f>
        <v>-17706.405489603709</v>
      </c>
      <c r="DU7" s="161">
        <f>DU$6*-HLOOKUP(DU$2,Revenue!$S$1:$AC$5,MATCH('Monthly CF'!$B7,Revenue!$R$1:$R$5,0),0)</f>
        <v>-17750.074262238872</v>
      </c>
      <c r="DV7" s="161">
        <f>DV$6*-HLOOKUP(DV$2,Revenue!$S$1:$AC$5,MATCH('Monthly CF'!$B7,Revenue!$R$1:$R$5,0),0)</f>
        <v>-17793.850733847976</v>
      </c>
      <c r="DW7" s="161">
        <f>DW$6*-HLOOKUP(DW$2,Revenue!$S$1:$AC$5,MATCH('Monthly CF'!$B7,Revenue!$R$1:$R$5,0),0)</f>
        <v>-17837.735170045748</v>
      </c>
      <c r="DX7" s="161">
        <f>DX$6*-HLOOKUP(DX$2,Revenue!$S$1:$AC$5,MATCH('Monthly CF'!$B7,Revenue!$R$1:$R$5,0),0)</f>
        <v>-17881.727837101989</v>
      </c>
      <c r="DY7" s="161">
        <f>DY$6*-HLOOKUP(DY$2,Revenue!$S$1:$AC$5,MATCH('Monthly CF'!$B7,Revenue!$R$1:$R$5,0),0)</f>
        <v>-17925.829001943199</v>
      </c>
      <c r="DZ7" s="161">
        <f>DZ$6*-HLOOKUP(DZ$2,Revenue!$S$1:$AC$5,MATCH('Monthly CF'!$B7,Revenue!$R$1:$R$5,0),0)</f>
        <v>-17970.038932154173</v>
      </c>
      <c r="EA7" s="161">
        <f>EA$6*-HLOOKUP(EA$2,Revenue!$S$1:$AC$5,MATCH('Monthly CF'!$B7,Revenue!$R$1:$R$5,0),0)</f>
        <v>-18014.357895979669</v>
      </c>
      <c r="EB7" s="161">
        <f>EB$6*-HLOOKUP(EB$2,Revenue!$S$1:$AC$5,MATCH('Monthly CF'!$B7,Revenue!$R$1:$R$5,0),0)</f>
        <v>-18058.786162325981</v>
      </c>
      <c r="EC7" s="161">
        <f>EC$6*-HLOOKUP(EC$2,Revenue!$S$1:$AC$5,MATCH('Monthly CF'!$B7,Revenue!$R$1:$R$5,0),0)</f>
        <v>-18103.324000762623</v>
      </c>
      <c r="ED7" s="161">
        <f>ED$6*-HLOOKUP(ED$2,Revenue!$S$1:$AC$5,MATCH('Monthly CF'!$B7,Revenue!$R$1:$R$5,0),0)</f>
        <v>-18147.971681523923</v>
      </c>
      <c r="EE7" s="162">
        <f>EE$6*-HLOOKUP(EE$2,Revenue!$S$1:$AC$5,MATCH('Monthly CF'!$B7,Revenue!$R$1:$R$5,0),0)</f>
        <v>-18192.729475510689</v>
      </c>
    </row>
    <row r="8" spans="1:135" x14ac:dyDescent="0.35">
      <c r="A8" s="168">
        <f>SUMIF($C$1:$EE$1,"&lt;="&amp;Summary!$K$19,'Monthly CF'!C8:EE8)</f>
        <v>-206241.58441602191</v>
      </c>
      <c r="B8" s="5" t="s">
        <v>102</v>
      </c>
      <c r="C8" s="160"/>
      <c r="D8" s="161">
        <f>D$6*-HLOOKUP(D$2,Revenue!$S$1:$AC$5,MATCH('Monthly CF'!$B8,Revenue!$R$1:$R$5,0),0)</f>
        <v>-2450.0000000000005</v>
      </c>
      <c r="E8" s="161">
        <f>E$6*-HLOOKUP(E$2,Revenue!$S$1:$AC$5,MATCH('Monthly CF'!$B8,Revenue!$R$1:$R$5,0),0)</f>
        <v>-2459.9816032699387</v>
      </c>
      <c r="F8" s="161">
        <f>F$6*-HLOOKUP(F$2,Revenue!$S$1:$AC$5,MATCH('Monthly CF'!$B8,Revenue!$R$1:$R$5,0),0)</f>
        <v>-2470.0038728271584</v>
      </c>
      <c r="G8" s="161">
        <f>G$6*-HLOOKUP(G$2,Revenue!$S$1:$AC$5,MATCH('Monthly CF'!$B8,Revenue!$R$1:$R$5,0),0)</f>
        <v>-2480.0669743511467</v>
      </c>
      <c r="H8" s="161">
        <f>H$6*-HLOOKUP(H$2,Revenue!$S$1:$AC$5,MATCH('Monthly CF'!$B8,Revenue!$R$1:$R$5,0),0)</f>
        <v>-2500.3350377645402</v>
      </c>
      <c r="I8" s="161">
        <f>I$6*-HLOOKUP(I$2,Revenue!$S$1:$AC$5,MATCH('Monthly CF'!$B8,Revenue!$R$1:$R$5,0),0)</f>
        <v>-2520.7270850228438</v>
      </c>
      <c r="J8" s="161">
        <f>J$6*-HLOOKUP(J$2,Revenue!$S$1:$AC$5,MATCH('Monthly CF'!$B8,Revenue!$R$1:$R$5,0),0)</f>
        <v>-2541.2437899579813</v>
      </c>
      <c r="K8" s="161">
        <f>K$6*-HLOOKUP(K$2,Revenue!$S$1:$AC$5,MATCH('Monthly CF'!$B8,Revenue!$R$1:$R$5,0),0)</f>
        <v>-2561.885829834483</v>
      </c>
      <c r="L8" s="161">
        <f>L$6*-HLOOKUP(L$2,Revenue!$S$1:$AC$5,MATCH('Monthly CF'!$B8,Revenue!$R$1:$R$5,0),0)</f>
        <v>-2582.6538853662682</v>
      </c>
      <c r="M8" s="161">
        <f>M$6*-HLOOKUP(M$2,Revenue!$S$1:$AC$5,MATCH('Monthly CF'!$B8,Revenue!$R$1:$R$5,0),0)</f>
        <v>-2603.5486407335134</v>
      </c>
      <c r="N8" s="161">
        <f>N$6*-HLOOKUP(N$2,Revenue!$S$1:$AC$5,MATCH('Monthly CF'!$B8,Revenue!$R$1:$R$5,0),0)</f>
        <v>-2624.5707835995936</v>
      </c>
      <c r="O8" s="161">
        <f>O$6*-HLOOKUP(O$2,Revenue!$S$1:$AC$5,MATCH('Monthly CF'!$B8,Revenue!$R$1:$R$5,0),0)</f>
        <v>-2645.7210051281118</v>
      </c>
      <c r="P8" s="161">
        <f>P$6*-HLOOKUP(P$2,Revenue!$S$1:$AC$5,MATCH('Monthly CF'!$B8,Revenue!$R$1:$R$5,0),0)</f>
        <v>-2000.2500000000016</v>
      </c>
      <c r="Q8" s="161">
        <f>Q$6*-HLOOKUP(Q$2,Revenue!$S$1:$AC$5,MATCH('Monthly CF'!$B8,Revenue!$R$1:$R$5,0),0)</f>
        <v>-2014.6990787001296</v>
      </c>
      <c r="R8" s="161">
        <f>R$6*-HLOOKUP(R$2,Revenue!$S$1:$AC$5,MATCH('Monthly CF'!$B8,Revenue!$R$1:$R$5,0),0)</f>
        <v>-2029.2213250241052</v>
      </c>
      <c r="S8" s="161">
        <f>S$6*-HLOOKUP(S$2,Revenue!$S$1:$AC$5,MATCH('Monthly CF'!$B8,Revenue!$R$1:$R$5,0),0)</f>
        <v>-2035.8644676027229</v>
      </c>
      <c r="T8" s="161">
        <f>T$6*-HLOOKUP(T$2,Revenue!$S$1:$AC$5,MATCH('Monthly CF'!$B8,Revenue!$R$1:$R$5,0),0)</f>
        <v>-2042.5293581014794</v>
      </c>
      <c r="U8" s="161">
        <f>U$6*-HLOOKUP(U$2,Revenue!$S$1:$AC$5,MATCH('Monthly CF'!$B8,Revenue!$R$1:$R$5,0),0)</f>
        <v>-2049.2160677174056</v>
      </c>
      <c r="V8" s="161">
        <f>V$6*-HLOOKUP(V$2,Revenue!$S$1:$AC$5,MATCH('Monthly CF'!$B8,Revenue!$R$1:$R$5,0),0)</f>
        <v>-2055.9246678806135</v>
      </c>
      <c r="W8" s="161">
        <f>W$6*-HLOOKUP(W$2,Revenue!$S$1:$AC$5,MATCH('Monthly CF'!$B8,Revenue!$R$1:$R$5,0),0)</f>
        <v>-2062.6552302550581</v>
      </c>
      <c r="X8" s="161">
        <f>X$6*-HLOOKUP(X$2,Revenue!$S$1:$AC$5,MATCH('Monthly CF'!$B8,Revenue!$R$1:$R$5,0),0)</f>
        <v>-2069.4078267393047</v>
      </c>
      <c r="Y8" s="161">
        <f>Y$6*-HLOOKUP(Y$2,Revenue!$S$1:$AC$5,MATCH('Monthly CF'!$B8,Revenue!$R$1:$R$5,0),0)</f>
        <v>-2076.1825294672949</v>
      </c>
      <c r="Z8" s="161">
        <f>Z$6*-HLOOKUP(Z$2,Revenue!$S$1:$AC$5,MATCH('Monthly CF'!$B8,Revenue!$R$1:$R$5,0),0)</f>
        <v>-2082.9794108091187</v>
      </c>
      <c r="AA8" s="161">
        <f>AA$6*-HLOOKUP(AA$2,Revenue!$S$1:$AC$5,MATCH('Monthly CF'!$B8,Revenue!$R$1:$R$5,0),0)</f>
        <v>-2089.7985433717854</v>
      </c>
      <c r="AB8" s="161">
        <f>AB$6*-HLOOKUP(AB$2,Revenue!$S$1:$AC$5,MATCH('Monthly CF'!$B8,Revenue!$R$1:$R$5,0),0)</f>
        <v>-1397.760000000002</v>
      </c>
      <c r="AC8" s="161">
        <f>AC$6*-HLOOKUP(AC$2,Revenue!$S$1:$AC$5,MATCH('Monthly CF'!$B8,Revenue!$R$1:$R$5,0),0)</f>
        <v>-1401.207253236937</v>
      </c>
      <c r="AD8" s="161">
        <f>AD$6*-HLOOKUP(AD$2,Revenue!$S$1:$AC$5,MATCH('Monthly CF'!$B8,Revenue!$R$1:$R$5,0),0)</f>
        <v>-1404.6630083303282</v>
      </c>
      <c r="AE8" s="161">
        <f>AE$6*-HLOOKUP(AE$2,Revenue!$S$1:$AC$5,MATCH('Monthly CF'!$B8,Revenue!$R$1:$R$5,0),0)</f>
        <v>-1408.1272862480464</v>
      </c>
      <c r="AF8" s="161">
        <f>AF$6*-HLOOKUP(AF$2,Revenue!$S$1:$AC$5,MATCH('Monthly CF'!$B8,Revenue!$R$1:$R$5,0),0)</f>
        <v>-1411.600108009676</v>
      </c>
      <c r="AG8" s="161">
        <f>AG$6*-HLOOKUP(AG$2,Revenue!$S$1:$AC$5,MATCH('Monthly CF'!$B8,Revenue!$R$1:$R$5,0),0)</f>
        <v>-1415.0814946866408</v>
      </c>
      <c r="AH8" s="161">
        <f>AH$6*-HLOOKUP(AH$2,Revenue!$S$1:$AC$5,MATCH('Monthly CF'!$B8,Revenue!$R$1:$R$5,0),0)</f>
        <v>-1418.5714674023327</v>
      </c>
      <c r="AI8" s="161">
        <f>AI$6*-HLOOKUP(AI$2,Revenue!$S$1:$AC$5,MATCH('Monthly CF'!$B8,Revenue!$R$1:$R$5,0),0)</f>
        <v>-1422.0700473322397</v>
      </c>
      <c r="AJ8" s="161">
        <f>AJ$6*-HLOOKUP(AJ$2,Revenue!$S$1:$AC$5,MATCH('Monthly CF'!$B8,Revenue!$R$1:$R$5,0),0)</f>
        <v>-1425.5772557040734</v>
      </c>
      <c r="AK8" s="161">
        <f>AK$6*-HLOOKUP(AK$2,Revenue!$S$1:$AC$5,MATCH('Monthly CF'!$B8,Revenue!$R$1:$R$5,0),0)</f>
        <v>-1429.0931137979003</v>
      </c>
      <c r="AL8" s="161">
        <f>AL$6*-HLOOKUP(AL$2,Revenue!$S$1:$AC$5,MATCH('Monthly CF'!$B8,Revenue!$R$1:$R$5,0),0)</f>
        <v>-1432.6176429462671</v>
      </c>
      <c r="AM8" s="161">
        <f>AM$6*-HLOOKUP(AM$2,Revenue!$S$1:$AC$5,MATCH('Monthly CF'!$B8,Revenue!$R$1:$R$5,0),0)</f>
        <v>-1436.1508645343345</v>
      </c>
      <c r="AN8" s="161">
        <f>AN$6*-HLOOKUP(AN$2,Revenue!$S$1:$AC$5,MATCH('Monthly CF'!$B8,Revenue!$R$1:$R$5,0),0)</f>
        <v>-1439.6928000000032</v>
      </c>
      <c r="AO8" s="161">
        <f>AO$6*-HLOOKUP(AO$2,Revenue!$S$1:$AC$5,MATCH('Monthly CF'!$B8,Revenue!$R$1:$R$5,0),0)</f>
        <v>-1443.2434708340463</v>
      </c>
      <c r="AP8" s="161">
        <f>AP$6*-HLOOKUP(AP$2,Revenue!$S$1:$AC$5,MATCH('Monthly CF'!$B8,Revenue!$R$1:$R$5,0),0)</f>
        <v>-1446.8028985802391</v>
      </c>
      <c r="AQ8" s="161">
        <f>AQ$6*-HLOOKUP(AQ$2,Revenue!$S$1:$AC$5,MATCH('Monthly CF'!$B8,Revenue!$R$1:$R$5,0),0)</f>
        <v>-1450.3711048354887</v>
      </c>
      <c r="AR8" s="161">
        <f>AR$6*-HLOOKUP(AR$2,Revenue!$S$1:$AC$5,MATCH('Monthly CF'!$B8,Revenue!$R$1:$R$5,0),0)</f>
        <v>-1453.9481112499673</v>
      </c>
      <c r="AS8" s="161">
        <f>AS$6*-HLOOKUP(AS$2,Revenue!$S$1:$AC$5,MATCH('Monthly CF'!$B8,Revenue!$R$1:$R$5,0),0)</f>
        <v>-1457.5339395272413</v>
      </c>
      <c r="AT8" s="161">
        <f>AT$6*-HLOOKUP(AT$2,Revenue!$S$1:$AC$5,MATCH('Monthly CF'!$B8,Revenue!$R$1:$R$5,0),0)</f>
        <v>-1461.1286114244037</v>
      </c>
      <c r="AU8" s="161">
        <f>AU$6*-HLOOKUP(AU$2,Revenue!$S$1:$AC$5,MATCH('Monthly CF'!$B8,Revenue!$R$1:$R$5,0),0)</f>
        <v>-1464.7321487522079</v>
      </c>
      <c r="AV8" s="161">
        <f>AV$6*-HLOOKUP(AV$2,Revenue!$S$1:$AC$5,MATCH('Monthly CF'!$B8,Revenue!$R$1:$R$5,0),0)</f>
        <v>-1468.3445733751969</v>
      </c>
      <c r="AW8" s="161">
        <f>AW$6*-HLOOKUP(AW$2,Revenue!$S$1:$AC$5,MATCH('Monthly CF'!$B8,Revenue!$R$1:$R$5,0),0)</f>
        <v>-1471.9659072118382</v>
      </c>
      <c r="AX8" s="161">
        <f>AX$6*-HLOOKUP(AX$2,Revenue!$S$1:$AC$5,MATCH('Monthly CF'!$B8,Revenue!$R$1:$R$5,0),0)</f>
        <v>-1475.5961722346563</v>
      </c>
      <c r="AY8" s="161">
        <f>AY$6*-HLOOKUP(AY$2,Revenue!$S$1:$AC$5,MATCH('Monthly CF'!$B8,Revenue!$R$1:$R$5,0),0)</f>
        <v>-1479.2353904703655</v>
      </c>
      <c r="AZ8" s="161">
        <f>AZ$6*-HLOOKUP(AZ$2,Revenue!$S$1:$AC$5,MATCH('Monthly CF'!$B8,Revenue!$R$1:$R$5,0),0)</f>
        <v>-1482.8835840000045</v>
      </c>
      <c r="BA8" s="161">
        <f>BA$6*-HLOOKUP(BA$2,Revenue!$S$1:$AC$5,MATCH('Monthly CF'!$B8,Revenue!$R$1:$R$5,0),0)</f>
        <v>-1486.5407749590688</v>
      </c>
      <c r="BB8" s="161">
        <f>BB$6*-HLOOKUP(BB$2,Revenue!$S$1:$AC$5,MATCH('Monthly CF'!$B8,Revenue!$R$1:$R$5,0),0)</f>
        <v>-1490.2069855376474</v>
      </c>
      <c r="BC8" s="161">
        <f>BC$6*-HLOOKUP(BC$2,Revenue!$S$1:$AC$5,MATCH('Monthly CF'!$B8,Revenue!$R$1:$R$5,0),0)</f>
        <v>-1493.8822379805547</v>
      </c>
      <c r="BD8" s="161">
        <f>BD$6*-HLOOKUP(BD$2,Revenue!$S$1:$AC$5,MATCH('Monthly CF'!$B8,Revenue!$R$1:$R$5,0),0)</f>
        <v>-1497.5665545874674</v>
      </c>
      <c r="BE8" s="161">
        <f>BE$6*-HLOOKUP(BE$2,Revenue!$S$1:$AC$5,MATCH('Monthly CF'!$B8,Revenue!$R$1:$R$5,0),0)</f>
        <v>-1501.2599577130595</v>
      </c>
      <c r="BF8" s="161">
        <f>BF$6*-HLOOKUP(BF$2,Revenue!$S$1:$AC$5,MATCH('Monthly CF'!$B8,Revenue!$R$1:$R$5,0),0)</f>
        <v>-1504.962469767137</v>
      </c>
      <c r="BG8" s="161">
        <f>BG$6*-HLOOKUP(BG$2,Revenue!$S$1:$AC$5,MATCH('Monthly CF'!$B8,Revenue!$R$1:$R$5,0),0)</f>
        <v>-1508.6741132147754</v>
      </c>
      <c r="BH8" s="161">
        <f>BH$6*-HLOOKUP(BH$2,Revenue!$S$1:$AC$5,MATCH('Monthly CF'!$B8,Revenue!$R$1:$R$5,0),0)</f>
        <v>-1512.3949105764539</v>
      </c>
      <c r="BI8" s="161">
        <f>BI$6*-HLOOKUP(BI$2,Revenue!$S$1:$AC$5,MATCH('Monthly CF'!$B8,Revenue!$R$1:$R$5,0),0)</f>
        <v>-1516.1248844281945</v>
      </c>
      <c r="BJ8" s="161">
        <f>BJ$6*-HLOOKUP(BJ$2,Revenue!$S$1:$AC$5,MATCH('Monthly CF'!$B8,Revenue!$R$1:$R$5,0),0)</f>
        <v>-1519.8640574016972</v>
      </c>
      <c r="BK8" s="161">
        <f>BK$6*-HLOOKUP(BK$2,Revenue!$S$1:$AC$5,MATCH('Monthly CF'!$B8,Revenue!$R$1:$R$5,0),0)</f>
        <v>-1523.6124521844779</v>
      </c>
      <c r="BL8" s="161">
        <f>BL$6*-HLOOKUP(BL$2,Revenue!$S$1:$AC$5,MATCH('Monthly CF'!$B8,Revenue!$R$1:$R$5,0),0)</f>
        <v>-1527.3700915200061</v>
      </c>
      <c r="BM8" s="161">
        <f>BM$6*-HLOOKUP(BM$2,Revenue!$S$1:$AC$5,MATCH('Monthly CF'!$B8,Revenue!$R$1:$R$5,0),0)</f>
        <v>-1531.1369982078425</v>
      </c>
      <c r="BN8" s="161">
        <f>BN$6*-HLOOKUP(BN$2,Revenue!$S$1:$AC$5,MATCH('Monthly CF'!$B8,Revenue!$R$1:$R$5,0),0)</f>
        <v>-1534.9131951037782</v>
      </c>
      <c r="BO8" s="161">
        <f>BO$6*-HLOOKUP(BO$2,Revenue!$S$1:$AC$5,MATCH('Monthly CF'!$B8,Revenue!$R$1:$R$5,0),0)</f>
        <v>-1538.6987051199728</v>
      </c>
      <c r="BP8" s="161">
        <f>BP$6*-HLOOKUP(BP$2,Revenue!$S$1:$AC$5,MATCH('Monthly CF'!$B8,Revenue!$R$1:$R$5,0),0)</f>
        <v>-1542.4935512250929</v>
      </c>
      <c r="BQ8" s="161">
        <f>BQ$6*-HLOOKUP(BQ$2,Revenue!$S$1:$AC$5,MATCH('Monthly CF'!$B8,Revenue!$R$1:$R$5,0),0)</f>
        <v>-1546.2977564444527</v>
      </c>
      <c r="BR8" s="161">
        <f>BR$6*-HLOOKUP(BR$2,Revenue!$S$1:$AC$5,MATCH('Monthly CF'!$B8,Revenue!$R$1:$R$5,0),0)</f>
        <v>-1550.1113438601528</v>
      </c>
      <c r="BS8" s="161">
        <f>BS$6*-HLOOKUP(BS$2,Revenue!$S$1:$AC$5,MATCH('Monthly CF'!$B8,Revenue!$R$1:$R$5,0),0)</f>
        <v>-1553.93433661122</v>
      </c>
      <c r="BT8" s="161">
        <f>BT$6*-HLOOKUP(BT$2,Revenue!$S$1:$AC$5,MATCH('Monthly CF'!$B8,Revenue!$R$1:$R$5,0),0)</f>
        <v>-1557.7667578937489</v>
      </c>
      <c r="BU8" s="161">
        <f>BU$6*-HLOOKUP(BU$2,Revenue!$S$1:$AC$5,MATCH('Monthly CF'!$B8,Revenue!$R$1:$R$5,0),0)</f>
        <v>-1561.6086309610419</v>
      </c>
      <c r="BV8" s="161">
        <f>BV$6*-HLOOKUP(BV$2,Revenue!$S$1:$AC$5,MATCH('Monthly CF'!$B8,Revenue!$R$1:$R$5,0),0)</f>
        <v>-1565.4599791237497</v>
      </c>
      <c r="BW8" s="161">
        <f>BW$6*-HLOOKUP(BW$2,Revenue!$S$1:$AC$5,MATCH('Monthly CF'!$B8,Revenue!$R$1:$R$5,0),0)</f>
        <v>-1569.3208257500137</v>
      </c>
      <c r="BX8" s="161">
        <f>BX$6*-HLOOKUP(BX$2,Revenue!$S$1:$AC$5,MATCH('Monthly CF'!$B8,Revenue!$R$1:$R$5,0),0)</f>
        <v>-1573.1911942656077</v>
      </c>
      <c r="BY8" s="161">
        <f>BY$6*-HLOOKUP(BY$2,Revenue!$S$1:$AC$5,MATCH('Monthly CF'!$B8,Revenue!$R$1:$R$5,0),0)</f>
        <v>-1577.0711081540792</v>
      </c>
      <c r="BZ8" s="161">
        <f>BZ$6*-HLOOKUP(BZ$2,Revenue!$S$1:$AC$5,MATCH('Monthly CF'!$B8,Revenue!$R$1:$R$5,0),0)</f>
        <v>-1580.9605909568929</v>
      </c>
      <c r="CA8" s="161">
        <f>CA$6*-HLOOKUP(CA$2,Revenue!$S$1:$AC$5,MATCH('Monthly CF'!$B8,Revenue!$R$1:$R$5,0),0)</f>
        <v>-1584.8596662735733</v>
      </c>
      <c r="CB8" s="161">
        <f>CB$6*-HLOOKUP(CB$2,Revenue!$S$1:$AC$5,MATCH('Monthly CF'!$B8,Revenue!$R$1:$R$5,0),0)</f>
        <v>-1588.7683577618473</v>
      </c>
      <c r="CC8" s="161">
        <f>CC$6*-HLOOKUP(CC$2,Revenue!$S$1:$AC$5,MATCH('Monthly CF'!$B8,Revenue!$R$1:$R$5,0),0)</f>
        <v>-1592.6866891377877</v>
      </c>
      <c r="CD8" s="161">
        <f>CD$6*-HLOOKUP(CD$2,Revenue!$S$1:$AC$5,MATCH('Monthly CF'!$B8,Revenue!$R$1:$R$5,0),0)</f>
        <v>-1596.6146841759587</v>
      </c>
      <c r="CE8" s="161">
        <f>CE$6*-HLOOKUP(CE$2,Revenue!$S$1:$AC$5,MATCH('Monthly CF'!$B8,Revenue!$R$1:$R$5,0),0)</f>
        <v>-1600.5523667095581</v>
      </c>
      <c r="CF8" s="161">
        <f>CF$6*-HLOOKUP(CF$2,Revenue!$S$1:$AC$5,MATCH('Monthly CF'!$B8,Revenue!$R$1:$R$5,0),0)</f>
        <v>-1604.4997606305631</v>
      </c>
      <c r="CG8" s="161">
        <f>CG$6*-HLOOKUP(CG$2,Revenue!$S$1:$AC$5,MATCH('Monthly CF'!$B8,Revenue!$R$1:$R$5,0),0)</f>
        <v>-1608.4568898898747</v>
      </c>
      <c r="CH8" s="161">
        <f>CH$6*-HLOOKUP(CH$2,Revenue!$S$1:$AC$5,MATCH('Monthly CF'!$B8,Revenue!$R$1:$R$5,0),0)</f>
        <v>-1612.4237784974639</v>
      </c>
      <c r="CI8" s="161">
        <f>CI$6*-HLOOKUP(CI$2,Revenue!$S$1:$AC$5,MATCH('Monthly CF'!$B8,Revenue!$R$1:$R$5,0),0)</f>
        <v>-1616.4004505225157</v>
      </c>
      <c r="CJ8" s="161">
        <f>CJ$6*-HLOOKUP(CJ$2,Revenue!$S$1:$AC$5,MATCH('Monthly CF'!$B8,Revenue!$R$1:$R$5,0),0)</f>
        <v>-1620.3869300935776</v>
      </c>
      <c r="CK8" s="161">
        <f>CK$6*-HLOOKUP(CK$2,Revenue!$S$1:$AC$5,MATCH('Monthly CF'!$B8,Revenue!$R$1:$R$5,0),0)</f>
        <v>-1624.3832413987034</v>
      </c>
      <c r="CL8" s="161">
        <f>CL$6*-HLOOKUP(CL$2,Revenue!$S$1:$AC$5,MATCH('Monthly CF'!$B8,Revenue!$R$1:$R$5,0),0)</f>
        <v>-1628.3894086856017</v>
      </c>
      <c r="CM8" s="161">
        <f>CM$6*-HLOOKUP(CM$2,Revenue!$S$1:$AC$5,MATCH('Monthly CF'!$B8,Revenue!$R$1:$R$5,0),0)</f>
        <v>-1632.4054562617823</v>
      </c>
      <c r="CN8" s="161">
        <f>CN$6*-HLOOKUP(CN$2,Revenue!$S$1:$AC$5,MATCH('Monthly CF'!$B8,Revenue!$R$1:$R$5,0),0)</f>
        <v>-1636.4314084947046</v>
      </c>
      <c r="CO8" s="161">
        <f>CO$6*-HLOOKUP(CO$2,Revenue!$S$1:$AC$5,MATCH('Monthly CF'!$B8,Revenue!$R$1:$R$5,0),0)</f>
        <v>-1640.4672898119234</v>
      </c>
      <c r="CP8" s="161">
        <f>CP$6*-HLOOKUP(CP$2,Revenue!$S$1:$AC$5,MATCH('Monthly CF'!$B8,Revenue!$R$1:$R$5,0),0)</f>
        <v>-1644.5131247012396</v>
      </c>
      <c r="CQ8" s="161">
        <f>CQ$6*-HLOOKUP(CQ$2,Revenue!$S$1:$AC$5,MATCH('Monthly CF'!$B8,Revenue!$R$1:$R$5,0),0)</f>
        <v>-1648.568937710847</v>
      </c>
      <c r="CR8" s="161">
        <f>CR$6*-HLOOKUP(CR$2,Revenue!$S$1:$AC$5,MATCH('Monthly CF'!$B8,Revenue!$R$1:$R$5,0),0)</f>
        <v>-1652.6347534494821</v>
      </c>
      <c r="CS8" s="161">
        <f>CS$6*-HLOOKUP(CS$2,Revenue!$S$1:$AC$5,MATCH('Monthly CF'!$B8,Revenue!$R$1:$R$5,0),0)</f>
        <v>-1656.7105965865733</v>
      </c>
      <c r="CT8" s="161">
        <f>CT$6*-HLOOKUP(CT$2,Revenue!$S$1:$AC$5,MATCH('Monthly CF'!$B8,Revenue!$R$1:$R$5,0),0)</f>
        <v>-1660.7964918523899</v>
      </c>
      <c r="CU8" s="161">
        <f>CU$6*-HLOOKUP(CU$2,Revenue!$S$1:$AC$5,MATCH('Monthly CF'!$B8,Revenue!$R$1:$R$5,0),0)</f>
        <v>-1664.8924640381936</v>
      </c>
      <c r="CV8" s="161">
        <f>CV$6*-HLOOKUP(CV$2,Revenue!$S$1:$AC$5,MATCH('Monthly CF'!$B8,Revenue!$R$1:$R$5,0),0)</f>
        <v>-1668.9985379963873</v>
      </c>
      <c r="CW8" s="161">
        <f>CW$6*-HLOOKUP(CW$2,Revenue!$S$1:$AC$5,MATCH('Monthly CF'!$B8,Revenue!$R$1:$R$5,0),0)</f>
        <v>-1673.1147386406667</v>
      </c>
      <c r="CX8" s="161">
        <f>CX$6*-HLOOKUP(CX$2,Revenue!$S$1:$AC$5,MATCH('Monthly CF'!$B8,Revenue!$R$1:$R$5,0),0)</f>
        <v>-1677.2410909461719</v>
      </c>
      <c r="CY8" s="161">
        <f>CY$6*-HLOOKUP(CY$2,Revenue!$S$1:$AC$5,MATCH('Monthly CF'!$B8,Revenue!$R$1:$R$5,0),0)</f>
        <v>-1681.3776199496381</v>
      </c>
      <c r="CZ8" s="161">
        <f>CZ$6*-HLOOKUP(CZ$2,Revenue!$S$1:$AC$5,MATCH('Monthly CF'!$B8,Revenue!$R$1:$R$5,0),0)</f>
        <v>-1685.5243507495477</v>
      </c>
      <c r="DA8" s="161">
        <f>DA$6*-HLOOKUP(DA$2,Revenue!$S$1:$AC$5,MATCH('Monthly CF'!$B8,Revenue!$R$1:$R$5,0),0)</f>
        <v>-1689.6813085062831</v>
      </c>
      <c r="DB8" s="161">
        <f>DB$6*-HLOOKUP(DB$2,Revenue!$S$1:$AC$5,MATCH('Monthly CF'!$B8,Revenue!$R$1:$R$5,0),0)</f>
        <v>-1693.8485184422789</v>
      </c>
      <c r="DC8" s="161">
        <f>DC$6*-HLOOKUP(DC$2,Revenue!$S$1:$AC$5,MATCH('Monthly CF'!$B8,Revenue!$R$1:$R$5,0),0)</f>
        <v>-1698.0260058421743</v>
      </c>
      <c r="DD8" s="161">
        <f>DD$6*-HLOOKUP(DD$2,Revenue!$S$1:$AC$5,MATCH('Monthly CF'!$B8,Revenue!$R$1:$R$5,0),0)</f>
        <v>-1702.2137960529685</v>
      </c>
      <c r="DE8" s="161">
        <f>DE$6*-HLOOKUP(DE$2,Revenue!$S$1:$AC$5,MATCH('Monthly CF'!$B8,Revenue!$R$1:$R$5,0),0)</f>
        <v>-1706.4119144841723</v>
      </c>
      <c r="DF8" s="161">
        <f>DF$6*-HLOOKUP(DF$2,Revenue!$S$1:$AC$5,MATCH('Monthly CF'!$B8,Revenue!$R$1:$R$5,0),0)</f>
        <v>-1710.6203866079636</v>
      </c>
      <c r="DG8" s="161">
        <f>DG$6*-HLOOKUP(DG$2,Revenue!$S$1:$AC$5,MATCH('Monthly CF'!$B8,Revenue!$R$1:$R$5,0),0)</f>
        <v>-1714.8392379593413</v>
      </c>
      <c r="DH8" s="161">
        <f>DH$6*-HLOOKUP(DH$2,Revenue!$S$1:$AC$5,MATCH('Monthly CF'!$B8,Revenue!$R$1:$R$5,0),0)</f>
        <v>-1719.0684941362808</v>
      </c>
      <c r="DI8" s="161">
        <f>DI$6*-HLOOKUP(DI$2,Revenue!$S$1:$AC$5,MATCH('Monthly CF'!$B8,Revenue!$R$1:$R$5,0),0)</f>
        <v>-1723.3081807998888</v>
      </c>
      <c r="DJ8" s="161">
        <f>DJ$6*-HLOOKUP(DJ$2,Revenue!$S$1:$AC$5,MATCH('Monthly CF'!$B8,Revenue!$R$1:$R$5,0),0)</f>
        <v>-1727.5583236745595</v>
      </c>
      <c r="DK8" s="161">
        <f>DK$6*-HLOOKUP(DK$2,Revenue!$S$1:$AC$5,MATCH('Monthly CF'!$B8,Revenue!$R$1:$R$5,0),0)</f>
        <v>-1731.8189485481294</v>
      </c>
      <c r="DL8" s="161">
        <f>DL$6*-HLOOKUP(DL$2,Revenue!$S$1:$AC$5,MATCH('Monthly CF'!$B8,Revenue!$R$1:$R$5,0),0)</f>
        <v>-1736.0900812720365</v>
      </c>
      <c r="DM8" s="161">
        <f>DM$6*-HLOOKUP(DM$2,Revenue!$S$1:$AC$5,MATCH('Monthly CF'!$B8,Revenue!$R$1:$R$5,0),0)</f>
        <v>-1740.3717477614739</v>
      </c>
      <c r="DN8" s="161">
        <f>DN$6*-HLOOKUP(DN$2,Revenue!$S$1:$AC$5,MATCH('Monthly CF'!$B8,Revenue!$R$1:$R$5,0),0)</f>
        <v>-1744.6639739955494</v>
      </c>
      <c r="DO8" s="161">
        <f>DO$6*-HLOOKUP(DO$2,Revenue!$S$1:$AC$5,MATCH('Monthly CF'!$B8,Revenue!$R$1:$R$5,0),0)</f>
        <v>-1748.9667860174418</v>
      </c>
      <c r="DP8" s="161">
        <f>DP$6*-HLOOKUP(DP$2,Revenue!$S$1:$AC$5,MATCH('Monthly CF'!$B8,Revenue!$R$1:$R$5,0),0)</f>
        <v>-1753.2802099345599</v>
      </c>
      <c r="DQ8" s="161">
        <f>DQ$6*-HLOOKUP(DQ$2,Revenue!$S$1:$AC$5,MATCH('Monthly CF'!$B8,Revenue!$R$1:$R$5,0),0)</f>
        <v>-1757.6042719186996</v>
      </c>
      <c r="DR8" s="161">
        <f>DR$6*-HLOOKUP(DR$2,Revenue!$S$1:$AC$5,MATCH('Monthly CF'!$B8,Revenue!$R$1:$R$5,0),0)</f>
        <v>-1761.9389982062046</v>
      </c>
      <c r="DS8" s="161">
        <f>DS$6*-HLOOKUP(DS$2,Revenue!$S$1:$AC$5,MATCH('Monthly CF'!$B8,Revenue!$R$1:$R$5,0),0)</f>
        <v>-1766.2844150981234</v>
      </c>
      <c r="DT8" s="161">
        <f>DT$6*-HLOOKUP(DT$2,Revenue!$S$1:$AC$5,MATCH('Monthly CF'!$B8,Revenue!$R$1:$R$5,0),0)</f>
        <v>-1770.640548960371</v>
      </c>
      <c r="DU8" s="161">
        <f>DU$6*-HLOOKUP(DU$2,Revenue!$S$1:$AC$5,MATCH('Monthly CF'!$B8,Revenue!$R$1:$R$5,0),0)</f>
        <v>-1775.007426223887</v>
      </c>
      <c r="DV8" s="161">
        <f>DV$6*-HLOOKUP(DV$2,Revenue!$S$1:$AC$5,MATCH('Monthly CF'!$B8,Revenue!$R$1:$R$5,0),0)</f>
        <v>-1779.3850733847976</v>
      </c>
      <c r="DW8" s="161">
        <f>DW$6*-HLOOKUP(DW$2,Revenue!$S$1:$AC$5,MATCH('Monthly CF'!$B8,Revenue!$R$1:$R$5,0),0)</f>
        <v>-1783.7735170045748</v>
      </c>
      <c r="DX8" s="161">
        <f>DX$6*-HLOOKUP(DX$2,Revenue!$S$1:$AC$5,MATCH('Monthly CF'!$B8,Revenue!$R$1:$R$5,0),0)</f>
        <v>-1788.1727837101989</v>
      </c>
      <c r="DY8" s="161">
        <f>DY$6*-HLOOKUP(DY$2,Revenue!$S$1:$AC$5,MATCH('Monthly CF'!$B8,Revenue!$R$1:$R$5,0),0)</f>
        <v>-1792.5829001943198</v>
      </c>
      <c r="DZ8" s="161">
        <f>DZ$6*-HLOOKUP(DZ$2,Revenue!$S$1:$AC$5,MATCH('Monthly CF'!$B8,Revenue!$R$1:$R$5,0),0)</f>
        <v>-1797.0038932154173</v>
      </c>
      <c r="EA8" s="161">
        <f>EA$6*-HLOOKUP(EA$2,Revenue!$S$1:$AC$5,MATCH('Monthly CF'!$B8,Revenue!$R$1:$R$5,0),0)</f>
        <v>-1801.4357895979667</v>
      </c>
      <c r="EB8" s="161">
        <f>EB$6*-HLOOKUP(EB$2,Revenue!$S$1:$AC$5,MATCH('Monthly CF'!$B8,Revenue!$R$1:$R$5,0),0)</f>
        <v>-1805.8786162325982</v>
      </c>
      <c r="EC8" s="161">
        <f>EC$6*-HLOOKUP(EC$2,Revenue!$S$1:$AC$5,MATCH('Monthly CF'!$B8,Revenue!$R$1:$R$5,0),0)</f>
        <v>-1810.3324000762623</v>
      </c>
      <c r="ED8" s="161">
        <f>ED$6*-HLOOKUP(ED$2,Revenue!$S$1:$AC$5,MATCH('Monthly CF'!$B8,Revenue!$R$1:$R$5,0),0)</f>
        <v>-1814.7971681523923</v>
      </c>
      <c r="EE8" s="162">
        <f>EE$6*-HLOOKUP(EE$2,Revenue!$S$1:$AC$5,MATCH('Monthly CF'!$B8,Revenue!$R$1:$R$5,0),0)</f>
        <v>-1819.2729475510689</v>
      </c>
    </row>
    <row r="9" spans="1:135" x14ac:dyDescent="0.35">
      <c r="A9" s="168">
        <f>SUMIF($C$1:$EE$1,"&lt;="&amp;Summary!$K$19,'Monthly CF'!C9:EE9)</f>
        <v>-46846.557511634928</v>
      </c>
      <c r="B9" s="5" t="s">
        <v>103</v>
      </c>
      <c r="C9" s="160"/>
      <c r="D9" s="161">
        <f>D$6*-HLOOKUP(D$2,Revenue!$S$1:$AC$5,MATCH('Monthly CF'!$B9,Revenue!$R$1:$R$5,0),0)</f>
        <v>-2450.0000000000005</v>
      </c>
      <c r="E9" s="161">
        <f>E$6*-HLOOKUP(E$2,Revenue!$S$1:$AC$5,MATCH('Monthly CF'!$B9,Revenue!$R$1:$R$5,0),0)</f>
        <v>-2459.9816032699387</v>
      </c>
      <c r="F9" s="161">
        <f>F$6*-HLOOKUP(F$2,Revenue!$S$1:$AC$5,MATCH('Monthly CF'!$B9,Revenue!$R$1:$R$5,0),0)</f>
        <v>-2470.0038728271584</v>
      </c>
      <c r="G9" s="161">
        <f>G$6*-HLOOKUP(G$2,Revenue!$S$1:$AC$5,MATCH('Monthly CF'!$B9,Revenue!$R$1:$R$5,0),0)</f>
        <v>-2480.0669743511467</v>
      </c>
      <c r="H9" s="161">
        <f>H$6*-HLOOKUP(H$2,Revenue!$S$1:$AC$5,MATCH('Monthly CF'!$B9,Revenue!$R$1:$R$5,0),0)</f>
        <v>-2500.3350377645402</v>
      </c>
      <c r="I9" s="161">
        <f>I$6*-HLOOKUP(I$2,Revenue!$S$1:$AC$5,MATCH('Monthly CF'!$B9,Revenue!$R$1:$R$5,0),0)</f>
        <v>-2520.7270850228438</v>
      </c>
      <c r="J9" s="161">
        <f>J$6*-HLOOKUP(J$2,Revenue!$S$1:$AC$5,MATCH('Monthly CF'!$B9,Revenue!$R$1:$R$5,0),0)</f>
        <v>-2541.2437899579813</v>
      </c>
      <c r="K9" s="161">
        <f>K$6*-HLOOKUP(K$2,Revenue!$S$1:$AC$5,MATCH('Monthly CF'!$B9,Revenue!$R$1:$R$5,0),0)</f>
        <v>-2561.885829834483</v>
      </c>
      <c r="L9" s="161">
        <f>L$6*-HLOOKUP(L$2,Revenue!$S$1:$AC$5,MATCH('Monthly CF'!$B9,Revenue!$R$1:$R$5,0),0)</f>
        <v>-2582.6538853662682</v>
      </c>
      <c r="M9" s="161">
        <f>M$6*-HLOOKUP(M$2,Revenue!$S$1:$AC$5,MATCH('Monthly CF'!$B9,Revenue!$R$1:$R$5,0),0)</f>
        <v>-2603.5486407335134</v>
      </c>
      <c r="N9" s="161">
        <f>N$6*-HLOOKUP(N$2,Revenue!$S$1:$AC$5,MATCH('Monthly CF'!$B9,Revenue!$R$1:$R$5,0),0)</f>
        <v>-2624.5707835995936</v>
      </c>
      <c r="O9" s="161">
        <f>O$6*-HLOOKUP(O$2,Revenue!$S$1:$AC$5,MATCH('Monthly CF'!$B9,Revenue!$R$1:$R$5,0),0)</f>
        <v>-2645.7210051281118</v>
      </c>
      <c r="P9" s="161">
        <f>P$6*-HLOOKUP(P$2,Revenue!$S$1:$AC$5,MATCH('Monthly CF'!$B9,Revenue!$R$1:$R$5,0),0)</f>
        <v>-1333.5000000000011</v>
      </c>
      <c r="Q9" s="161">
        <f>Q$6*-HLOOKUP(Q$2,Revenue!$S$1:$AC$5,MATCH('Monthly CF'!$B9,Revenue!$R$1:$R$5,0),0)</f>
        <v>-1343.1327191334199</v>
      </c>
      <c r="R9" s="161">
        <f>R$6*-HLOOKUP(R$2,Revenue!$S$1:$AC$5,MATCH('Monthly CF'!$B9,Revenue!$R$1:$R$5,0),0)</f>
        <v>-1352.814216682737</v>
      </c>
      <c r="S9" s="161">
        <f>S$6*-HLOOKUP(S$2,Revenue!$S$1:$AC$5,MATCH('Monthly CF'!$B9,Revenue!$R$1:$R$5,0),0)</f>
        <v>-1357.2429784018154</v>
      </c>
      <c r="T9" s="161">
        <f>T$6*-HLOOKUP(T$2,Revenue!$S$1:$AC$5,MATCH('Monthly CF'!$B9,Revenue!$R$1:$R$5,0),0)</f>
        <v>-1361.6862387343197</v>
      </c>
      <c r="U9" s="161">
        <f>U$6*-HLOOKUP(U$2,Revenue!$S$1:$AC$5,MATCH('Monthly CF'!$B9,Revenue!$R$1:$R$5,0),0)</f>
        <v>-1366.1440451449371</v>
      </c>
      <c r="V9" s="161">
        <f>V$6*-HLOOKUP(V$2,Revenue!$S$1:$AC$5,MATCH('Monthly CF'!$B9,Revenue!$R$1:$R$5,0),0)</f>
        <v>-1370.6164452537423</v>
      </c>
      <c r="W9" s="161">
        <f>W$6*-HLOOKUP(W$2,Revenue!$S$1:$AC$5,MATCH('Monthly CF'!$B9,Revenue!$R$1:$R$5,0),0)</f>
        <v>-1375.1034868367055</v>
      </c>
      <c r="X9" s="161">
        <f>X$6*-HLOOKUP(X$2,Revenue!$S$1:$AC$5,MATCH('Monthly CF'!$B9,Revenue!$R$1:$R$5,0),0)</f>
        <v>-1379.6052178262032</v>
      </c>
      <c r="Y9" s="161">
        <f>Y$6*-HLOOKUP(Y$2,Revenue!$S$1:$AC$5,MATCH('Monthly CF'!$B9,Revenue!$R$1:$R$5,0),0)</f>
        <v>-1384.1216863115301</v>
      </c>
      <c r="Z9" s="161">
        <f>Z$6*-HLOOKUP(Z$2,Revenue!$S$1:$AC$5,MATCH('Monthly CF'!$B9,Revenue!$R$1:$R$5,0),0)</f>
        <v>-1388.6529405394124</v>
      </c>
      <c r="AA9" s="161">
        <f>AA$6*-HLOOKUP(AA$2,Revenue!$S$1:$AC$5,MATCH('Monthly CF'!$B9,Revenue!$R$1:$R$5,0),0)</f>
        <v>-1393.1990289145238</v>
      </c>
      <c r="AB9" s="161">
        <f>AB$6*-HLOOKUP(AB$2,Revenue!$S$1:$AC$5,MATCH('Monthly CF'!$B9,Revenue!$R$1:$R$5,0),0)</f>
        <v>0</v>
      </c>
      <c r="AC9" s="161">
        <f>AC$6*-HLOOKUP(AC$2,Revenue!$S$1:$AC$5,MATCH('Monthly CF'!$B9,Revenue!$R$1:$R$5,0),0)</f>
        <v>0</v>
      </c>
      <c r="AD9" s="161">
        <f>AD$6*-HLOOKUP(AD$2,Revenue!$S$1:$AC$5,MATCH('Monthly CF'!$B9,Revenue!$R$1:$R$5,0),0)</f>
        <v>0</v>
      </c>
      <c r="AE9" s="161">
        <f>AE$6*-HLOOKUP(AE$2,Revenue!$S$1:$AC$5,MATCH('Monthly CF'!$B9,Revenue!$R$1:$R$5,0),0)</f>
        <v>0</v>
      </c>
      <c r="AF9" s="161">
        <f>AF$6*-HLOOKUP(AF$2,Revenue!$S$1:$AC$5,MATCH('Monthly CF'!$B9,Revenue!$R$1:$R$5,0),0)</f>
        <v>0</v>
      </c>
      <c r="AG9" s="161">
        <f>AG$6*-HLOOKUP(AG$2,Revenue!$S$1:$AC$5,MATCH('Monthly CF'!$B9,Revenue!$R$1:$R$5,0),0)</f>
        <v>0</v>
      </c>
      <c r="AH9" s="161">
        <f>AH$6*-HLOOKUP(AH$2,Revenue!$S$1:$AC$5,MATCH('Monthly CF'!$B9,Revenue!$R$1:$R$5,0),0)</f>
        <v>0</v>
      </c>
      <c r="AI9" s="161">
        <f>AI$6*-HLOOKUP(AI$2,Revenue!$S$1:$AC$5,MATCH('Monthly CF'!$B9,Revenue!$R$1:$R$5,0),0)</f>
        <v>0</v>
      </c>
      <c r="AJ9" s="161">
        <f>AJ$6*-HLOOKUP(AJ$2,Revenue!$S$1:$AC$5,MATCH('Monthly CF'!$B9,Revenue!$R$1:$R$5,0),0)</f>
        <v>0</v>
      </c>
      <c r="AK9" s="161">
        <f>AK$6*-HLOOKUP(AK$2,Revenue!$S$1:$AC$5,MATCH('Monthly CF'!$B9,Revenue!$R$1:$R$5,0),0)</f>
        <v>0</v>
      </c>
      <c r="AL9" s="161">
        <f>AL$6*-HLOOKUP(AL$2,Revenue!$S$1:$AC$5,MATCH('Monthly CF'!$B9,Revenue!$R$1:$R$5,0),0)</f>
        <v>0</v>
      </c>
      <c r="AM9" s="161">
        <f>AM$6*-HLOOKUP(AM$2,Revenue!$S$1:$AC$5,MATCH('Monthly CF'!$B9,Revenue!$R$1:$R$5,0),0)</f>
        <v>0</v>
      </c>
      <c r="AN9" s="161">
        <f>AN$6*-HLOOKUP(AN$2,Revenue!$S$1:$AC$5,MATCH('Monthly CF'!$B9,Revenue!$R$1:$R$5,0),0)</f>
        <v>0</v>
      </c>
      <c r="AO9" s="161">
        <f>AO$6*-HLOOKUP(AO$2,Revenue!$S$1:$AC$5,MATCH('Monthly CF'!$B9,Revenue!$R$1:$R$5,0),0)</f>
        <v>0</v>
      </c>
      <c r="AP9" s="161">
        <f>AP$6*-HLOOKUP(AP$2,Revenue!$S$1:$AC$5,MATCH('Monthly CF'!$B9,Revenue!$R$1:$R$5,0),0)</f>
        <v>0</v>
      </c>
      <c r="AQ9" s="161">
        <f>AQ$6*-HLOOKUP(AQ$2,Revenue!$S$1:$AC$5,MATCH('Monthly CF'!$B9,Revenue!$R$1:$R$5,0),0)</f>
        <v>0</v>
      </c>
      <c r="AR9" s="161">
        <f>AR$6*-HLOOKUP(AR$2,Revenue!$S$1:$AC$5,MATCH('Monthly CF'!$B9,Revenue!$R$1:$R$5,0),0)</f>
        <v>0</v>
      </c>
      <c r="AS9" s="161">
        <f>AS$6*-HLOOKUP(AS$2,Revenue!$S$1:$AC$5,MATCH('Monthly CF'!$B9,Revenue!$R$1:$R$5,0),0)</f>
        <v>0</v>
      </c>
      <c r="AT9" s="161">
        <f>AT$6*-HLOOKUP(AT$2,Revenue!$S$1:$AC$5,MATCH('Monthly CF'!$B9,Revenue!$R$1:$R$5,0),0)</f>
        <v>0</v>
      </c>
      <c r="AU9" s="161">
        <f>AU$6*-HLOOKUP(AU$2,Revenue!$S$1:$AC$5,MATCH('Monthly CF'!$B9,Revenue!$R$1:$R$5,0),0)</f>
        <v>0</v>
      </c>
      <c r="AV9" s="161">
        <f>AV$6*-HLOOKUP(AV$2,Revenue!$S$1:$AC$5,MATCH('Monthly CF'!$B9,Revenue!$R$1:$R$5,0),0)</f>
        <v>0</v>
      </c>
      <c r="AW9" s="161">
        <f>AW$6*-HLOOKUP(AW$2,Revenue!$S$1:$AC$5,MATCH('Monthly CF'!$B9,Revenue!$R$1:$R$5,0),0)</f>
        <v>0</v>
      </c>
      <c r="AX9" s="161">
        <f>AX$6*-HLOOKUP(AX$2,Revenue!$S$1:$AC$5,MATCH('Monthly CF'!$B9,Revenue!$R$1:$R$5,0),0)</f>
        <v>0</v>
      </c>
      <c r="AY9" s="161">
        <f>AY$6*-HLOOKUP(AY$2,Revenue!$S$1:$AC$5,MATCH('Monthly CF'!$B9,Revenue!$R$1:$R$5,0),0)</f>
        <v>0</v>
      </c>
      <c r="AZ9" s="161">
        <f>AZ$6*-HLOOKUP(AZ$2,Revenue!$S$1:$AC$5,MATCH('Monthly CF'!$B9,Revenue!$R$1:$R$5,0),0)</f>
        <v>0</v>
      </c>
      <c r="BA9" s="161">
        <f>BA$6*-HLOOKUP(BA$2,Revenue!$S$1:$AC$5,MATCH('Monthly CF'!$B9,Revenue!$R$1:$R$5,0),0)</f>
        <v>0</v>
      </c>
      <c r="BB9" s="161">
        <f>BB$6*-HLOOKUP(BB$2,Revenue!$S$1:$AC$5,MATCH('Monthly CF'!$B9,Revenue!$R$1:$R$5,0),0)</f>
        <v>0</v>
      </c>
      <c r="BC9" s="161">
        <f>BC$6*-HLOOKUP(BC$2,Revenue!$S$1:$AC$5,MATCH('Monthly CF'!$B9,Revenue!$R$1:$R$5,0),0)</f>
        <v>0</v>
      </c>
      <c r="BD9" s="161">
        <f>BD$6*-HLOOKUP(BD$2,Revenue!$S$1:$AC$5,MATCH('Monthly CF'!$B9,Revenue!$R$1:$R$5,0),0)</f>
        <v>0</v>
      </c>
      <c r="BE9" s="161">
        <f>BE$6*-HLOOKUP(BE$2,Revenue!$S$1:$AC$5,MATCH('Monthly CF'!$B9,Revenue!$R$1:$R$5,0),0)</f>
        <v>0</v>
      </c>
      <c r="BF9" s="161">
        <f>BF$6*-HLOOKUP(BF$2,Revenue!$S$1:$AC$5,MATCH('Monthly CF'!$B9,Revenue!$R$1:$R$5,0),0)</f>
        <v>0</v>
      </c>
      <c r="BG9" s="161">
        <f>BG$6*-HLOOKUP(BG$2,Revenue!$S$1:$AC$5,MATCH('Monthly CF'!$B9,Revenue!$R$1:$R$5,0),0)</f>
        <v>0</v>
      </c>
      <c r="BH9" s="161">
        <f>BH$6*-HLOOKUP(BH$2,Revenue!$S$1:$AC$5,MATCH('Monthly CF'!$B9,Revenue!$R$1:$R$5,0),0)</f>
        <v>0</v>
      </c>
      <c r="BI9" s="161">
        <f>BI$6*-HLOOKUP(BI$2,Revenue!$S$1:$AC$5,MATCH('Monthly CF'!$B9,Revenue!$R$1:$R$5,0),0)</f>
        <v>0</v>
      </c>
      <c r="BJ9" s="161">
        <f>BJ$6*-HLOOKUP(BJ$2,Revenue!$S$1:$AC$5,MATCH('Monthly CF'!$B9,Revenue!$R$1:$R$5,0),0)</f>
        <v>0</v>
      </c>
      <c r="BK9" s="161">
        <f>BK$6*-HLOOKUP(BK$2,Revenue!$S$1:$AC$5,MATCH('Monthly CF'!$B9,Revenue!$R$1:$R$5,0),0)</f>
        <v>0</v>
      </c>
      <c r="BL9" s="161">
        <f>BL$6*-HLOOKUP(BL$2,Revenue!$S$1:$AC$5,MATCH('Monthly CF'!$B9,Revenue!$R$1:$R$5,0),0)</f>
        <v>0</v>
      </c>
      <c r="BM9" s="161">
        <f>BM$6*-HLOOKUP(BM$2,Revenue!$S$1:$AC$5,MATCH('Monthly CF'!$B9,Revenue!$R$1:$R$5,0),0)</f>
        <v>0</v>
      </c>
      <c r="BN9" s="161">
        <f>BN$6*-HLOOKUP(BN$2,Revenue!$S$1:$AC$5,MATCH('Monthly CF'!$B9,Revenue!$R$1:$R$5,0),0)</f>
        <v>0</v>
      </c>
      <c r="BO9" s="161">
        <f>BO$6*-HLOOKUP(BO$2,Revenue!$S$1:$AC$5,MATCH('Monthly CF'!$B9,Revenue!$R$1:$R$5,0),0)</f>
        <v>0</v>
      </c>
      <c r="BP9" s="161">
        <f>BP$6*-HLOOKUP(BP$2,Revenue!$S$1:$AC$5,MATCH('Monthly CF'!$B9,Revenue!$R$1:$R$5,0),0)</f>
        <v>0</v>
      </c>
      <c r="BQ9" s="161">
        <f>BQ$6*-HLOOKUP(BQ$2,Revenue!$S$1:$AC$5,MATCH('Monthly CF'!$B9,Revenue!$R$1:$R$5,0),0)</f>
        <v>0</v>
      </c>
      <c r="BR9" s="161">
        <f>BR$6*-HLOOKUP(BR$2,Revenue!$S$1:$AC$5,MATCH('Monthly CF'!$B9,Revenue!$R$1:$R$5,0),0)</f>
        <v>0</v>
      </c>
      <c r="BS9" s="161">
        <f>BS$6*-HLOOKUP(BS$2,Revenue!$S$1:$AC$5,MATCH('Monthly CF'!$B9,Revenue!$R$1:$R$5,0),0)</f>
        <v>0</v>
      </c>
      <c r="BT9" s="161">
        <f>BT$6*-HLOOKUP(BT$2,Revenue!$S$1:$AC$5,MATCH('Monthly CF'!$B9,Revenue!$R$1:$R$5,0),0)</f>
        <v>0</v>
      </c>
      <c r="BU9" s="161">
        <f>BU$6*-HLOOKUP(BU$2,Revenue!$S$1:$AC$5,MATCH('Monthly CF'!$B9,Revenue!$R$1:$R$5,0),0)</f>
        <v>0</v>
      </c>
      <c r="BV9" s="161">
        <f>BV$6*-HLOOKUP(BV$2,Revenue!$S$1:$AC$5,MATCH('Monthly CF'!$B9,Revenue!$R$1:$R$5,0),0)</f>
        <v>0</v>
      </c>
      <c r="BW9" s="161">
        <f>BW$6*-HLOOKUP(BW$2,Revenue!$S$1:$AC$5,MATCH('Monthly CF'!$B9,Revenue!$R$1:$R$5,0),0)</f>
        <v>0</v>
      </c>
      <c r="BX9" s="161">
        <f>BX$6*-HLOOKUP(BX$2,Revenue!$S$1:$AC$5,MATCH('Monthly CF'!$B9,Revenue!$R$1:$R$5,0),0)</f>
        <v>0</v>
      </c>
      <c r="BY9" s="161">
        <f>BY$6*-HLOOKUP(BY$2,Revenue!$S$1:$AC$5,MATCH('Monthly CF'!$B9,Revenue!$R$1:$R$5,0),0)</f>
        <v>0</v>
      </c>
      <c r="BZ9" s="161">
        <f>BZ$6*-HLOOKUP(BZ$2,Revenue!$S$1:$AC$5,MATCH('Monthly CF'!$B9,Revenue!$R$1:$R$5,0),0)</f>
        <v>0</v>
      </c>
      <c r="CA9" s="161">
        <f>CA$6*-HLOOKUP(CA$2,Revenue!$S$1:$AC$5,MATCH('Monthly CF'!$B9,Revenue!$R$1:$R$5,0),0)</f>
        <v>0</v>
      </c>
      <c r="CB9" s="161">
        <f>CB$6*-HLOOKUP(CB$2,Revenue!$S$1:$AC$5,MATCH('Monthly CF'!$B9,Revenue!$R$1:$R$5,0),0)</f>
        <v>0</v>
      </c>
      <c r="CC9" s="161">
        <f>CC$6*-HLOOKUP(CC$2,Revenue!$S$1:$AC$5,MATCH('Monthly CF'!$B9,Revenue!$R$1:$R$5,0),0)</f>
        <v>0</v>
      </c>
      <c r="CD9" s="161">
        <f>CD$6*-HLOOKUP(CD$2,Revenue!$S$1:$AC$5,MATCH('Monthly CF'!$B9,Revenue!$R$1:$R$5,0),0)</f>
        <v>0</v>
      </c>
      <c r="CE9" s="161">
        <f>CE$6*-HLOOKUP(CE$2,Revenue!$S$1:$AC$5,MATCH('Monthly CF'!$B9,Revenue!$R$1:$R$5,0),0)</f>
        <v>0</v>
      </c>
      <c r="CF9" s="161">
        <f>CF$6*-HLOOKUP(CF$2,Revenue!$S$1:$AC$5,MATCH('Monthly CF'!$B9,Revenue!$R$1:$R$5,0),0)</f>
        <v>0</v>
      </c>
      <c r="CG9" s="161">
        <f>CG$6*-HLOOKUP(CG$2,Revenue!$S$1:$AC$5,MATCH('Monthly CF'!$B9,Revenue!$R$1:$R$5,0),0)</f>
        <v>0</v>
      </c>
      <c r="CH9" s="161">
        <f>CH$6*-HLOOKUP(CH$2,Revenue!$S$1:$AC$5,MATCH('Monthly CF'!$B9,Revenue!$R$1:$R$5,0),0)</f>
        <v>0</v>
      </c>
      <c r="CI9" s="161">
        <f>CI$6*-HLOOKUP(CI$2,Revenue!$S$1:$AC$5,MATCH('Monthly CF'!$B9,Revenue!$R$1:$R$5,0),0)</f>
        <v>0</v>
      </c>
      <c r="CJ9" s="161">
        <f>CJ$6*-HLOOKUP(CJ$2,Revenue!$S$1:$AC$5,MATCH('Monthly CF'!$B9,Revenue!$R$1:$R$5,0),0)</f>
        <v>0</v>
      </c>
      <c r="CK9" s="161">
        <f>CK$6*-HLOOKUP(CK$2,Revenue!$S$1:$AC$5,MATCH('Monthly CF'!$B9,Revenue!$R$1:$R$5,0),0)</f>
        <v>0</v>
      </c>
      <c r="CL9" s="161">
        <f>CL$6*-HLOOKUP(CL$2,Revenue!$S$1:$AC$5,MATCH('Monthly CF'!$B9,Revenue!$R$1:$R$5,0),0)</f>
        <v>0</v>
      </c>
      <c r="CM9" s="161">
        <f>CM$6*-HLOOKUP(CM$2,Revenue!$S$1:$AC$5,MATCH('Monthly CF'!$B9,Revenue!$R$1:$R$5,0),0)</f>
        <v>0</v>
      </c>
      <c r="CN9" s="161">
        <f>CN$6*-HLOOKUP(CN$2,Revenue!$S$1:$AC$5,MATCH('Monthly CF'!$B9,Revenue!$R$1:$R$5,0),0)</f>
        <v>0</v>
      </c>
      <c r="CO9" s="161">
        <f>CO$6*-HLOOKUP(CO$2,Revenue!$S$1:$AC$5,MATCH('Monthly CF'!$B9,Revenue!$R$1:$R$5,0),0)</f>
        <v>0</v>
      </c>
      <c r="CP9" s="161">
        <f>CP$6*-HLOOKUP(CP$2,Revenue!$S$1:$AC$5,MATCH('Monthly CF'!$B9,Revenue!$R$1:$R$5,0),0)</f>
        <v>0</v>
      </c>
      <c r="CQ9" s="161">
        <f>CQ$6*-HLOOKUP(CQ$2,Revenue!$S$1:$AC$5,MATCH('Monthly CF'!$B9,Revenue!$R$1:$R$5,0),0)</f>
        <v>0</v>
      </c>
      <c r="CR9" s="161">
        <f>CR$6*-HLOOKUP(CR$2,Revenue!$S$1:$AC$5,MATCH('Monthly CF'!$B9,Revenue!$R$1:$R$5,0),0)</f>
        <v>0</v>
      </c>
      <c r="CS9" s="161">
        <f>CS$6*-HLOOKUP(CS$2,Revenue!$S$1:$AC$5,MATCH('Monthly CF'!$B9,Revenue!$R$1:$R$5,0),0)</f>
        <v>0</v>
      </c>
      <c r="CT9" s="161">
        <f>CT$6*-HLOOKUP(CT$2,Revenue!$S$1:$AC$5,MATCH('Monthly CF'!$B9,Revenue!$R$1:$R$5,0),0)</f>
        <v>0</v>
      </c>
      <c r="CU9" s="161">
        <f>CU$6*-HLOOKUP(CU$2,Revenue!$S$1:$AC$5,MATCH('Monthly CF'!$B9,Revenue!$R$1:$R$5,0),0)</f>
        <v>0</v>
      </c>
      <c r="CV9" s="161">
        <f>CV$6*-HLOOKUP(CV$2,Revenue!$S$1:$AC$5,MATCH('Monthly CF'!$B9,Revenue!$R$1:$R$5,0),0)</f>
        <v>0</v>
      </c>
      <c r="CW9" s="161">
        <f>CW$6*-HLOOKUP(CW$2,Revenue!$S$1:$AC$5,MATCH('Monthly CF'!$B9,Revenue!$R$1:$R$5,0),0)</f>
        <v>0</v>
      </c>
      <c r="CX9" s="161">
        <f>CX$6*-HLOOKUP(CX$2,Revenue!$S$1:$AC$5,MATCH('Monthly CF'!$B9,Revenue!$R$1:$R$5,0),0)</f>
        <v>0</v>
      </c>
      <c r="CY9" s="161">
        <f>CY$6*-HLOOKUP(CY$2,Revenue!$S$1:$AC$5,MATCH('Monthly CF'!$B9,Revenue!$R$1:$R$5,0),0)</f>
        <v>0</v>
      </c>
      <c r="CZ9" s="161">
        <f>CZ$6*-HLOOKUP(CZ$2,Revenue!$S$1:$AC$5,MATCH('Monthly CF'!$B9,Revenue!$R$1:$R$5,0),0)</f>
        <v>0</v>
      </c>
      <c r="DA9" s="161">
        <f>DA$6*-HLOOKUP(DA$2,Revenue!$S$1:$AC$5,MATCH('Monthly CF'!$B9,Revenue!$R$1:$R$5,0),0)</f>
        <v>0</v>
      </c>
      <c r="DB9" s="161">
        <f>DB$6*-HLOOKUP(DB$2,Revenue!$S$1:$AC$5,MATCH('Monthly CF'!$B9,Revenue!$R$1:$R$5,0),0)</f>
        <v>0</v>
      </c>
      <c r="DC9" s="161">
        <f>DC$6*-HLOOKUP(DC$2,Revenue!$S$1:$AC$5,MATCH('Monthly CF'!$B9,Revenue!$R$1:$R$5,0),0)</f>
        <v>0</v>
      </c>
      <c r="DD9" s="161">
        <f>DD$6*-HLOOKUP(DD$2,Revenue!$S$1:$AC$5,MATCH('Monthly CF'!$B9,Revenue!$R$1:$R$5,0),0)</f>
        <v>0</v>
      </c>
      <c r="DE9" s="161">
        <f>DE$6*-HLOOKUP(DE$2,Revenue!$S$1:$AC$5,MATCH('Monthly CF'!$B9,Revenue!$R$1:$R$5,0),0)</f>
        <v>0</v>
      </c>
      <c r="DF9" s="161">
        <f>DF$6*-HLOOKUP(DF$2,Revenue!$S$1:$AC$5,MATCH('Monthly CF'!$B9,Revenue!$R$1:$R$5,0),0)</f>
        <v>0</v>
      </c>
      <c r="DG9" s="161">
        <f>DG$6*-HLOOKUP(DG$2,Revenue!$S$1:$AC$5,MATCH('Monthly CF'!$B9,Revenue!$R$1:$R$5,0),0)</f>
        <v>0</v>
      </c>
      <c r="DH9" s="161">
        <f>DH$6*-HLOOKUP(DH$2,Revenue!$S$1:$AC$5,MATCH('Monthly CF'!$B9,Revenue!$R$1:$R$5,0),0)</f>
        <v>0</v>
      </c>
      <c r="DI9" s="161">
        <f>DI$6*-HLOOKUP(DI$2,Revenue!$S$1:$AC$5,MATCH('Monthly CF'!$B9,Revenue!$R$1:$R$5,0),0)</f>
        <v>0</v>
      </c>
      <c r="DJ9" s="161">
        <f>DJ$6*-HLOOKUP(DJ$2,Revenue!$S$1:$AC$5,MATCH('Monthly CF'!$B9,Revenue!$R$1:$R$5,0),0)</f>
        <v>0</v>
      </c>
      <c r="DK9" s="161">
        <f>DK$6*-HLOOKUP(DK$2,Revenue!$S$1:$AC$5,MATCH('Monthly CF'!$B9,Revenue!$R$1:$R$5,0),0)</f>
        <v>0</v>
      </c>
      <c r="DL9" s="161">
        <f>DL$6*-HLOOKUP(DL$2,Revenue!$S$1:$AC$5,MATCH('Monthly CF'!$B9,Revenue!$R$1:$R$5,0),0)</f>
        <v>0</v>
      </c>
      <c r="DM9" s="161">
        <f>DM$6*-HLOOKUP(DM$2,Revenue!$S$1:$AC$5,MATCH('Monthly CF'!$B9,Revenue!$R$1:$R$5,0),0)</f>
        <v>0</v>
      </c>
      <c r="DN9" s="161">
        <f>DN$6*-HLOOKUP(DN$2,Revenue!$S$1:$AC$5,MATCH('Monthly CF'!$B9,Revenue!$R$1:$R$5,0),0)</f>
        <v>0</v>
      </c>
      <c r="DO9" s="161">
        <f>DO$6*-HLOOKUP(DO$2,Revenue!$S$1:$AC$5,MATCH('Monthly CF'!$B9,Revenue!$R$1:$R$5,0),0)</f>
        <v>0</v>
      </c>
      <c r="DP9" s="161">
        <f>DP$6*-HLOOKUP(DP$2,Revenue!$S$1:$AC$5,MATCH('Monthly CF'!$B9,Revenue!$R$1:$R$5,0),0)</f>
        <v>0</v>
      </c>
      <c r="DQ9" s="161">
        <f>DQ$6*-HLOOKUP(DQ$2,Revenue!$S$1:$AC$5,MATCH('Monthly CF'!$B9,Revenue!$R$1:$R$5,0),0)</f>
        <v>0</v>
      </c>
      <c r="DR9" s="161">
        <f>DR$6*-HLOOKUP(DR$2,Revenue!$S$1:$AC$5,MATCH('Monthly CF'!$B9,Revenue!$R$1:$R$5,0),0)</f>
        <v>0</v>
      </c>
      <c r="DS9" s="161">
        <f>DS$6*-HLOOKUP(DS$2,Revenue!$S$1:$AC$5,MATCH('Monthly CF'!$B9,Revenue!$R$1:$R$5,0),0)</f>
        <v>0</v>
      </c>
      <c r="DT9" s="161">
        <f>DT$6*-HLOOKUP(DT$2,Revenue!$S$1:$AC$5,MATCH('Monthly CF'!$B9,Revenue!$R$1:$R$5,0),0)</f>
        <v>0</v>
      </c>
      <c r="DU9" s="161">
        <f>DU$6*-HLOOKUP(DU$2,Revenue!$S$1:$AC$5,MATCH('Monthly CF'!$B9,Revenue!$R$1:$R$5,0),0)</f>
        <v>0</v>
      </c>
      <c r="DV9" s="161">
        <f>DV$6*-HLOOKUP(DV$2,Revenue!$S$1:$AC$5,MATCH('Monthly CF'!$B9,Revenue!$R$1:$R$5,0),0)</f>
        <v>0</v>
      </c>
      <c r="DW9" s="161">
        <f>DW$6*-HLOOKUP(DW$2,Revenue!$S$1:$AC$5,MATCH('Monthly CF'!$B9,Revenue!$R$1:$R$5,0),0)</f>
        <v>0</v>
      </c>
      <c r="DX9" s="161">
        <f>DX$6*-HLOOKUP(DX$2,Revenue!$S$1:$AC$5,MATCH('Monthly CF'!$B9,Revenue!$R$1:$R$5,0),0)</f>
        <v>0</v>
      </c>
      <c r="DY9" s="161">
        <f>DY$6*-HLOOKUP(DY$2,Revenue!$S$1:$AC$5,MATCH('Monthly CF'!$B9,Revenue!$R$1:$R$5,0),0)</f>
        <v>0</v>
      </c>
      <c r="DZ9" s="161">
        <f>DZ$6*-HLOOKUP(DZ$2,Revenue!$S$1:$AC$5,MATCH('Monthly CF'!$B9,Revenue!$R$1:$R$5,0),0)</f>
        <v>0</v>
      </c>
      <c r="EA9" s="161">
        <f>EA$6*-HLOOKUP(EA$2,Revenue!$S$1:$AC$5,MATCH('Monthly CF'!$B9,Revenue!$R$1:$R$5,0),0)</f>
        <v>0</v>
      </c>
      <c r="EB9" s="161">
        <f>EB$6*-HLOOKUP(EB$2,Revenue!$S$1:$AC$5,MATCH('Monthly CF'!$B9,Revenue!$R$1:$R$5,0),0)</f>
        <v>0</v>
      </c>
      <c r="EC9" s="161">
        <f>EC$6*-HLOOKUP(EC$2,Revenue!$S$1:$AC$5,MATCH('Monthly CF'!$B9,Revenue!$R$1:$R$5,0),0)</f>
        <v>0</v>
      </c>
      <c r="ED9" s="161">
        <f>ED$6*-HLOOKUP(ED$2,Revenue!$S$1:$AC$5,MATCH('Monthly CF'!$B9,Revenue!$R$1:$R$5,0),0)</f>
        <v>0</v>
      </c>
      <c r="EE9" s="162">
        <f>EE$6*-HLOOKUP(EE$2,Revenue!$S$1:$AC$5,MATCH('Monthly CF'!$B9,Revenue!$R$1:$R$5,0),0)</f>
        <v>0</v>
      </c>
    </row>
    <row r="10" spans="1:135" x14ac:dyDescent="0.35">
      <c r="A10" s="168">
        <f>SUMIF($C$1:$EE$1,"&lt;="&amp;Summary!$K$19,'Monthly CF'!C10:EE10)</f>
        <v>0</v>
      </c>
      <c r="B10" s="5" t="s">
        <v>104</v>
      </c>
      <c r="C10" s="160"/>
      <c r="D10" s="161">
        <f>D$6*-HLOOKUP(D$2,Revenue!$S$1:$AC$5,MATCH('Monthly CF'!$B10,Revenue!$R$1:$R$5,0),0)</f>
        <v>0</v>
      </c>
      <c r="E10" s="161">
        <f>E$6*-HLOOKUP(E$2,Revenue!$S$1:$AC$5,MATCH('Monthly CF'!$B10,Revenue!$R$1:$R$5,0),0)</f>
        <v>0</v>
      </c>
      <c r="F10" s="161">
        <f>F$6*-HLOOKUP(F$2,Revenue!$S$1:$AC$5,MATCH('Monthly CF'!$B10,Revenue!$R$1:$R$5,0),0)</f>
        <v>0</v>
      </c>
      <c r="G10" s="161">
        <f>G$6*-HLOOKUP(G$2,Revenue!$S$1:$AC$5,MATCH('Monthly CF'!$B10,Revenue!$R$1:$R$5,0),0)</f>
        <v>0</v>
      </c>
      <c r="H10" s="161">
        <f>H$6*-HLOOKUP(H$2,Revenue!$S$1:$AC$5,MATCH('Monthly CF'!$B10,Revenue!$R$1:$R$5,0),0)</f>
        <v>0</v>
      </c>
      <c r="I10" s="161">
        <f>I$6*-HLOOKUP(I$2,Revenue!$S$1:$AC$5,MATCH('Monthly CF'!$B10,Revenue!$R$1:$R$5,0),0)</f>
        <v>0</v>
      </c>
      <c r="J10" s="161">
        <f>J$6*-HLOOKUP(J$2,Revenue!$S$1:$AC$5,MATCH('Monthly CF'!$B10,Revenue!$R$1:$R$5,0),0)</f>
        <v>0</v>
      </c>
      <c r="K10" s="161">
        <f>K$6*-HLOOKUP(K$2,Revenue!$S$1:$AC$5,MATCH('Monthly CF'!$B10,Revenue!$R$1:$R$5,0),0)</f>
        <v>0</v>
      </c>
      <c r="L10" s="161">
        <f>L$6*-HLOOKUP(L$2,Revenue!$S$1:$AC$5,MATCH('Monthly CF'!$B10,Revenue!$R$1:$R$5,0),0)</f>
        <v>0</v>
      </c>
      <c r="M10" s="161">
        <f>M$6*-HLOOKUP(M$2,Revenue!$S$1:$AC$5,MATCH('Monthly CF'!$B10,Revenue!$R$1:$R$5,0),0)</f>
        <v>0</v>
      </c>
      <c r="N10" s="161">
        <f>N$6*-HLOOKUP(N$2,Revenue!$S$1:$AC$5,MATCH('Monthly CF'!$B10,Revenue!$R$1:$R$5,0),0)</f>
        <v>0</v>
      </c>
      <c r="O10" s="161">
        <f>O$6*-HLOOKUP(O$2,Revenue!$S$1:$AC$5,MATCH('Monthly CF'!$B10,Revenue!$R$1:$R$5,0),0)</f>
        <v>0</v>
      </c>
      <c r="P10" s="161">
        <f>P$6*-HLOOKUP(P$2,Revenue!$S$1:$AC$5,MATCH('Monthly CF'!$B10,Revenue!$R$1:$R$5,0),0)</f>
        <v>0</v>
      </c>
      <c r="Q10" s="161">
        <f>Q$6*-HLOOKUP(Q$2,Revenue!$S$1:$AC$5,MATCH('Monthly CF'!$B10,Revenue!$R$1:$R$5,0),0)</f>
        <v>0</v>
      </c>
      <c r="R10" s="161">
        <f>R$6*-HLOOKUP(R$2,Revenue!$S$1:$AC$5,MATCH('Monthly CF'!$B10,Revenue!$R$1:$R$5,0),0)</f>
        <v>0</v>
      </c>
      <c r="S10" s="161">
        <f>S$6*-HLOOKUP(S$2,Revenue!$S$1:$AC$5,MATCH('Monthly CF'!$B10,Revenue!$R$1:$R$5,0),0)</f>
        <v>0</v>
      </c>
      <c r="T10" s="161">
        <f>T$6*-HLOOKUP(T$2,Revenue!$S$1:$AC$5,MATCH('Monthly CF'!$B10,Revenue!$R$1:$R$5,0),0)</f>
        <v>0</v>
      </c>
      <c r="U10" s="161">
        <f>U$6*-HLOOKUP(U$2,Revenue!$S$1:$AC$5,MATCH('Monthly CF'!$B10,Revenue!$R$1:$R$5,0),0)</f>
        <v>0</v>
      </c>
      <c r="V10" s="161">
        <f>V$6*-HLOOKUP(V$2,Revenue!$S$1:$AC$5,MATCH('Monthly CF'!$B10,Revenue!$R$1:$R$5,0),0)</f>
        <v>0</v>
      </c>
      <c r="W10" s="161">
        <f>W$6*-HLOOKUP(W$2,Revenue!$S$1:$AC$5,MATCH('Monthly CF'!$B10,Revenue!$R$1:$R$5,0),0)</f>
        <v>0</v>
      </c>
      <c r="X10" s="161">
        <f>X$6*-HLOOKUP(X$2,Revenue!$S$1:$AC$5,MATCH('Monthly CF'!$B10,Revenue!$R$1:$R$5,0),0)</f>
        <v>0</v>
      </c>
      <c r="Y10" s="161">
        <f>Y$6*-HLOOKUP(Y$2,Revenue!$S$1:$AC$5,MATCH('Monthly CF'!$B10,Revenue!$R$1:$R$5,0),0)</f>
        <v>0</v>
      </c>
      <c r="Z10" s="161">
        <f>Z$6*-HLOOKUP(Z$2,Revenue!$S$1:$AC$5,MATCH('Monthly CF'!$B10,Revenue!$R$1:$R$5,0),0)</f>
        <v>0</v>
      </c>
      <c r="AA10" s="161">
        <f>AA$6*-HLOOKUP(AA$2,Revenue!$S$1:$AC$5,MATCH('Monthly CF'!$B10,Revenue!$R$1:$R$5,0),0)</f>
        <v>0</v>
      </c>
      <c r="AB10" s="161">
        <f>AB$6*-HLOOKUP(AB$2,Revenue!$S$1:$AC$5,MATCH('Monthly CF'!$B10,Revenue!$R$1:$R$5,0),0)</f>
        <v>0</v>
      </c>
      <c r="AC10" s="161">
        <f>AC$6*-HLOOKUP(AC$2,Revenue!$S$1:$AC$5,MATCH('Monthly CF'!$B10,Revenue!$R$1:$R$5,0),0)</f>
        <v>0</v>
      </c>
      <c r="AD10" s="161">
        <f>AD$6*-HLOOKUP(AD$2,Revenue!$S$1:$AC$5,MATCH('Monthly CF'!$B10,Revenue!$R$1:$R$5,0),0)</f>
        <v>0</v>
      </c>
      <c r="AE10" s="161">
        <f>AE$6*-HLOOKUP(AE$2,Revenue!$S$1:$AC$5,MATCH('Monthly CF'!$B10,Revenue!$R$1:$R$5,0),0)</f>
        <v>0</v>
      </c>
      <c r="AF10" s="161">
        <f>AF$6*-HLOOKUP(AF$2,Revenue!$S$1:$AC$5,MATCH('Monthly CF'!$B10,Revenue!$R$1:$R$5,0),0)</f>
        <v>0</v>
      </c>
      <c r="AG10" s="161">
        <f>AG$6*-HLOOKUP(AG$2,Revenue!$S$1:$AC$5,MATCH('Monthly CF'!$B10,Revenue!$R$1:$R$5,0),0)</f>
        <v>0</v>
      </c>
      <c r="AH10" s="161">
        <f>AH$6*-HLOOKUP(AH$2,Revenue!$S$1:$AC$5,MATCH('Monthly CF'!$B10,Revenue!$R$1:$R$5,0),0)</f>
        <v>0</v>
      </c>
      <c r="AI10" s="161">
        <f>AI$6*-HLOOKUP(AI$2,Revenue!$S$1:$AC$5,MATCH('Monthly CF'!$B10,Revenue!$R$1:$R$5,0),0)</f>
        <v>0</v>
      </c>
      <c r="AJ10" s="161">
        <f>AJ$6*-HLOOKUP(AJ$2,Revenue!$S$1:$AC$5,MATCH('Monthly CF'!$B10,Revenue!$R$1:$R$5,0),0)</f>
        <v>0</v>
      </c>
      <c r="AK10" s="161">
        <f>AK$6*-HLOOKUP(AK$2,Revenue!$S$1:$AC$5,MATCH('Monthly CF'!$B10,Revenue!$R$1:$R$5,0),0)</f>
        <v>0</v>
      </c>
      <c r="AL10" s="161">
        <f>AL$6*-HLOOKUP(AL$2,Revenue!$S$1:$AC$5,MATCH('Monthly CF'!$B10,Revenue!$R$1:$R$5,0),0)</f>
        <v>0</v>
      </c>
      <c r="AM10" s="161">
        <f>AM$6*-HLOOKUP(AM$2,Revenue!$S$1:$AC$5,MATCH('Monthly CF'!$B10,Revenue!$R$1:$R$5,0),0)</f>
        <v>0</v>
      </c>
      <c r="AN10" s="161">
        <f>AN$6*-HLOOKUP(AN$2,Revenue!$S$1:$AC$5,MATCH('Monthly CF'!$B10,Revenue!$R$1:$R$5,0),0)</f>
        <v>0</v>
      </c>
      <c r="AO10" s="161">
        <f>AO$6*-HLOOKUP(AO$2,Revenue!$S$1:$AC$5,MATCH('Monthly CF'!$B10,Revenue!$R$1:$R$5,0),0)</f>
        <v>0</v>
      </c>
      <c r="AP10" s="161">
        <f>AP$6*-HLOOKUP(AP$2,Revenue!$S$1:$AC$5,MATCH('Monthly CF'!$B10,Revenue!$R$1:$R$5,0),0)</f>
        <v>0</v>
      </c>
      <c r="AQ10" s="161">
        <f>AQ$6*-HLOOKUP(AQ$2,Revenue!$S$1:$AC$5,MATCH('Monthly CF'!$B10,Revenue!$R$1:$R$5,0),0)</f>
        <v>0</v>
      </c>
      <c r="AR10" s="161">
        <f>AR$6*-HLOOKUP(AR$2,Revenue!$S$1:$AC$5,MATCH('Monthly CF'!$B10,Revenue!$R$1:$R$5,0),0)</f>
        <v>0</v>
      </c>
      <c r="AS10" s="161">
        <f>AS$6*-HLOOKUP(AS$2,Revenue!$S$1:$AC$5,MATCH('Monthly CF'!$B10,Revenue!$R$1:$R$5,0),0)</f>
        <v>0</v>
      </c>
      <c r="AT10" s="161">
        <f>AT$6*-HLOOKUP(AT$2,Revenue!$S$1:$AC$5,MATCH('Monthly CF'!$B10,Revenue!$R$1:$R$5,0),0)</f>
        <v>0</v>
      </c>
      <c r="AU10" s="161">
        <f>AU$6*-HLOOKUP(AU$2,Revenue!$S$1:$AC$5,MATCH('Monthly CF'!$B10,Revenue!$R$1:$R$5,0),0)</f>
        <v>0</v>
      </c>
      <c r="AV10" s="161">
        <f>AV$6*-HLOOKUP(AV$2,Revenue!$S$1:$AC$5,MATCH('Monthly CF'!$B10,Revenue!$R$1:$R$5,0),0)</f>
        <v>0</v>
      </c>
      <c r="AW10" s="161">
        <f>AW$6*-HLOOKUP(AW$2,Revenue!$S$1:$AC$5,MATCH('Monthly CF'!$B10,Revenue!$R$1:$R$5,0),0)</f>
        <v>0</v>
      </c>
      <c r="AX10" s="161">
        <f>AX$6*-HLOOKUP(AX$2,Revenue!$S$1:$AC$5,MATCH('Monthly CF'!$B10,Revenue!$R$1:$R$5,0),0)</f>
        <v>0</v>
      </c>
      <c r="AY10" s="161">
        <f>AY$6*-HLOOKUP(AY$2,Revenue!$S$1:$AC$5,MATCH('Monthly CF'!$B10,Revenue!$R$1:$R$5,0),0)</f>
        <v>0</v>
      </c>
      <c r="AZ10" s="161">
        <f>AZ$6*-HLOOKUP(AZ$2,Revenue!$S$1:$AC$5,MATCH('Monthly CF'!$B10,Revenue!$R$1:$R$5,0),0)</f>
        <v>0</v>
      </c>
      <c r="BA10" s="161">
        <f>BA$6*-HLOOKUP(BA$2,Revenue!$S$1:$AC$5,MATCH('Monthly CF'!$B10,Revenue!$R$1:$R$5,0),0)</f>
        <v>0</v>
      </c>
      <c r="BB10" s="161">
        <f>BB$6*-HLOOKUP(BB$2,Revenue!$S$1:$AC$5,MATCH('Monthly CF'!$B10,Revenue!$R$1:$R$5,0),0)</f>
        <v>0</v>
      </c>
      <c r="BC10" s="161">
        <f>BC$6*-HLOOKUP(BC$2,Revenue!$S$1:$AC$5,MATCH('Monthly CF'!$B10,Revenue!$R$1:$R$5,0),0)</f>
        <v>0</v>
      </c>
      <c r="BD10" s="161">
        <f>BD$6*-HLOOKUP(BD$2,Revenue!$S$1:$AC$5,MATCH('Monthly CF'!$B10,Revenue!$R$1:$R$5,0),0)</f>
        <v>0</v>
      </c>
      <c r="BE10" s="161">
        <f>BE$6*-HLOOKUP(BE$2,Revenue!$S$1:$AC$5,MATCH('Monthly CF'!$B10,Revenue!$R$1:$R$5,0),0)</f>
        <v>0</v>
      </c>
      <c r="BF10" s="161">
        <f>BF$6*-HLOOKUP(BF$2,Revenue!$S$1:$AC$5,MATCH('Monthly CF'!$B10,Revenue!$R$1:$R$5,0),0)</f>
        <v>0</v>
      </c>
      <c r="BG10" s="161">
        <f>BG$6*-HLOOKUP(BG$2,Revenue!$S$1:$AC$5,MATCH('Monthly CF'!$B10,Revenue!$R$1:$R$5,0),0)</f>
        <v>0</v>
      </c>
      <c r="BH10" s="161">
        <f>BH$6*-HLOOKUP(BH$2,Revenue!$S$1:$AC$5,MATCH('Monthly CF'!$B10,Revenue!$R$1:$R$5,0),0)</f>
        <v>0</v>
      </c>
      <c r="BI10" s="161">
        <f>BI$6*-HLOOKUP(BI$2,Revenue!$S$1:$AC$5,MATCH('Monthly CF'!$B10,Revenue!$R$1:$R$5,0),0)</f>
        <v>0</v>
      </c>
      <c r="BJ10" s="161">
        <f>BJ$6*-HLOOKUP(BJ$2,Revenue!$S$1:$AC$5,MATCH('Monthly CF'!$B10,Revenue!$R$1:$R$5,0),0)</f>
        <v>0</v>
      </c>
      <c r="BK10" s="161">
        <f>BK$6*-HLOOKUP(BK$2,Revenue!$S$1:$AC$5,MATCH('Monthly CF'!$B10,Revenue!$R$1:$R$5,0),0)</f>
        <v>0</v>
      </c>
      <c r="BL10" s="161">
        <f>BL$6*-HLOOKUP(BL$2,Revenue!$S$1:$AC$5,MATCH('Monthly CF'!$B10,Revenue!$R$1:$R$5,0),0)</f>
        <v>0</v>
      </c>
      <c r="BM10" s="161">
        <f>BM$6*-HLOOKUP(BM$2,Revenue!$S$1:$AC$5,MATCH('Monthly CF'!$B10,Revenue!$R$1:$R$5,0),0)</f>
        <v>0</v>
      </c>
      <c r="BN10" s="161">
        <f>BN$6*-HLOOKUP(BN$2,Revenue!$S$1:$AC$5,MATCH('Monthly CF'!$B10,Revenue!$R$1:$R$5,0),0)</f>
        <v>0</v>
      </c>
      <c r="BO10" s="161">
        <f>BO$6*-HLOOKUP(BO$2,Revenue!$S$1:$AC$5,MATCH('Monthly CF'!$B10,Revenue!$R$1:$R$5,0),0)</f>
        <v>0</v>
      </c>
      <c r="BP10" s="161">
        <f>BP$6*-HLOOKUP(BP$2,Revenue!$S$1:$AC$5,MATCH('Monthly CF'!$B10,Revenue!$R$1:$R$5,0),0)</f>
        <v>0</v>
      </c>
      <c r="BQ10" s="161">
        <f>BQ$6*-HLOOKUP(BQ$2,Revenue!$S$1:$AC$5,MATCH('Monthly CF'!$B10,Revenue!$R$1:$R$5,0),0)</f>
        <v>0</v>
      </c>
      <c r="BR10" s="161">
        <f>BR$6*-HLOOKUP(BR$2,Revenue!$S$1:$AC$5,MATCH('Monthly CF'!$B10,Revenue!$R$1:$R$5,0),0)</f>
        <v>0</v>
      </c>
      <c r="BS10" s="161">
        <f>BS$6*-HLOOKUP(BS$2,Revenue!$S$1:$AC$5,MATCH('Monthly CF'!$B10,Revenue!$R$1:$R$5,0),0)</f>
        <v>0</v>
      </c>
      <c r="BT10" s="161">
        <f>BT$6*-HLOOKUP(BT$2,Revenue!$S$1:$AC$5,MATCH('Monthly CF'!$B10,Revenue!$R$1:$R$5,0),0)</f>
        <v>0</v>
      </c>
      <c r="BU10" s="161">
        <f>BU$6*-HLOOKUP(BU$2,Revenue!$S$1:$AC$5,MATCH('Monthly CF'!$B10,Revenue!$R$1:$R$5,0),0)</f>
        <v>0</v>
      </c>
      <c r="BV10" s="161">
        <f>BV$6*-HLOOKUP(BV$2,Revenue!$S$1:$AC$5,MATCH('Monthly CF'!$B10,Revenue!$R$1:$R$5,0),0)</f>
        <v>0</v>
      </c>
      <c r="BW10" s="161">
        <f>BW$6*-HLOOKUP(BW$2,Revenue!$S$1:$AC$5,MATCH('Monthly CF'!$B10,Revenue!$R$1:$R$5,0),0)</f>
        <v>0</v>
      </c>
      <c r="BX10" s="161">
        <f>BX$6*-HLOOKUP(BX$2,Revenue!$S$1:$AC$5,MATCH('Monthly CF'!$B10,Revenue!$R$1:$R$5,0),0)</f>
        <v>0</v>
      </c>
      <c r="BY10" s="161">
        <f>BY$6*-HLOOKUP(BY$2,Revenue!$S$1:$AC$5,MATCH('Monthly CF'!$B10,Revenue!$R$1:$R$5,0),0)</f>
        <v>0</v>
      </c>
      <c r="BZ10" s="161">
        <f>BZ$6*-HLOOKUP(BZ$2,Revenue!$S$1:$AC$5,MATCH('Monthly CF'!$B10,Revenue!$R$1:$R$5,0),0)</f>
        <v>0</v>
      </c>
      <c r="CA10" s="161">
        <f>CA$6*-HLOOKUP(CA$2,Revenue!$S$1:$AC$5,MATCH('Monthly CF'!$B10,Revenue!$R$1:$R$5,0),0)</f>
        <v>0</v>
      </c>
      <c r="CB10" s="161">
        <f>CB$6*-HLOOKUP(CB$2,Revenue!$S$1:$AC$5,MATCH('Monthly CF'!$B10,Revenue!$R$1:$R$5,0),0)</f>
        <v>0</v>
      </c>
      <c r="CC10" s="161">
        <f>CC$6*-HLOOKUP(CC$2,Revenue!$S$1:$AC$5,MATCH('Monthly CF'!$B10,Revenue!$R$1:$R$5,0),0)</f>
        <v>0</v>
      </c>
      <c r="CD10" s="161">
        <f>CD$6*-HLOOKUP(CD$2,Revenue!$S$1:$AC$5,MATCH('Monthly CF'!$B10,Revenue!$R$1:$R$5,0),0)</f>
        <v>0</v>
      </c>
      <c r="CE10" s="161">
        <f>CE$6*-HLOOKUP(CE$2,Revenue!$S$1:$AC$5,MATCH('Monthly CF'!$B10,Revenue!$R$1:$R$5,0),0)</f>
        <v>0</v>
      </c>
      <c r="CF10" s="161">
        <f>CF$6*-HLOOKUP(CF$2,Revenue!$S$1:$AC$5,MATCH('Monthly CF'!$B10,Revenue!$R$1:$R$5,0),0)</f>
        <v>0</v>
      </c>
      <c r="CG10" s="161">
        <f>CG$6*-HLOOKUP(CG$2,Revenue!$S$1:$AC$5,MATCH('Monthly CF'!$B10,Revenue!$R$1:$R$5,0),0)</f>
        <v>0</v>
      </c>
      <c r="CH10" s="161">
        <f>CH$6*-HLOOKUP(CH$2,Revenue!$S$1:$AC$5,MATCH('Monthly CF'!$B10,Revenue!$R$1:$R$5,0),0)</f>
        <v>0</v>
      </c>
      <c r="CI10" s="161">
        <f>CI$6*-HLOOKUP(CI$2,Revenue!$S$1:$AC$5,MATCH('Monthly CF'!$B10,Revenue!$R$1:$R$5,0),0)</f>
        <v>0</v>
      </c>
      <c r="CJ10" s="161">
        <f>CJ$6*-HLOOKUP(CJ$2,Revenue!$S$1:$AC$5,MATCH('Monthly CF'!$B10,Revenue!$R$1:$R$5,0),0)</f>
        <v>0</v>
      </c>
      <c r="CK10" s="161">
        <f>CK$6*-HLOOKUP(CK$2,Revenue!$S$1:$AC$5,MATCH('Monthly CF'!$B10,Revenue!$R$1:$R$5,0),0)</f>
        <v>0</v>
      </c>
      <c r="CL10" s="161">
        <f>CL$6*-HLOOKUP(CL$2,Revenue!$S$1:$AC$5,MATCH('Monthly CF'!$B10,Revenue!$R$1:$R$5,0),0)</f>
        <v>0</v>
      </c>
      <c r="CM10" s="161">
        <f>CM$6*-HLOOKUP(CM$2,Revenue!$S$1:$AC$5,MATCH('Monthly CF'!$B10,Revenue!$R$1:$R$5,0),0)</f>
        <v>0</v>
      </c>
      <c r="CN10" s="161">
        <f>CN$6*-HLOOKUP(CN$2,Revenue!$S$1:$AC$5,MATCH('Monthly CF'!$B10,Revenue!$R$1:$R$5,0),0)</f>
        <v>0</v>
      </c>
      <c r="CO10" s="161">
        <f>CO$6*-HLOOKUP(CO$2,Revenue!$S$1:$AC$5,MATCH('Monthly CF'!$B10,Revenue!$R$1:$R$5,0),0)</f>
        <v>0</v>
      </c>
      <c r="CP10" s="161">
        <f>CP$6*-HLOOKUP(CP$2,Revenue!$S$1:$AC$5,MATCH('Monthly CF'!$B10,Revenue!$R$1:$R$5,0),0)</f>
        <v>0</v>
      </c>
      <c r="CQ10" s="161">
        <f>CQ$6*-HLOOKUP(CQ$2,Revenue!$S$1:$AC$5,MATCH('Monthly CF'!$B10,Revenue!$R$1:$R$5,0),0)</f>
        <v>0</v>
      </c>
      <c r="CR10" s="161">
        <f>CR$6*-HLOOKUP(CR$2,Revenue!$S$1:$AC$5,MATCH('Monthly CF'!$B10,Revenue!$R$1:$R$5,0),0)</f>
        <v>0</v>
      </c>
      <c r="CS10" s="161">
        <f>CS$6*-HLOOKUP(CS$2,Revenue!$S$1:$AC$5,MATCH('Monthly CF'!$B10,Revenue!$R$1:$R$5,0),0)</f>
        <v>0</v>
      </c>
      <c r="CT10" s="161">
        <f>CT$6*-HLOOKUP(CT$2,Revenue!$S$1:$AC$5,MATCH('Monthly CF'!$B10,Revenue!$R$1:$R$5,0),0)</f>
        <v>0</v>
      </c>
      <c r="CU10" s="161">
        <f>CU$6*-HLOOKUP(CU$2,Revenue!$S$1:$AC$5,MATCH('Monthly CF'!$B10,Revenue!$R$1:$R$5,0),0)</f>
        <v>0</v>
      </c>
      <c r="CV10" s="161">
        <f>CV$6*-HLOOKUP(CV$2,Revenue!$S$1:$AC$5,MATCH('Monthly CF'!$B10,Revenue!$R$1:$R$5,0),0)</f>
        <v>0</v>
      </c>
      <c r="CW10" s="161">
        <f>CW$6*-HLOOKUP(CW$2,Revenue!$S$1:$AC$5,MATCH('Monthly CF'!$B10,Revenue!$R$1:$R$5,0),0)</f>
        <v>0</v>
      </c>
      <c r="CX10" s="161">
        <f>CX$6*-HLOOKUP(CX$2,Revenue!$S$1:$AC$5,MATCH('Monthly CF'!$B10,Revenue!$R$1:$R$5,0),0)</f>
        <v>0</v>
      </c>
      <c r="CY10" s="161">
        <f>CY$6*-HLOOKUP(CY$2,Revenue!$S$1:$AC$5,MATCH('Monthly CF'!$B10,Revenue!$R$1:$R$5,0),0)</f>
        <v>0</v>
      </c>
      <c r="CZ10" s="161">
        <f>CZ$6*-HLOOKUP(CZ$2,Revenue!$S$1:$AC$5,MATCH('Monthly CF'!$B10,Revenue!$R$1:$R$5,0),0)</f>
        <v>0</v>
      </c>
      <c r="DA10" s="161">
        <f>DA$6*-HLOOKUP(DA$2,Revenue!$S$1:$AC$5,MATCH('Monthly CF'!$B10,Revenue!$R$1:$R$5,0),0)</f>
        <v>0</v>
      </c>
      <c r="DB10" s="161">
        <f>DB$6*-HLOOKUP(DB$2,Revenue!$S$1:$AC$5,MATCH('Monthly CF'!$B10,Revenue!$R$1:$R$5,0),0)</f>
        <v>0</v>
      </c>
      <c r="DC10" s="161">
        <f>DC$6*-HLOOKUP(DC$2,Revenue!$S$1:$AC$5,MATCH('Monthly CF'!$B10,Revenue!$R$1:$R$5,0),0)</f>
        <v>0</v>
      </c>
      <c r="DD10" s="161">
        <f>DD$6*-HLOOKUP(DD$2,Revenue!$S$1:$AC$5,MATCH('Monthly CF'!$B10,Revenue!$R$1:$R$5,0),0)</f>
        <v>0</v>
      </c>
      <c r="DE10" s="161">
        <f>DE$6*-HLOOKUP(DE$2,Revenue!$S$1:$AC$5,MATCH('Monthly CF'!$B10,Revenue!$R$1:$R$5,0),0)</f>
        <v>0</v>
      </c>
      <c r="DF10" s="161">
        <f>DF$6*-HLOOKUP(DF$2,Revenue!$S$1:$AC$5,MATCH('Monthly CF'!$B10,Revenue!$R$1:$R$5,0),0)</f>
        <v>0</v>
      </c>
      <c r="DG10" s="161">
        <f>DG$6*-HLOOKUP(DG$2,Revenue!$S$1:$AC$5,MATCH('Monthly CF'!$B10,Revenue!$R$1:$R$5,0),0)</f>
        <v>0</v>
      </c>
      <c r="DH10" s="161">
        <f>DH$6*-HLOOKUP(DH$2,Revenue!$S$1:$AC$5,MATCH('Monthly CF'!$B10,Revenue!$R$1:$R$5,0),0)</f>
        <v>0</v>
      </c>
      <c r="DI10" s="161">
        <f>DI$6*-HLOOKUP(DI$2,Revenue!$S$1:$AC$5,MATCH('Monthly CF'!$B10,Revenue!$R$1:$R$5,0),0)</f>
        <v>0</v>
      </c>
      <c r="DJ10" s="161">
        <f>DJ$6*-HLOOKUP(DJ$2,Revenue!$S$1:$AC$5,MATCH('Monthly CF'!$B10,Revenue!$R$1:$R$5,0),0)</f>
        <v>0</v>
      </c>
      <c r="DK10" s="161">
        <f>DK$6*-HLOOKUP(DK$2,Revenue!$S$1:$AC$5,MATCH('Monthly CF'!$B10,Revenue!$R$1:$R$5,0),0)</f>
        <v>0</v>
      </c>
      <c r="DL10" s="161">
        <f>DL$6*-HLOOKUP(DL$2,Revenue!$S$1:$AC$5,MATCH('Monthly CF'!$B10,Revenue!$R$1:$R$5,0),0)</f>
        <v>0</v>
      </c>
      <c r="DM10" s="161">
        <f>DM$6*-HLOOKUP(DM$2,Revenue!$S$1:$AC$5,MATCH('Monthly CF'!$B10,Revenue!$R$1:$R$5,0),0)</f>
        <v>0</v>
      </c>
      <c r="DN10" s="161">
        <f>DN$6*-HLOOKUP(DN$2,Revenue!$S$1:$AC$5,MATCH('Monthly CF'!$B10,Revenue!$R$1:$R$5,0),0)</f>
        <v>0</v>
      </c>
      <c r="DO10" s="161">
        <f>DO$6*-HLOOKUP(DO$2,Revenue!$S$1:$AC$5,MATCH('Monthly CF'!$B10,Revenue!$R$1:$R$5,0),0)</f>
        <v>0</v>
      </c>
      <c r="DP10" s="161">
        <f>DP$6*-HLOOKUP(DP$2,Revenue!$S$1:$AC$5,MATCH('Monthly CF'!$B10,Revenue!$R$1:$R$5,0),0)</f>
        <v>0</v>
      </c>
      <c r="DQ10" s="161">
        <f>DQ$6*-HLOOKUP(DQ$2,Revenue!$S$1:$AC$5,MATCH('Monthly CF'!$B10,Revenue!$R$1:$R$5,0),0)</f>
        <v>0</v>
      </c>
      <c r="DR10" s="161">
        <f>DR$6*-HLOOKUP(DR$2,Revenue!$S$1:$AC$5,MATCH('Monthly CF'!$B10,Revenue!$R$1:$R$5,0),0)</f>
        <v>0</v>
      </c>
      <c r="DS10" s="161">
        <f>DS$6*-HLOOKUP(DS$2,Revenue!$S$1:$AC$5,MATCH('Monthly CF'!$B10,Revenue!$R$1:$R$5,0),0)</f>
        <v>0</v>
      </c>
      <c r="DT10" s="161">
        <f>DT$6*-HLOOKUP(DT$2,Revenue!$S$1:$AC$5,MATCH('Monthly CF'!$B10,Revenue!$R$1:$R$5,0),0)</f>
        <v>0</v>
      </c>
      <c r="DU10" s="161">
        <f>DU$6*-HLOOKUP(DU$2,Revenue!$S$1:$AC$5,MATCH('Monthly CF'!$B10,Revenue!$R$1:$R$5,0),0)</f>
        <v>0</v>
      </c>
      <c r="DV10" s="161">
        <f>DV$6*-HLOOKUP(DV$2,Revenue!$S$1:$AC$5,MATCH('Monthly CF'!$B10,Revenue!$R$1:$R$5,0),0)</f>
        <v>0</v>
      </c>
      <c r="DW10" s="161">
        <f>DW$6*-HLOOKUP(DW$2,Revenue!$S$1:$AC$5,MATCH('Monthly CF'!$B10,Revenue!$R$1:$R$5,0),0)</f>
        <v>0</v>
      </c>
      <c r="DX10" s="161">
        <f>DX$6*-HLOOKUP(DX$2,Revenue!$S$1:$AC$5,MATCH('Monthly CF'!$B10,Revenue!$R$1:$R$5,0),0)</f>
        <v>0</v>
      </c>
      <c r="DY10" s="161">
        <f>DY$6*-HLOOKUP(DY$2,Revenue!$S$1:$AC$5,MATCH('Monthly CF'!$B10,Revenue!$R$1:$R$5,0),0)</f>
        <v>0</v>
      </c>
      <c r="DZ10" s="161">
        <f>DZ$6*-HLOOKUP(DZ$2,Revenue!$S$1:$AC$5,MATCH('Monthly CF'!$B10,Revenue!$R$1:$R$5,0),0)</f>
        <v>0</v>
      </c>
      <c r="EA10" s="161">
        <f>EA$6*-HLOOKUP(EA$2,Revenue!$S$1:$AC$5,MATCH('Monthly CF'!$B10,Revenue!$R$1:$R$5,0),0)</f>
        <v>0</v>
      </c>
      <c r="EB10" s="161">
        <f>EB$6*-HLOOKUP(EB$2,Revenue!$S$1:$AC$5,MATCH('Monthly CF'!$B10,Revenue!$R$1:$R$5,0),0)</f>
        <v>0</v>
      </c>
      <c r="EC10" s="161">
        <f>EC$6*-HLOOKUP(EC$2,Revenue!$S$1:$AC$5,MATCH('Monthly CF'!$B10,Revenue!$R$1:$R$5,0),0)</f>
        <v>0</v>
      </c>
      <c r="ED10" s="161">
        <f>ED$6*-HLOOKUP(ED$2,Revenue!$S$1:$AC$5,MATCH('Monthly CF'!$B10,Revenue!$R$1:$R$5,0),0)</f>
        <v>0</v>
      </c>
      <c r="EE10" s="162">
        <f>EE$6*-HLOOKUP(EE$2,Revenue!$S$1:$AC$5,MATCH('Monthly CF'!$B10,Revenue!$R$1:$R$5,0),0)</f>
        <v>0</v>
      </c>
    </row>
    <row r="11" spans="1:135" x14ac:dyDescent="0.35">
      <c r="A11" s="168">
        <f>SUMIF($C$1:$EE$1,"&lt;="&amp;Summary!$K$19,'Monthly CF'!C11:EE11)</f>
        <v>34435543.37599957</v>
      </c>
      <c r="B11" s="14" t="s">
        <v>173</v>
      </c>
      <c r="C11" s="163"/>
      <c r="D11" s="164">
        <f>SUM(D6:D10)</f>
        <v>225400.00000000003</v>
      </c>
      <c r="E11" s="164">
        <f t="shared" ref="E11:BP11" si="9">SUM(E6:E10)</f>
        <v>226318.30750083437</v>
      </c>
      <c r="F11" s="164">
        <f t="shared" si="9"/>
        <v>227240.35630009856</v>
      </c>
      <c r="G11" s="164">
        <f t="shared" si="9"/>
        <v>228166.16164030548</v>
      </c>
      <c r="H11" s="164">
        <f t="shared" si="9"/>
        <v>230030.8234743377</v>
      </c>
      <c r="I11" s="164">
        <f t="shared" si="9"/>
        <v>231906.89182210164</v>
      </c>
      <c r="J11" s="164">
        <f t="shared" si="9"/>
        <v>233794.4286761343</v>
      </c>
      <c r="K11" s="164">
        <f t="shared" si="9"/>
        <v>235693.49634477246</v>
      </c>
      <c r="L11" s="164">
        <f t="shared" si="9"/>
        <v>237604.15745369665</v>
      </c>
      <c r="M11" s="164">
        <f t="shared" si="9"/>
        <v>239526.47494748322</v>
      </c>
      <c r="N11" s="164">
        <f t="shared" si="9"/>
        <v>241460.51209116259</v>
      </c>
      <c r="O11" s="164">
        <f t="shared" si="9"/>
        <v>243406.33247178627</v>
      </c>
      <c r="P11" s="164">
        <f t="shared" si="9"/>
        <v>248697.75000000023</v>
      </c>
      <c r="Q11" s="164">
        <f t="shared" si="9"/>
        <v>250494.25211838278</v>
      </c>
      <c r="R11" s="164">
        <f t="shared" si="9"/>
        <v>252299.8514113304</v>
      </c>
      <c r="S11" s="164">
        <f t="shared" si="9"/>
        <v>253125.81547193858</v>
      </c>
      <c r="T11" s="164">
        <f t="shared" si="9"/>
        <v>253954.48352395062</v>
      </c>
      <c r="U11" s="164">
        <f t="shared" si="9"/>
        <v>254785.86441953079</v>
      </c>
      <c r="V11" s="164">
        <f t="shared" si="9"/>
        <v>255619.96703982292</v>
      </c>
      <c r="W11" s="164">
        <f t="shared" si="9"/>
        <v>256456.80029504554</v>
      </c>
      <c r="X11" s="164">
        <f t="shared" si="9"/>
        <v>257296.37312458688</v>
      </c>
      <c r="Y11" s="164">
        <f t="shared" si="9"/>
        <v>258138.69449710034</v>
      </c>
      <c r="Z11" s="164">
        <f t="shared" si="9"/>
        <v>258983.77341060044</v>
      </c>
      <c r="AA11" s="164">
        <f t="shared" si="9"/>
        <v>259831.61889255865</v>
      </c>
      <c r="AB11" s="164">
        <f t="shared" si="9"/>
        <v>264176.64000000036</v>
      </c>
      <c r="AC11" s="164">
        <f t="shared" si="9"/>
        <v>264828.17086178111</v>
      </c>
      <c r="AD11" s="164">
        <f t="shared" si="9"/>
        <v>265481.30857443204</v>
      </c>
      <c r="AE11" s="164">
        <f t="shared" si="9"/>
        <v>266136.05710088077</v>
      </c>
      <c r="AF11" s="164">
        <f t="shared" si="9"/>
        <v>266792.42041382875</v>
      </c>
      <c r="AG11" s="164">
        <f t="shared" si="9"/>
        <v>267450.40249577508</v>
      </c>
      <c r="AH11" s="164">
        <f t="shared" si="9"/>
        <v>268110.00733904087</v>
      </c>
      <c r="AI11" s="164">
        <f t="shared" si="9"/>
        <v>268771.23894579324</v>
      </c>
      <c r="AJ11" s="164">
        <f t="shared" si="9"/>
        <v>269434.10132806987</v>
      </c>
      <c r="AK11" s="164">
        <f t="shared" si="9"/>
        <v>270098.59850780311</v>
      </c>
      <c r="AL11" s="164">
        <f t="shared" si="9"/>
        <v>270764.7345168445</v>
      </c>
      <c r="AM11" s="164">
        <f t="shared" si="9"/>
        <v>271432.5133969892</v>
      </c>
      <c r="AN11" s="164">
        <f t="shared" si="9"/>
        <v>272101.9392000006</v>
      </c>
      <c r="AO11" s="164">
        <f t="shared" si="9"/>
        <v>272773.01598763478</v>
      </c>
      <c r="AP11" s="164">
        <f t="shared" si="9"/>
        <v>273445.74783166515</v>
      </c>
      <c r="AQ11" s="164">
        <f t="shared" si="9"/>
        <v>274120.1388139074</v>
      </c>
      <c r="AR11" s="164">
        <f t="shared" si="9"/>
        <v>274796.19302624383</v>
      </c>
      <c r="AS11" s="164">
        <f t="shared" si="9"/>
        <v>275473.91457064857</v>
      </c>
      <c r="AT11" s="164">
        <f t="shared" si="9"/>
        <v>276153.30755921232</v>
      </c>
      <c r="AU11" s="164">
        <f t="shared" si="9"/>
        <v>276834.37611416727</v>
      </c>
      <c r="AV11" s="164">
        <f t="shared" si="9"/>
        <v>277517.12436791218</v>
      </c>
      <c r="AW11" s="164">
        <f t="shared" si="9"/>
        <v>278201.55646303738</v>
      </c>
      <c r="AX11" s="164">
        <f t="shared" si="9"/>
        <v>278887.67655234999</v>
      </c>
      <c r="AY11" s="164">
        <f t="shared" si="9"/>
        <v>279575.48879889911</v>
      </c>
      <c r="AZ11" s="164">
        <f t="shared" si="9"/>
        <v>280264.9973760008</v>
      </c>
      <c r="BA11" s="164">
        <f t="shared" si="9"/>
        <v>280956.20646726398</v>
      </c>
      <c r="BB11" s="164">
        <f t="shared" si="9"/>
        <v>281649.1202666153</v>
      </c>
      <c r="BC11" s="164">
        <f t="shared" si="9"/>
        <v>282343.74297832482</v>
      </c>
      <c r="BD11" s="164">
        <f t="shared" si="9"/>
        <v>283040.07881703135</v>
      </c>
      <c r="BE11" s="164">
        <f t="shared" si="9"/>
        <v>283738.13200776826</v>
      </c>
      <c r="BF11" s="164">
        <f t="shared" si="9"/>
        <v>284437.90678598889</v>
      </c>
      <c r="BG11" s="164">
        <f t="shared" si="9"/>
        <v>285139.40739759256</v>
      </c>
      <c r="BH11" s="164">
        <f t="shared" si="9"/>
        <v>285842.63809894974</v>
      </c>
      <c r="BI11" s="164">
        <f t="shared" si="9"/>
        <v>286547.60315692879</v>
      </c>
      <c r="BJ11" s="164">
        <f t="shared" si="9"/>
        <v>287254.30684892077</v>
      </c>
      <c r="BK11" s="164">
        <f t="shared" si="9"/>
        <v>287962.7534628663</v>
      </c>
      <c r="BL11" s="164">
        <f t="shared" si="9"/>
        <v>288672.94729728112</v>
      </c>
      <c r="BM11" s="164">
        <f t="shared" si="9"/>
        <v>289384.89266128221</v>
      </c>
      <c r="BN11" s="164">
        <f t="shared" si="9"/>
        <v>290098.5938746141</v>
      </c>
      <c r="BO11" s="164">
        <f t="shared" si="9"/>
        <v>290814.05526767491</v>
      </c>
      <c r="BP11" s="164">
        <f t="shared" si="9"/>
        <v>291531.28118154255</v>
      </c>
      <c r="BQ11" s="164">
        <f t="shared" ref="BQ11:EB11" si="10">SUM(BQ6:BQ10)</f>
        <v>292250.27596800157</v>
      </c>
      <c r="BR11" s="164">
        <f t="shared" si="10"/>
        <v>292971.04398956883</v>
      </c>
      <c r="BS11" s="164">
        <f t="shared" si="10"/>
        <v>293693.58961952053</v>
      </c>
      <c r="BT11" s="164">
        <f t="shared" si="10"/>
        <v>294417.91724191856</v>
      </c>
      <c r="BU11" s="164">
        <f t="shared" si="10"/>
        <v>295144.03125163692</v>
      </c>
      <c r="BV11" s="164">
        <f t="shared" si="10"/>
        <v>295871.9360543887</v>
      </c>
      <c r="BW11" s="164">
        <f t="shared" si="10"/>
        <v>296601.6360667526</v>
      </c>
      <c r="BX11" s="164">
        <f t="shared" si="10"/>
        <v>297333.13571619982</v>
      </c>
      <c r="BY11" s="164">
        <f t="shared" si="10"/>
        <v>298066.43944112095</v>
      </c>
      <c r="BZ11" s="164">
        <f t="shared" si="10"/>
        <v>298801.55169085274</v>
      </c>
      <c r="CA11" s="164">
        <f t="shared" si="10"/>
        <v>299538.47692570533</v>
      </c>
      <c r="CB11" s="164">
        <f t="shared" si="10"/>
        <v>300277.21961698914</v>
      </c>
      <c r="CC11" s="164">
        <f t="shared" si="10"/>
        <v>301017.78424704185</v>
      </c>
      <c r="CD11" s="164">
        <f t="shared" si="10"/>
        <v>301760.17530925624</v>
      </c>
      <c r="CE11" s="164">
        <f t="shared" si="10"/>
        <v>302504.39730810648</v>
      </c>
      <c r="CF11" s="164">
        <f t="shared" si="10"/>
        <v>303250.45475917641</v>
      </c>
      <c r="CG11" s="164">
        <f t="shared" si="10"/>
        <v>303998.35218918632</v>
      </c>
      <c r="CH11" s="164">
        <f t="shared" si="10"/>
        <v>304748.09413602069</v>
      </c>
      <c r="CI11" s="164">
        <f t="shared" si="10"/>
        <v>305499.6851487555</v>
      </c>
      <c r="CJ11" s="164">
        <f t="shared" si="10"/>
        <v>306253.12978768616</v>
      </c>
      <c r="CK11" s="164">
        <f t="shared" si="10"/>
        <v>307008.4326243549</v>
      </c>
      <c r="CL11" s="164">
        <f t="shared" si="10"/>
        <v>307765.59824157867</v>
      </c>
      <c r="CM11" s="164">
        <f t="shared" si="10"/>
        <v>308524.63123347686</v>
      </c>
      <c r="CN11" s="164">
        <f t="shared" si="10"/>
        <v>309285.53620549914</v>
      </c>
      <c r="CO11" s="164">
        <f t="shared" si="10"/>
        <v>310048.31777445349</v>
      </c>
      <c r="CP11" s="164">
        <f t="shared" si="10"/>
        <v>310812.98056853429</v>
      </c>
      <c r="CQ11" s="164">
        <f t="shared" si="10"/>
        <v>311579.52922735008</v>
      </c>
      <c r="CR11" s="164">
        <f t="shared" si="10"/>
        <v>312347.96840195212</v>
      </c>
      <c r="CS11" s="164">
        <f t="shared" si="10"/>
        <v>313118.30275486235</v>
      </c>
      <c r="CT11" s="164">
        <f t="shared" si="10"/>
        <v>313890.53696010169</v>
      </c>
      <c r="CU11" s="164">
        <f t="shared" si="10"/>
        <v>314664.67570321856</v>
      </c>
      <c r="CV11" s="164">
        <f t="shared" si="10"/>
        <v>315440.72368131718</v>
      </c>
      <c r="CW11" s="164">
        <f t="shared" si="10"/>
        <v>316218.68560308602</v>
      </c>
      <c r="CX11" s="164">
        <f t="shared" si="10"/>
        <v>316998.56618882646</v>
      </c>
      <c r="CY11" s="164">
        <f t="shared" si="10"/>
        <v>317780.37017048162</v>
      </c>
      <c r="CZ11" s="164">
        <f t="shared" si="10"/>
        <v>318564.10229166446</v>
      </c>
      <c r="DA11" s="164">
        <f t="shared" si="10"/>
        <v>319349.76730768749</v>
      </c>
      <c r="DB11" s="164">
        <f t="shared" si="10"/>
        <v>320137.36998559063</v>
      </c>
      <c r="DC11" s="164">
        <f t="shared" si="10"/>
        <v>320926.91510417091</v>
      </c>
      <c r="DD11" s="164">
        <f t="shared" si="10"/>
        <v>321718.40745401103</v>
      </c>
      <c r="DE11" s="164">
        <f t="shared" si="10"/>
        <v>322511.85183750856</v>
      </c>
      <c r="DF11" s="164">
        <f t="shared" si="10"/>
        <v>323307.25306890515</v>
      </c>
      <c r="DG11" s="164">
        <f t="shared" si="10"/>
        <v>324104.6159743155</v>
      </c>
      <c r="DH11" s="164">
        <f t="shared" si="10"/>
        <v>324903.94539175706</v>
      </c>
      <c r="DI11" s="164">
        <f t="shared" si="10"/>
        <v>325705.24617117899</v>
      </c>
      <c r="DJ11" s="164">
        <f t="shared" si="10"/>
        <v>326508.52317449171</v>
      </c>
      <c r="DK11" s="164">
        <f t="shared" si="10"/>
        <v>327313.78127559647</v>
      </c>
      <c r="DL11" s="164">
        <f t="shared" si="10"/>
        <v>328121.02536041487</v>
      </c>
      <c r="DM11" s="164">
        <f t="shared" si="10"/>
        <v>328930.26032691851</v>
      </c>
      <c r="DN11" s="164">
        <f t="shared" si="10"/>
        <v>329741.49108515884</v>
      </c>
      <c r="DO11" s="164">
        <f t="shared" si="10"/>
        <v>330554.72255729645</v>
      </c>
      <c r="DP11" s="164">
        <f t="shared" si="10"/>
        <v>331369.95967763179</v>
      </c>
      <c r="DQ11" s="164">
        <f t="shared" si="10"/>
        <v>332187.20739263424</v>
      </c>
      <c r="DR11" s="164">
        <f t="shared" si="10"/>
        <v>333006.47066097264</v>
      </c>
      <c r="DS11" s="164">
        <f t="shared" si="10"/>
        <v>333827.75445354532</v>
      </c>
      <c r="DT11" s="164">
        <f t="shared" si="10"/>
        <v>334651.06375351013</v>
      </c>
      <c r="DU11" s="164">
        <f t="shared" si="10"/>
        <v>335476.40355631465</v>
      </c>
      <c r="DV11" s="164">
        <f t="shared" si="10"/>
        <v>336303.7788697267</v>
      </c>
      <c r="DW11" s="164">
        <f t="shared" si="10"/>
        <v>337133.19471386465</v>
      </c>
      <c r="DX11" s="164">
        <f t="shared" si="10"/>
        <v>337964.65612122766</v>
      </c>
      <c r="DY11" s="164">
        <f t="shared" si="10"/>
        <v>338798.16813672642</v>
      </c>
      <c r="DZ11" s="164">
        <f t="shared" si="10"/>
        <v>339633.73581771384</v>
      </c>
      <c r="EA11" s="164">
        <f t="shared" si="10"/>
        <v>340471.36423401569</v>
      </c>
      <c r="EB11" s="164">
        <f t="shared" si="10"/>
        <v>341311.05846796103</v>
      </c>
      <c r="EC11" s="164">
        <f t="shared" ref="EC11:EE11" si="11">SUM(EC6:EC10)</f>
        <v>342152.82361441356</v>
      </c>
      <c r="ED11" s="164">
        <f t="shared" si="11"/>
        <v>342996.66478080209</v>
      </c>
      <c r="EE11" s="165">
        <f t="shared" si="11"/>
        <v>343842.587087152</v>
      </c>
    </row>
    <row r="12" spans="1:135" x14ac:dyDescent="0.35">
      <c r="B12" s="5"/>
      <c r="C12" s="160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  <c r="CR12" s="161"/>
      <c r="CS12" s="161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161"/>
      <c r="DE12" s="161"/>
      <c r="DF12" s="161"/>
      <c r="DG12" s="161"/>
      <c r="DH12" s="161"/>
      <c r="DI12" s="161"/>
      <c r="DJ12" s="161"/>
      <c r="DK12" s="161"/>
      <c r="DL12" s="161"/>
      <c r="DM12" s="161"/>
      <c r="DN12" s="161"/>
      <c r="DO12" s="161"/>
      <c r="DP12" s="161"/>
      <c r="DQ12" s="161"/>
      <c r="DR12" s="161"/>
      <c r="DS12" s="161"/>
      <c r="DT12" s="161"/>
      <c r="DU12" s="161"/>
      <c r="DV12" s="161"/>
      <c r="DW12" s="161"/>
      <c r="DX12" s="161"/>
      <c r="DY12" s="161"/>
      <c r="DZ12" s="161"/>
      <c r="EA12" s="161"/>
      <c r="EB12" s="161"/>
      <c r="EC12" s="161"/>
      <c r="ED12" s="161"/>
      <c r="EE12" s="162"/>
    </row>
    <row r="13" spans="1:135" x14ac:dyDescent="0.35">
      <c r="B13" s="156" t="s">
        <v>174</v>
      </c>
      <c r="C13" s="160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  <c r="CR13" s="161"/>
      <c r="CS13" s="161"/>
      <c r="CT13" s="161"/>
      <c r="CU13" s="161"/>
      <c r="CV13" s="161"/>
      <c r="CW13" s="161"/>
      <c r="CX13" s="161"/>
      <c r="CY13" s="161"/>
      <c r="CZ13" s="161"/>
      <c r="DA13" s="161"/>
      <c r="DB13" s="161"/>
      <c r="DC13" s="161"/>
      <c r="DD13" s="161"/>
      <c r="DE13" s="161"/>
      <c r="DF13" s="161"/>
      <c r="DG13" s="161"/>
      <c r="DH13" s="161"/>
      <c r="DI13" s="161"/>
      <c r="DJ13" s="161"/>
      <c r="DK13" s="161"/>
      <c r="DL13" s="161"/>
      <c r="DM13" s="161"/>
      <c r="DN13" s="161"/>
      <c r="DO13" s="161"/>
      <c r="DP13" s="161"/>
      <c r="DQ13" s="161"/>
      <c r="DR13" s="161"/>
      <c r="DS13" s="161"/>
      <c r="DT13" s="161"/>
      <c r="DU13" s="161"/>
      <c r="DV13" s="161"/>
      <c r="DW13" s="161"/>
      <c r="DX13" s="161"/>
      <c r="DY13" s="161"/>
      <c r="DZ13" s="161"/>
      <c r="EA13" s="161"/>
      <c r="EB13" s="161"/>
      <c r="EC13" s="161"/>
      <c r="ED13" s="161"/>
      <c r="EE13" s="162"/>
    </row>
    <row r="14" spans="1:135" x14ac:dyDescent="0.35">
      <c r="A14" s="168">
        <f>SUMIF($C$1:$EE$1,"&lt;="&amp;Summary!$K$19,'Monthly CF'!C14:EE14)</f>
        <v>153392.7964924862</v>
      </c>
      <c r="B14" s="5" t="str">
        <f>Revenue!O2</f>
        <v>Laundry Income</v>
      </c>
      <c r="C14" s="160"/>
      <c r="D14" s="161">
        <f>IF(D$1=1,Revenue!$P2*Revenue!$A$23,'Monthly CF'!C14*((1+HLOOKUP('Monthly CF'!C$2,Revenue!$S$8:$AC$10,3,0))^(1/12)))</f>
        <v>1100</v>
      </c>
      <c r="E14" s="161">
        <f>IF(E$1=1,Revenue!$P2*Revenue!$A$23,'Monthly CF'!D14*((1+HLOOKUP('Monthly CF'!D$2,Revenue!$S$8:$AC$10,3,0))^(1/12)))</f>
        <v>1102.7128967495341</v>
      </c>
      <c r="F14" s="161">
        <f>IF(F$1=1,Revenue!$P2*Revenue!$A$23,'Monthly CF'!E14*((1+HLOOKUP('Monthly CF'!E$2,Revenue!$S$8:$AC$10,3,0))^(1/12)))</f>
        <v>1105.4324842343169</v>
      </c>
      <c r="G14" s="161">
        <f>IF(G$1=1,Revenue!$P2*Revenue!$A$23,'Monthly CF'!F14*((1+HLOOKUP('Monthly CF'!F$2,Revenue!$S$8:$AC$10,3,0))^(1/12)))</f>
        <v>1108.1587789555065</v>
      </c>
      <c r="H14" s="161">
        <f>IF(H$1=1,Revenue!$P2*Revenue!$A$23,'Monthly CF'!G14*((1+HLOOKUP('Monthly CF'!G$2,Revenue!$S$8:$AC$10,3,0))^(1/12)))</f>
        <v>1110.8917974549574</v>
      </c>
      <c r="I14" s="161">
        <f>IF(I$1=1,Revenue!$P2*Revenue!$A$23,'Monthly CF'!H14*((1+HLOOKUP('Monthly CF'!H$2,Revenue!$S$8:$AC$10,3,0))^(1/12)))</f>
        <v>1113.6315563153207</v>
      </c>
      <c r="J14" s="161">
        <f>IF(J$1=1,Revenue!$P2*Revenue!$A$23,'Monthly CF'!I14*((1+HLOOKUP('Monthly CF'!I$2,Revenue!$S$8:$AC$10,3,0))^(1/12)))</f>
        <v>1116.3780721601447</v>
      </c>
      <c r="K14" s="161">
        <f>IF(K$1=1,Revenue!$P2*Revenue!$A$23,'Monthly CF'!J14*((1+HLOOKUP('Monthly CF'!J$2,Revenue!$S$8:$AC$10,3,0))^(1/12)))</f>
        <v>1119.131361653976</v>
      </c>
      <c r="L14" s="161">
        <f>IF(L$1=1,Revenue!$P2*Revenue!$A$23,'Monthly CF'!K14*((1+HLOOKUP('Monthly CF'!K$2,Revenue!$S$8:$AC$10,3,0))^(1/12)))</f>
        <v>1121.8914415024603</v>
      </c>
      <c r="M14" s="161">
        <f>IF(M$1=1,Revenue!$P2*Revenue!$A$23,'Monthly CF'!L14*((1+HLOOKUP('Monthly CF'!L$2,Revenue!$S$8:$AC$10,3,0))^(1/12)))</f>
        <v>1124.658328452444</v>
      </c>
      <c r="N14" s="161">
        <f>IF(N$1=1,Revenue!$P2*Revenue!$A$23,'Monthly CF'!M14*((1+HLOOKUP('Monthly CF'!M$2,Revenue!$S$8:$AC$10,3,0))^(1/12)))</f>
        <v>1127.4320392920758</v>
      </c>
      <c r="O14" s="161">
        <f>IF(O$1=1,Revenue!$P2*Revenue!$A$23,'Monthly CF'!N14*((1+HLOOKUP('Monthly CF'!N$2,Revenue!$S$8:$AC$10,3,0))^(1/12)))</f>
        <v>1130.2125908509086</v>
      </c>
      <c r="P14" s="161">
        <f>IF(P$1=1,Revenue!$P2*Revenue!$A$23,'Monthly CF'!O14*((1+HLOOKUP('Monthly CF'!O$2,Revenue!$S$8:$AC$10,3,0))^(1/12)))</f>
        <v>1133.0000000000011</v>
      </c>
      <c r="Q14" s="161">
        <f>IF(Q$1=1,Revenue!$P2*Revenue!$A$23,'Monthly CF'!P14*((1+HLOOKUP('Monthly CF'!P$2,Revenue!$S$8:$AC$10,3,0))^(1/12)))</f>
        <v>1135.7942836520212</v>
      </c>
      <c r="R14" s="161">
        <f>IF(R$1=1,Revenue!$P2*Revenue!$A$23,'Monthly CF'!Q14*((1+HLOOKUP('Monthly CF'!Q$2,Revenue!$S$8:$AC$10,3,0))^(1/12)))</f>
        <v>1138.5954587613476</v>
      </c>
      <c r="S14" s="161">
        <f>IF(S$1=1,Revenue!$P2*Revenue!$A$23,'Monthly CF'!R14*((1+HLOOKUP('Monthly CF'!R$2,Revenue!$S$8:$AC$10,3,0))^(1/12)))</f>
        <v>1141.403542324173</v>
      </c>
      <c r="T14" s="161">
        <f>IF(T$1=1,Revenue!$P2*Revenue!$A$23,'Monthly CF'!S14*((1+HLOOKUP('Monthly CF'!S$2,Revenue!$S$8:$AC$10,3,0))^(1/12)))</f>
        <v>1144.2185513786076</v>
      </c>
      <c r="U14" s="161">
        <f>IF(U$1=1,Revenue!$P2*Revenue!$A$23,'Monthly CF'!T14*((1+HLOOKUP('Monthly CF'!T$2,Revenue!$S$8:$AC$10,3,0))^(1/12)))</f>
        <v>1147.0405030047818</v>
      </c>
      <c r="V14" s="161">
        <f>IF(V$1=1,Revenue!$P2*Revenue!$A$23,'Monthly CF'!U14*((1+HLOOKUP('Monthly CF'!U$2,Revenue!$S$8:$AC$10,3,0))^(1/12)))</f>
        <v>1149.8694143249506</v>
      </c>
      <c r="W14" s="161">
        <f>IF(W$1=1,Revenue!$P2*Revenue!$A$23,'Monthly CF'!V14*((1+HLOOKUP('Monthly CF'!V$2,Revenue!$S$8:$AC$10,3,0))^(1/12)))</f>
        <v>1152.7053025035968</v>
      </c>
      <c r="X14" s="161">
        <f>IF(X$1=1,Revenue!$P2*Revenue!$A$23,'Monthly CF'!W14*((1+HLOOKUP('Monthly CF'!W$2,Revenue!$S$8:$AC$10,3,0))^(1/12)))</f>
        <v>1155.5481847475357</v>
      </c>
      <c r="Y14" s="161">
        <f>IF(Y$1=1,Revenue!$P2*Revenue!$A$23,'Monthly CF'!X14*((1+HLOOKUP('Monthly CF'!X$2,Revenue!$S$8:$AC$10,3,0))^(1/12)))</f>
        <v>1158.398078306019</v>
      </c>
      <c r="Z14" s="161">
        <f>IF(Z$1=1,Revenue!$P2*Revenue!$A$23,'Monthly CF'!Y14*((1+HLOOKUP('Monthly CF'!Y$2,Revenue!$S$8:$AC$10,3,0))^(1/12)))</f>
        <v>1161.2550004708398</v>
      </c>
      <c r="AA14" s="161">
        <f>IF(AA$1=1,Revenue!$P2*Revenue!$A$23,'Monthly CF'!Z14*((1+HLOOKUP('Monthly CF'!Z$2,Revenue!$S$8:$AC$10,3,0))^(1/12)))</f>
        <v>1164.1189685764375</v>
      </c>
      <c r="AB14" s="161">
        <f>IF(AB$1=1,Revenue!$P2*Revenue!$A$23,'Monthly CF'!AA14*((1+HLOOKUP('Monthly CF'!AA$2,Revenue!$S$8:$AC$10,3,0))^(1/12)))</f>
        <v>1166.990000000003</v>
      </c>
      <c r="AC14" s="161">
        <f>IF(AC$1=1,Revenue!$P2*Revenue!$A$23,'Monthly CF'!AB14*((1+HLOOKUP('Monthly CF'!AB$2,Revenue!$S$8:$AC$10,3,0))^(1/12)))</f>
        <v>1169.8681121615837</v>
      </c>
      <c r="AD14" s="161">
        <f>IF(AD$1=1,Revenue!$P2*Revenue!$A$23,'Monthly CF'!AC14*((1+HLOOKUP('Monthly CF'!AC$2,Revenue!$S$8:$AC$10,3,0))^(1/12)))</f>
        <v>1172.7533225241898</v>
      </c>
      <c r="AE14" s="161">
        <f>IF(AE$1=1,Revenue!$P2*Revenue!$A$23,'Monthly CF'!AD14*((1+HLOOKUP('Monthly CF'!AD$2,Revenue!$S$8:$AC$10,3,0))^(1/12)))</f>
        <v>1175.6456485939</v>
      </c>
      <c r="AF14" s="161">
        <f>IF(AF$1=1,Revenue!$P2*Revenue!$A$23,'Monthly CF'!AE14*((1+HLOOKUP('Monthly CF'!AE$2,Revenue!$S$8:$AC$10,3,0))^(1/12)))</f>
        <v>1178.5451079199674</v>
      </c>
      <c r="AG14" s="161">
        <f>IF(AG$1=1,Revenue!$P2*Revenue!$A$23,'Monthly CF'!AF14*((1+HLOOKUP('Monthly CF'!AF$2,Revenue!$S$8:$AC$10,3,0))^(1/12)))</f>
        <v>1181.4517180949269</v>
      </c>
      <c r="AH14" s="161">
        <f>IF(AH$1=1,Revenue!$P2*Revenue!$A$23,'Monthly CF'!AG14*((1+HLOOKUP('Monthly CF'!AG$2,Revenue!$S$8:$AC$10,3,0))^(1/12)))</f>
        <v>1184.3654967547006</v>
      </c>
      <c r="AI14" s="161">
        <f>IF(AI$1=1,Revenue!$P2*Revenue!$A$23,'Monthly CF'!AH14*((1+HLOOKUP('Monthly CF'!AH$2,Revenue!$S$8:$AC$10,3,0))^(1/12)))</f>
        <v>1187.2864615787062</v>
      </c>
      <c r="AJ14" s="161">
        <f>IF(AJ$1=1,Revenue!$P2*Revenue!$A$23,'Monthly CF'!AI14*((1+HLOOKUP('Monthly CF'!AI$2,Revenue!$S$8:$AC$10,3,0))^(1/12)))</f>
        <v>1190.2146302899632</v>
      </c>
      <c r="AK14" s="161">
        <f>IF(AK$1=1,Revenue!$P2*Revenue!$A$23,'Monthly CF'!AJ14*((1+HLOOKUP('Monthly CF'!AJ$2,Revenue!$S$8:$AC$10,3,0))^(1/12)))</f>
        <v>1193.1500206552009</v>
      </c>
      <c r="AL14" s="161">
        <f>IF(AL$1=1,Revenue!$P2*Revenue!$A$23,'Monthly CF'!AK14*((1+HLOOKUP('Monthly CF'!AK$2,Revenue!$S$8:$AC$10,3,0))^(1/12)))</f>
        <v>1196.0926504849663</v>
      </c>
      <c r="AM14" s="161">
        <f>IF(AM$1=1,Revenue!$P2*Revenue!$A$23,'Monthly CF'!AL14*((1+HLOOKUP('Monthly CF'!AL$2,Revenue!$S$8:$AC$10,3,0))^(1/12)))</f>
        <v>1199.0425376337319</v>
      </c>
      <c r="AN14" s="161">
        <f>IF(AN$1=1,Revenue!$P2*Revenue!$A$23,'Monthly CF'!AM14*((1+HLOOKUP('Monthly CF'!AM$2,Revenue!$S$8:$AC$10,3,0))^(1/12)))</f>
        <v>1201.9997000000042</v>
      </c>
      <c r="AO14" s="161">
        <f>IF(AO$1=1,Revenue!$P2*Revenue!$A$23,'Monthly CF'!AN14*((1+HLOOKUP('Monthly CF'!AN$2,Revenue!$S$8:$AC$10,3,0))^(1/12)))</f>
        <v>1204.9641555264323</v>
      </c>
      <c r="AP14" s="161">
        <f>IF(AP$1=1,Revenue!$P2*Revenue!$A$23,'Monthly CF'!AO14*((1+HLOOKUP('Monthly CF'!AO$2,Revenue!$S$8:$AC$10,3,0))^(1/12)))</f>
        <v>1207.9359221999166</v>
      </c>
      <c r="AQ14" s="161">
        <f>IF(AQ$1=1,Revenue!$P2*Revenue!$A$23,'Monthly CF'!AP14*((1+HLOOKUP('Monthly CF'!AP$2,Revenue!$S$8:$AC$10,3,0))^(1/12)))</f>
        <v>1210.9150180517181</v>
      </c>
      <c r="AR14" s="161">
        <f>IF(AR$1=1,Revenue!$P2*Revenue!$A$23,'Monthly CF'!AQ14*((1+HLOOKUP('Monthly CF'!AQ$2,Revenue!$S$8:$AC$10,3,0))^(1/12)))</f>
        <v>1213.9014611575676</v>
      </c>
      <c r="AS14" s="161">
        <f>IF(AS$1=1,Revenue!$P2*Revenue!$A$23,'Monthly CF'!AR14*((1+HLOOKUP('Monthly CF'!AR$2,Revenue!$S$8:$AC$10,3,0))^(1/12)))</f>
        <v>1216.8952696377758</v>
      </c>
      <c r="AT14" s="161">
        <f>IF(AT$1=1,Revenue!$P2*Revenue!$A$23,'Monthly CF'!AS14*((1+HLOOKUP('Monthly CF'!AS$2,Revenue!$S$8:$AC$10,3,0))^(1/12)))</f>
        <v>1219.8964616573428</v>
      </c>
      <c r="AU14" s="161">
        <f>IF(AU$1=1,Revenue!$P2*Revenue!$A$23,'Monthly CF'!AT14*((1+HLOOKUP('Monthly CF'!AT$2,Revenue!$S$8:$AC$10,3,0))^(1/12)))</f>
        <v>1222.9050554260684</v>
      </c>
      <c r="AV14" s="161">
        <f>IF(AV$1=1,Revenue!$P2*Revenue!$A$23,'Monthly CF'!AU14*((1+HLOOKUP('Monthly CF'!AU$2,Revenue!$S$8:$AC$10,3,0))^(1/12)))</f>
        <v>1225.9210691986632</v>
      </c>
      <c r="AW14" s="161">
        <f>IF(AW$1=1,Revenue!$P2*Revenue!$A$23,'Monthly CF'!AV14*((1+HLOOKUP('Monthly CF'!AV$2,Revenue!$S$8:$AC$10,3,0))^(1/12)))</f>
        <v>1228.9445212748581</v>
      </c>
      <c r="AX14" s="161">
        <f>IF(AX$1=1,Revenue!$P2*Revenue!$A$23,'Monthly CF'!AW14*((1+HLOOKUP('Monthly CF'!AW$2,Revenue!$S$8:$AC$10,3,0))^(1/12)))</f>
        <v>1231.9754299995166</v>
      </c>
      <c r="AY14" s="161">
        <f>IF(AY$1=1,Revenue!$P2*Revenue!$A$23,'Monthly CF'!AX14*((1+HLOOKUP('Monthly CF'!AX$2,Revenue!$S$8:$AC$10,3,0))^(1/12)))</f>
        <v>1235.0138137627453</v>
      </c>
      <c r="AZ14" s="161">
        <f>IF(AZ$1=1,Revenue!$P2*Revenue!$A$23,'Monthly CF'!AY14*((1+HLOOKUP('Monthly CF'!AY$2,Revenue!$S$8:$AC$10,3,0))^(1/12)))</f>
        <v>1238.0596910000058</v>
      </c>
      <c r="BA14" s="161">
        <f>IF(BA$1=1,Revenue!$P2*Revenue!$A$23,'Monthly CF'!AZ14*((1+HLOOKUP('Monthly CF'!AZ$2,Revenue!$S$8:$AC$10,3,0))^(1/12)))</f>
        <v>1241.1130801922268</v>
      </c>
      <c r="BB14" s="161">
        <f>IF(BB$1=1,Revenue!$P2*Revenue!$A$23,'Monthly CF'!BA14*((1+HLOOKUP('Monthly CF'!BA$2,Revenue!$S$8:$AC$10,3,0))^(1/12)))</f>
        <v>1244.1739998659157</v>
      </c>
      <c r="BC14" s="161">
        <f>IF(BC$1=1,Revenue!$P2*Revenue!$A$23,'Monthly CF'!BB14*((1+HLOOKUP('Monthly CF'!BB$2,Revenue!$S$8:$AC$10,3,0))^(1/12)))</f>
        <v>1247.242468593271</v>
      </c>
      <c r="BD14" s="161">
        <f>IF(BD$1=1,Revenue!$P2*Revenue!$A$23,'Monthly CF'!BC14*((1+HLOOKUP('Monthly CF'!BC$2,Revenue!$S$8:$AC$10,3,0))^(1/12)))</f>
        <v>1250.3185049922961</v>
      </c>
      <c r="BE14" s="161">
        <f>IF(BE$1=1,Revenue!$P2*Revenue!$A$23,'Monthly CF'!BD14*((1+HLOOKUP('Monthly CF'!BD$2,Revenue!$S$8:$AC$10,3,0))^(1/12)))</f>
        <v>1253.4021277269105</v>
      </c>
      <c r="BF14" s="161">
        <f>IF(BF$1=1,Revenue!$P2*Revenue!$A$23,'Monthly CF'!BE14*((1+HLOOKUP('Monthly CF'!BE$2,Revenue!$S$8:$AC$10,3,0))^(1/12)))</f>
        <v>1256.4933555070645</v>
      </c>
      <c r="BG14" s="161">
        <f>IF(BG$1=1,Revenue!$P2*Revenue!$A$23,'Monthly CF'!BF14*((1+HLOOKUP('Monthly CF'!BF$2,Revenue!$S$8:$AC$10,3,0))^(1/12)))</f>
        <v>1259.5922070888521</v>
      </c>
      <c r="BH14" s="161">
        <f>IF(BH$1=1,Revenue!$P2*Revenue!$A$23,'Monthly CF'!BG14*((1+HLOOKUP('Monthly CF'!BG$2,Revenue!$S$8:$AC$10,3,0))^(1/12)))</f>
        <v>1262.6987012746247</v>
      </c>
      <c r="BI14" s="161">
        <f>IF(BI$1=1,Revenue!$P2*Revenue!$A$23,'Monthly CF'!BH14*((1+HLOOKUP('Monthly CF'!BH$2,Revenue!$S$8:$AC$10,3,0))^(1/12)))</f>
        <v>1265.8128569131054</v>
      </c>
      <c r="BJ14" s="161">
        <f>IF(BJ$1=1,Revenue!$P2*Revenue!$A$23,'Monthly CF'!BI14*((1+HLOOKUP('Monthly CF'!BI$2,Revenue!$S$8:$AC$10,3,0))^(1/12)))</f>
        <v>1268.9346928995035</v>
      </c>
      <c r="BK14" s="161">
        <f>IF(BK$1=1,Revenue!$P2*Revenue!$A$23,'Monthly CF'!BJ14*((1+HLOOKUP('Monthly CF'!BJ$2,Revenue!$S$8:$AC$10,3,0))^(1/12)))</f>
        <v>1272.0642281756291</v>
      </c>
      <c r="BL14" s="161">
        <f>IF(BL$1=1,Revenue!$P2*Revenue!$A$23,'Monthly CF'!BK14*((1+HLOOKUP('Monthly CF'!BK$2,Revenue!$S$8:$AC$10,3,0))^(1/12)))</f>
        <v>1275.2014817300073</v>
      </c>
      <c r="BM14" s="161">
        <f>IF(BM$1=1,Revenue!$P2*Revenue!$A$23,'Monthly CF'!BL14*((1+HLOOKUP('Monthly CF'!BL$2,Revenue!$S$8:$AC$10,3,0))^(1/12)))</f>
        <v>1278.346472597995</v>
      </c>
      <c r="BN14" s="161">
        <f>IF(BN$1=1,Revenue!$P2*Revenue!$A$23,'Monthly CF'!BM14*((1+HLOOKUP('Monthly CF'!BM$2,Revenue!$S$8:$AC$10,3,0))^(1/12)))</f>
        <v>1281.4992198618945</v>
      </c>
      <c r="BO14" s="161">
        <f>IF(BO$1=1,Revenue!$P2*Revenue!$A$23,'Monthly CF'!BN14*((1+HLOOKUP('Monthly CF'!BN$2,Revenue!$S$8:$AC$10,3,0))^(1/12)))</f>
        <v>1284.6597426510707</v>
      </c>
      <c r="BP14" s="161">
        <f>IF(BP$1=1,Revenue!$P2*Revenue!$A$23,'Monthly CF'!BO14*((1+HLOOKUP('Monthly CF'!BO$2,Revenue!$S$8:$AC$10,3,0))^(1/12)))</f>
        <v>1287.8280601420665</v>
      </c>
      <c r="BQ14" s="161">
        <f>IF(BQ$1=1,Revenue!$P2*Revenue!$A$23,'Monthly CF'!BP14*((1+HLOOKUP('Monthly CF'!BP$2,Revenue!$S$8:$AC$10,3,0))^(1/12)))</f>
        <v>1291.0041915587194</v>
      </c>
      <c r="BR14" s="161">
        <f>IF(BR$1=1,Revenue!$P2*Revenue!$A$23,'Monthly CF'!BQ14*((1+HLOOKUP('Monthly CF'!BQ$2,Revenue!$S$8:$AC$10,3,0))^(1/12)))</f>
        <v>1294.188156172278</v>
      </c>
      <c r="BS14" s="161">
        <f>IF(BS$1=1,Revenue!$P2*Revenue!$A$23,'Monthly CF'!BR14*((1+HLOOKUP('Monthly CF'!BR$2,Revenue!$S$8:$AC$10,3,0))^(1/12)))</f>
        <v>1297.3799733015192</v>
      </c>
      <c r="BT14" s="161">
        <f>IF(BT$1=1,Revenue!$P2*Revenue!$A$23,'Monthly CF'!BS14*((1+HLOOKUP('Monthly CF'!BS$2,Revenue!$S$8:$AC$10,3,0))^(1/12)))</f>
        <v>1300.5796623128649</v>
      </c>
      <c r="BU14" s="161">
        <f>IF(BU$1=1,Revenue!$P2*Revenue!$A$23,'Monthly CF'!BT14*((1+HLOOKUP('Monthly CF'!BT$2,Revenue!$S$8:$AC$10,3,0))^(1/12)))</f>
        <v>1303.7872426205001</v>
      </c>
      <c r="BV14" s="161">
        <f>IF(BV$1=1,Revenue!$P2*Revenue!$A$23,'Monthly CF'!BU14*((1+HLOOKUP('Monthly CF'!BU$2,Revenue!$S$8:$AC$10,3,0))^(1/12)))</f>
        <v>1307.0027336864903</v>
      </c>
      <c r="BW14" s="161">
        <f>IF(BW$1=1,Revenue!$P2*Revenue!$A$23,'Monthly CF'!BV14*((1+HLOOKUP('Monthly CF'!BV$2,Revenue!$S$8:$AC$10,3,0))^(1/12)))</f>
        <v>1310.2261550208996</v>
      </c>
      <c r="BX14" s="161">
        <f>IF(BX$1=1,Revenue!$P2*Revenue!$A$23,'Monthly CF'!BW14*((1+HLOOKUP('Monthly CF'!BW$2,Revenue!$S$8:$AC$10,3,0))^(1/12)))</f>
        <v>1313.4575261819093</v>
      </c>
      <c r="BY14" s="161">
        <f>IF(BY$1=1,Revenue!$P2*Revenue!$A$23,'Monthly CF'!BX14*((1+HLOOKUP('Monthly CF'!BX$2,Revenue!$S$8:$AC$10,3,0))^(1/12)))</f>
        <v>1316.6968667759365</v>
      </c>
      <c r="BZ14" s="161">
        <f>IF(BZ$1=1,Revenue!$P2*Revenue!$A$23,'Monthly CF'!BY14*((1+HLOOKUP('Monthly CF'!BY$2,Revenue!$S$8:$AC$10,3,0))^(1/12)))</f>
        <v>1319.9441964577529</v>
      </c>
      <c r="CA14" s="161">
        <f>IF(CA$1=1,Revenue!$P2*Revenue!$A$23,'Monthly CF'!BZ14*((1+HLOOKUP('Monthly CF'!BZ$2,Revenue!$S$8:$AC$10,3,0))^(1/12)))</f>
        <v>1323.1995349306044</v>
      </c>
      <c r="CB14" s="161">
        <f>IF(CB$1=1,Revenue!$P2*Revenue!$A$23,'Monthly CF'!CA14*((1+HLOOKUP('Monthly CF'!CA$2,Revenue!$S$8:$AC$10,3,0))^(1/12)))</f>
        <v>1326.46290194633</v>
      </c>
      <c r="CC14" s="161">
        <f>IF(CC$1=1,Revenue!$P2*Revenue!$A$23,'Monthly CF'!CB14*((1+HLOOKUP('Monthly CF'!CB$2,Revenue!$S$8:$AC$10,3,0))^(1/12)))</f>
        <v>1329.7343173054826</v>
      </c>
      <c r="CD14" s="161">
        <f>IF(CD$1=1,Revenue!$P2*Revenue!$A$23,'Monthly CF'!CC14*((1+HLOOKUP('Monthly CF'!CC$2,Revenue!$S$8:$AC$10,3,0))^(1/12)))</f>
        <v>1333.0138008574479</v>
      </c>
      <c r="CE14" s="161">
        <f>IF(CE$1=1,Revenue!$P2*Revenue!$A$23,'Monthly CF'!CD14*((1+HLOOKUP('Monthly CF'!CD$2,Revenue!$S$8:$AC$10,3,0))^(1/12)))</f>
        <v>1336.3013725005662</v>
      </c>
      <c r="CF14" s="161">
        <f>IF(CF$1=1,Revenue!$P2*Revenue!$A$23,'Monthly CF'!CE14*((1+HLOOKUP('Monthly CF'!CE$2,Revenue!$S$8:$AC$10,3,0))^(1/12)))</f>
        <v>1339.5970521822524</v>
      </c>
      <c r="CG14" s="161">
        <f>IF(CG$1=1,Revenue!$P2*Revenue!$A$23,'Monthly CF'!CF14*((1+HLOOKUP('Monthly CF'!CF$2,Revenue!$S$8:$AC$10,3,0))^(1/12)))</f>
        <v>1342.9008598991165</v>
      </c>
      <c r="CH14" s="161">
        <f>IF(CH$1=1,Revenue!$P2*Revenue!$A$23,'Monthly CF'!CG14*((1+HLOOKUP('Monthly CF'!CG$2,Revenue!$S$8:$AC$10,3,0))^(1/12)))</f>
        <v>1346.2128156970864</v>
      </c>
      <c r="CI14" s="161">
        <f>IF(CI$1=1,Revenue!$P2*Revenue!$A$23,'Monthly CF'!CH14*((1+HLOOKUP('Monthly CF'!CH$2,Revenue!$S$8:$AC$10,3,0))^(1/12)))</f>
        <v>1349.5329396715279</v>
      </c>
      <c r="CJ14" s="161">
        <f>IF(CJ$1=1,Revenue!$P2*Revenue!$A$23,'Monthly CF'!CI14*((1+HLOOKUP('Monthly CF'!CI$2,Revenue!$S$8:$AC$10,3,0))^(1/12)))</f>
        <v>1352.8612519673679</v>
      </c>
      <c r="CK14" s="161">
        <f>IF(CK$1=1,Revenue!$P2*Revenue!$A$23,'Monthly CF'!CJ14*((1+HLOOKUP('Monthly CF'!CJ$2,Revenue!$S$8:$AC$10,3,0))^(1/12)))</f>
        <v>1356.1977727792159</v>
      </c>
      <c r="CL14" s="161">
        <f>IF(CL$1=1,Revenue!$P2*Revenue!$A$23,'Monthly CF'!CK14*((1+HLOOKUP('Monthly CF'!CK$2,Revenue!$S$8:$AC$10,3,0))^(1/12)))</f>
        <v>1359.5425223514869</v>
      </c>
      <c r="CM14" s="161">
        <f>IF(CM$1=1,Revenue!$P2*Revenue!$A$23,'Monthly CF'!CL14*((1+HLOOKUP('Monthly CF'!CL$2,Revenue!$S$8:$AC$10,3,0))^(1/12)))</f>
        <v>1362.8955209785238</v>
      </c>
      <c r="CN14" s="161">
        <f>IF(CN$1=1,Revenue!$P2*Revenue!$A$23,'Monthly CF'!CM14*((1+HLOOKUP('Monthly CF'!CM$2,Revenue!$S$8:$AC$10,3,0))^(1/12)))</f>
        <v>1366.2567890047212</v>
      </c>
      <c r="CO14" s="161">
        <f>IF(CO$1=1,Revenue!$P2*Revenue!$A$23,'Monthly CF'!CN14*((1+HLOOKUP('Monthly CF'!CN$2,Revenue!$S$8:$AC$10,3,0))^(1/12)))</f>
        <v>1369.6263468246482</v>
      </c>
      <c r="CP14" s="161">
        <f>IF(CP$1=1,Revenue!$P2*Revenue!$A$23,'Monthly CF'!CO14*((1+HLOOKUP('Monthly CF'!CO$2,Revenue!$S$8:$AC$10,3,0))^(1/12)))</f>
        <v>1373.0042148831726</v>
      </c>
      <c r="CQ14" s="161">
        <f>IF(CQ$1=1,Revenue!$P2*Revenue!$A$23,'Monthly CF'!CP14*((1+HLOOKUP('Monthly CF'!CP$2,Revenue!$S$8:$AC$10,3,0))^(1/12)))</f>
        <v>1376.3904136755846</v>
      </c>
      <c r="CR14" s="161">
        <f>IF(CR$1=1,Revenue!$P2*Revenue!$A$23,'Monthly CF'!CQ14*((1+HLOOKUP('Monthly CF'!CQ$2,Revenue!$S$8:$AC$10,3,0))^(1/12)))</f>
        <v>1379.7849637477211</v>
      </c>
      <c r="CS14" s="161">
        <f>IF(CS$1=1,Revenue!$P2*Revenue!$A$23,'Monthly CF'!CR14*((1+HLOOKUP('Monthly CF'!CR$2,Revenue!$S$8:$AC$10,3,0))^(1/12)))</f>
        <v>1383.1878856960914</v>
      </c>
      <c r="CT14" s="161">
        <f>IF(CT$1=1,Revenue!$P2*Revenue!$A$23,'Monthly CF'!CS14*((1+HLOOKUP('Monthly CF'!CS$2,Revenue!$S$8:$AC$10,3,0))^(1/12)))</f>
        <v>1386.5992001680004</v>
      </c>
      <c r="CU14" s="161">
        <f>IF(CU$1=1,Revenue!$P2*Revenue!$A$23,'Monthly CF'!CT14*((1+HLOOKUP('Monthly CF'!CT$2,Revenue!$S$8:$AC$10,3,0))^(1/12)))</f>
        <v>1390.0189278616751</v>
      </c>
      <c r="CV14" s="161">
        <f>IF(CV$1=1,Revenue!$P2*Revenue!$A$23,'Monthly CF'!CU14*((1+HLOOKUP('Monthly CF'!CU$2,Revenue!$S$8:$AC$10,3,0))^(1/12)))</f>
        <v>1393.4470895263903</v>
      </c>
      <c r="CW14" s="161">
        <f>IF(CW$1=1,Revenue!$P2*Revenue!$A$23,'Monthly CF'!CV14*((1+HLOOKUP('Monthly CF'!CV$2,Revenue!$S$8:$AC$10,3,0))^(1/12)))</f>
        <v>1396.8837059625937</v>
      </c>
      <c r="CX14" s="161">
        <f>IF(CX$1=1,Revenue!$P2*Revenue!$A$23,'Monthly CF'!CW14*((1+HLOOKUP('Monthly CF'!CW$2,Revenue!$S$8:$AC$10,3,0))^(1/12)))</f>
        <v>1400.3287980220327</v>
      </c>
      <c r="CY14" s="161">
        <f>IF(CY$1=1,Revenue!$P2*Revenue!$A$23,'Monthly CF'!CX14*((1+HLOOKUP('Monthly CF'!CX$2,Revenue!$S$8:$AC$10,3,0))^(1/12)))</f>
        <v>1403.7823866078809</v>
      </c>
      <c r="CZ14" s="161">
        <f>IF(CZ$1=1,Revenue!$P2*Revenue!$A$23,'Monthly CF'!CY14*((1+HLOOKUP('Monthly CF'!CY$2,Revenue!$S$8:$AC$10,3,0))^(1/12)))</f>
        <v>1407.2444926748642</v>
      </c>
      <c r="DA14" s="161">
        <f>IF(DA$1=1,Revenue!$P2*Revenue!$A$23,'Monthly CF'!CZ14*((1+HLOOKUP('Monthly CF'!CZ$2,Revenue!$S$8:$AC$10,3,0))^(1/12)))</f>
        <v>1410.715137229389</v>
      </c>
      <c r="DB14" s="161">
        <f>IF(DB$1=1,Revenue!$P2*Revenue!$A$23,'Monthly CF'!DA14*((1+HLOOKUP('Monthly CF'!DA$2,Revenue!$S$8:$AC$10,3,0))^(1/12)))</f>
        <v>1414.1943413296692</v>
      </c>
      <c r="DC14" s="161">
        <f>IF(DC$1=1,Revenue!$P2*Revenue!$A$23,'Monthly CF'!DB14*((1+HLOOKUP('Monthly CF'!DB$2,Revenue!$S$8:$AC$10,3,0))^(1/12)))</f>
        <v>1417.6821260858535</v>
      </c>
      <c r="DD14" s="161">
        <f>IF(DD$1=1,Revenue!$P2*Revenue!$A$23,'Monthly CF'!DC14*((1+HLOOKUP('Monthly CF'!DC$2,Revenue!$S$8:$AC$10,3,0))^(1/12)))</f>
        <v>1421.1785126601542</v>
      </c>
      <c r="DE14" s="161">
        <f>IF(DE$1=1,Revenue!$P2*Revenue!$A$23,'Monthly CF'!DD14*((1+HLOOKUP('Monthly CF'!DD$2,Revenue!$S$8:$AC$10,3,0))^(1/12)))</f>
        <v>1424.6835222669754</v>
      </c>
      <c r="DF14" s="161">
        <f>IF(DF$1=1,Revenue!$P2*Revenue!$A$23,'Monthly CF'!DE14*((1+HLOOKUP('Monthly CF'!DE$2,Revenue!$S$8:$AC$10,3,0))^(1/12)))</f>
        <v>1428.1971761730415</v>
      </c>
      <c r="DG14" s="161">
        <f>IF(DG$1=1,Revenue!$P2*Revenue!$A$23,'Monthly CF'!DF14*((1+HLOOKUP('Monthly CF'!DF$2,Revenue!$S$8:$AC$10,3,0))^(1/12)))</f>
        <v>1431.7194956975266</v>
      </c>
      <c r="DH14" s="161">
        <f>IF(DH$1=1,Revenue!$P2*Revenue!$A$23,'Monthly CF'!DG14*((1+HLOOKUP('Monthly CF'!DG$2,Revenue!$S$8:$AC$10,3,0))^(1/12)))</f>
        <v>1435.2505022121832</v>
      </c>
      <c r="DI14" s="161">
        <f>IF(DI$1=1,Revenue!$P2*Revenue!$A$23,'Monthly CF'!DH14*((1+HLOOKUP('Monthly CF'!DH$2,Revenue!$S$8:$AC$10,3,0))^(1/12)))</f>
        <v>1438.7902171414728</v>
      </c>
      <c r="DJ14" s="161">
        <f>IF(DJ$1=1,Revenue!$P2*Revenue!$A$23,'Monthly CF'!DI14*((1+HLOOKUP('Monthly CF'!DI$2,Revenue!$S$8:$AC$10,3,0))^(1/12)))</f>
        <v>1442.3386619626951</v>
      </c>
      <c r="DK14" s="161">
        <f>IF(DK$1=1,Revenue!$P2*Revenue!$A$23,'Monthly CF'!DJ14*((1+HLOOKUP('Monthly CF'!DJ$2,Revenue!$S$8:$AC$10,3,0))^(1/12)))</f>
        <v>1445.8958582061186</v>
      </c>
      <c r="DL14" s="161">
        <f>IF(DL$1=1,Revenue!$P2*Revenue!$A$23,'Monthly CF'!DK14*((1+HLOOKUP('Monthly CF'!DK$2,Revenue!$S$8:$AC$10,3,0))^(1/12)))</f>
        <v>1449.4618274551115</v>
      </c>
      <c r="DM14" s="161">
        <f>IF(DM$1=1,Revenue!$P2*Revenue!$A$23,'Monthly CF'!DL14*((1+HLOOKUP('Monthly CF'!DL$2,Revenue!$S$8:$AC$10,3,0))^(1/12)))</f>
        <v>1453.036591346272</v>
      </c>
      <c r="DN14" s="161">
        <f>IF(DN$1=1,Revenue!$P2*Revenue!$A$23,'Monthly CF'!DM14*((1+HLOOKUP('Monthly CF'!DM$2,Revenue!$S$8:$AC$10,3,0))^(1/12)))</f>
        <v>1456.6201715695604</v>
      </c>
      <c r="DO14" s="161">
        <f>IF(DO$1=1,Revenue!$P2*Revenue!$A$23,'Monthly CF'!DN14*((1+HLOOKUP('Monthly CF'!DN$2,Revenue!$S$8:$AC$10,3,0))^(1/12)))</f>
        <v>1460.2125898684303</v>
      </c>
      <c r="DP14" s="161">
        <f>IF(DP$1=1,Revenue!$P2*Revenue!$A$23,'Monthly CF'!DO14*((1+HLOOKUP('Monthly CF'!DO$2,Revenue!$S$8:$AC$10,3,0))^(1/12)))</f>
        <v>1463.8138680399602</v>
      </c>
      <c r="DQ14" s="161">
        <f>IF(DQ$1=1,Revenue!$P2*Revenue!$A$23,'Monthly CF'!DP14*((1+HLOOKUP('Monthly CF'!DP$2,Revenue!$S$8:$AC$10,3,0))^(1/12)))</f>
        <v>1467.424027934986</v>
      </c>
      <c r="DR14" s="161">
        <f>IF(DR$1=1,Revenue!$P2*Revenue!$A$23,'Monthly CF'!DQ14*((1+HLOOKUP('Monthly CF'!DQ$2,Revenue!$S$8:$AC$10,3,0))^(1/12)))</f>
        <v>1471.0430914582341</v>
      </c>
      <c r="DS14" s="161">
        <f>IF(DS$1=1,Revenue!$P2*Revenue!$A$23,'Monthly CF'!DR14*((1+HLOOKUP('Monthly CF'!DR$2,Revenue!$S$8:$AC$10,3,0))^(1/12)))</f>
        <v>1474.6710805684538</v>
      </c>
      <c r="DT14" s="161">
        <f>IF(DT$1=1,Revenue!$P2*Revenue!$A$23,'Monthly CF'!DS14*((1+HLOOKUP('Monthly CF'!DS$2,Revenue!$S$8:$AC$10,3,0))^(1/12)))</f>
        <v>1478.3080172785501</v>
      </c>
      <c r="DU14" s="161">
        <f>IF(DU$1=1,Revenue!$P2*Revenue!$A$23,'Monthly CF'!DT14*((1+HLOOKUP('Monthly CF'!DT$2,Revenue!$S$8:$AC$10,3,0))^(1/12)))</f>
        <v>1481.9539236557184</v>
      </c>
      <c r="DV14" s="161">
        <f>IF(DV$1=1,Revenue!$P2*Revenue!$A$23,'Monthly CF'!DU14*((1+HLOOKUP('Monthly CF'!DU$2,Revenue!$S$8:$AC$10,3,0))^(1/12)))</f>
        <v>1485.6088218215773</v>
      </c>
      <c r="DW14" s="161">
        <f>IF(DW$1=1,Revenue!$P2*Revenue!$A$23,'Monthly CF'!DV14*((1+HLOOKUP('Monthly CF'!DV$2,Revenue!$S$8:$AC$10,3,0))^(1/12)))</f>
        <v>1489.2727339523035</v>
      </c>
      <c r="DX14" s="161">
        <f>IF(DX$1=1,Revenue!$P2*Revenue!$A$23,'Monthly CF'!DW14*((1+HLOOKUP('Monthly CF'!DW$2,Revenue!$S$8:$AC$10,3,0))^(1/12)))</f>
        <v>1492.9456822787661</v>
      </c>
      <c r="DY14" s="161">
        <f>IF(DY$1=1,Revenue!$P2*Revenue!$A$23,'Monthly CF'!DX14*((1+HLOOKUP('Monthly CF'!DX$2,Revenue!$S$8:$AC$10,3,0))^(1/12)))</f>
        <v>1496.6276890866616</v>
      </c>
      <c r="DZ14" s="161">
        <f>IF(DZ$1=1,Revenue!$P2*Revenue!$A$23,'Monthly CF'!DY14*((1+HLOOKUP('Monthly CF'!DY$2,Revenue!$S$8:$AC$10,3,0))^(1/12)))</f>
        <v>1500.3187767166487</v>
      </c>
      <c r="EA14" s="161">
        <f>IF(EA$1=1,Revenue!$P2*Revenue!$A$23,'Monthly CF'!DZ14*((1+HLOOKUP('Monthly CF'!DZ$2,Revenue!$S$8:$AC$10,3,0))^(1/12)))</f>
        <v>1504.0189675644847</v>
      </c>
      <c r="EB14" s="161">
        <f>IF(EB$1=1,Revenue!$P2*Revenue!$A$23,'Monthly CF'!EA14*((1+HLOOKUP('Monthly CF'!EA$2,Revenue!$S$8:$AC$10,3,0))^(1/12)))</f>
        <v>1507.7282840811604</v>
      </c>
      <c r="EC14" s="161">
        <f>IF(EC$1=1,Revenue!$P2*Revenue!$A$23,'Monthly CF'!EB14*((1+HLOOKUP('Monthly CF'!EB$2,Revenue!$S$8:$AC$10,3,0))^(1/12)))</f>
        <v>1511.4467487730371</v>
      </c>
      <c r="ED14" s="161">
        <f>IF(ED$1=1,Revenue!$P2*Revenue!$A$23,'Monthly CF'!EC14*((1+HLOOKUP('Monthly CF'!EC$2,Revenue!$S$8:$AC$10,3,0))^(1/12)))</f>
        <v>1515.1743842019828</v>
      </c>
      <c r="EE14" s="162">
        <f>IF(EE$1=1,Revenue!$P2*Revenue!$A$23,'Monthly CF'!ED14*((1+HLOOKUP('Monthly CF'!ED$2,Revenue!$S$8:$AC$10,3,0))^(1/12)))</f>
        <v>1518.9112129855089</v>
      </c>
    </row>
    <row r="15" spans="1:135" x14ac:dyDescent="0.35">
      <c r="A15" s="168">
        <f>SUMIF($C$1:$EE$1,"&lt;="&amp;Summary!$K$19,'Monthly CF'!C15:EE15)</f>
        <v>153392.7964924862</v>
      </c>
      <c r="B15" s="5" t="str">
        <f>Revenue!O3</f>
        <v>Late Fees</v>
      </c>
      <c r="C15" s="160"/>
      <c r="D15" s="161">
        <f>IF(D$1=1,Revenue!$P3*Revenue!$A$23,'Monthly CF'!C15*((1+HLOOKUP('Monthly CF'!C$2,Revenue!$S$8:$AC$10,3,0))^(1/12)))</f>
        <v>1100</v>
      </c>
      <c r="E15" s="161">
        <f>IF(E$1=1,Revenue!$P3*Revenue!$A$23,'Monthly CF'!D15*((1+HLOOKUP('Monthly CF'!D$2,Revenue!$S$8:$AC$10,3,0))^(1/12)))</f>
        <v>1102.7128967495341</v>
      </c>
      <c r="F15" s="161">
        <f>IF(F$1=1,Revenue!$P3*Revenue!$A$23,'Monthly CF'!E15*((1+HLOOKUP('Monthly CF'!E$2,Revenue!$S$8:$AC$10,3,0))^(1/12)))</f>
        <v>1105.4324842343169</v>
      </c>
      <c r="G15" s="161">
        <f>IF(G$1=1,Revenue!$P3*Revenue!$A$23,'Monthly CF'!F15*((1+HLOOKUP('Monthly CF'!F$2,Revenue!$S$8:$AC$10,3,0))^(1/12)))</f>
        <v>1108.1587789555065</v>
      </c>
      <c r="H15" s="161">
        <f>IF(H$1=1,Revenue!$P3*Revenue!$A$23,'Monthly CF'!G15*((1+HLOOKUP('Monthly CF'!G$2,Revenue!$S$8:$AC$10,3,0))^(1/12)))</f>
        <v>1110.8917974549574</v>
      </c>
      <c r="I15" s="161">
        <f>IF(I$1=1,Revenue!$P3*Revenue!$A$23,'Monthly CF'!H15*((1+HLOOKUP('Monthly CF'!H$2,Revenue!$S$8:$AC$10,3,0))^(1/12)))</f>
        <v>1113.6315563153207</v>
      </c>
      <c r="J15" s="161">
        <f>IF(J$1=1,Revenue!$P3*Revenue!$A$23,'Monthly CF'!I15*((1+HLOOKUP('Monthly CF'!I$2,Revenue!$S$8:$AC$10,3,0))^(1/12)))</f>
        <v>1116.3780721601447</v>
      </c>
      <c r="K15" s="161">
        <f>IF(K$1=1,Revenue!$P3*Revenue!$A$23,'Monthly CF'!J15*((1+HLOOKUP('Monthly CF'!J$2,Revenue!$S$8:$AC$10,3,0))^(1/12)))</f>
        <v>1119.131361653976</v>
      </c>
      <c r="L15" s="161">
        <f>IF(L$1=1,Revenue!$P3*Revenue!$A$23,'Monthly CF'!K15*((1+HLOOKUP('Monthly CF'!K$2,Revenue!$S$8:$AC$10,3,0))^(1/12)))</f>
        <v>1121.8914415024603</v>
      </c>
      <c r="M15" s="161">
        <f>IF(M$1=1,Revenue!$P3*Revenue!$A$23,'Monthly CF'!L15*((1+HLOOKUP('Monthly CF'!L$2,Revenue!$S$8:$AC$10,3,0))^(1/12)))</f>
        <v>1124.658328452444</v>
      </c>
      <c r="N15" s="161">
        <f>IF(N$1=1,Revenue!$P3*Revenue!$A$23,'Monthly CF'!M15*((1+HLOOKUP('Monthly CF'!M$2,Revenue!$S$8:$AC$10,3,0))^(1/12)))</f>
        <v>1127.4320392920758</v>
      </c>
      <c r="O15" s="161">
        <f>IF(O$1=1,Revenue!$P3*Revenue!$A$23,'Monthly CF'!N15*((1+HLOOKUP('Monthly CF'!N$2,Revenue!$S$8:$AC$10,3,0))^(1/12)))</f>
        <v>1130.2125908509086</v>
      </c>
      <c r="P15" s="161">
        <f>IF(P$1=1,Revenue!$P3*Revenue!$A$23,'Monthly CF'!O15*((1+HLOOKUP('Monthly CF'!O$2,Revenue!$S$8:$AC$10,3,0))^(1/12)))</f>
        <v>1133.0000000000011</v>
      </c>
      <c r="Q15" s="161">
        <f>IF(Q$1=1,Revenue!$P3*Revenue!$A$23,'Monthly CF'!P15*((1+HLOOKUP('Monthly CF'!P$2,Revenue!$S$8:$AC$10,3,0))^(1/12)))</f>
        <v>1135.7942836520212</v>
      </c>
      <c r="R15" s="161">
        <f>IF(R$1=1,Revenue!$P3*Revenue!$A$23,'Monthly CF'!Q15*((1+HLOOKUP('Monthly CF'!Q$2,Revenue!$S$8:$AC$10,3,0))^(1/12)))</f>
        <v>1138.5954587613476</v>
      </c>
      <c r="S15" s="161">
        <f>IF(S$1=1,Revenue!$P3*Revenue!$A$23,'Monthly CF'!R15*((1+HLOOKUP('Monthly CF'!R$2,Revenue!$S$8:$AC$10,3,0))^(1/12)))</f>
        <v>1141.403542324173</v>
      </c>
      <c r="T15" s="161">
        <f>IF(T$1=1,Revenue!$P3*Revenue!$A$23,'Monthly CF'!S15*((1+HLOOKUP('Monthly CF'!S$2,Revenue!$S$8:$AC$10,3,0))^(1/12)))</f>
        <v>1144.2185513786076</v>
      </c>
      <c r="U15" s="161">
        <f>IF(U$1=1,Revenue!$P3*Revenue!$A$23,'Monthly CF'!T15*((1+HLOOKUP('Monthly CF'!T$2,Revenue!$S$8:$AC$10,3,0))^(1/12)))</f>
        <v>1147.0405030047818</v>
      </c>
      <c r="V15" s="161">
        <f>IF(V$1=1,Revenue!$P3*Revenue!$A$23,'Monthly CF'!U15*((1+HLOOKUP('Monthly CF'!U$2,Revenue!$S$8:$AC$10,3,0))^(1/12)))</f>
        <v>1149.8694143249506</v>
      </c>
      <c r="W15" s="161">
        <f>IF(W$1=1,Revenue!$P3*Revenue!$A$23,'Monthly CF'!V15*((1+HLOOKUP('Monthly CF'!V$2,Revenue!$S$8:$AC$10,3,0))^(1/12)))</f>
        <v>1152.7053025035968</v>
      </c>
      <c r="X15" s="161">
        <f>IF(X$1=1,Revenue!$P3*Revenue!$A$23,'Monthly CF'!W15*((1+HLOOKUP('Monthly CF'!W$2,Revenue!$S$8:$AC$10,3,0))^(1/12)))</f>
        <v>1155.5481847475357</v>
      </c>
      <c r="Y15" s="161">
        <f>IF(Y$1=1,Revenue!$P3*Revenue!$A$23,'Monthly CF'!X15*((1+HLOOKUP('Monthly CF'!X$2,Revenue!$S$8:$AC$10,3,0))^(1/12)))</f>
        <v>1158.398078306019</v>
      </c>
      <c r="Z15" s="161">
        <f>IF(Z$1=1,Revenue!$P3*Revenue!$A$23,'Monthly CF'!Y15*((1+HLOOKUP('Monthly CF'!Y$2,Revenue!$S$8:$AC$10,3,0))^(1/12)))</f>
        <v>1161.2550004708398</v>
      </c>
      <c r="AA15" s="161">
        <f>IF(AA$1=1,Revenue!$P3*Revenue!$A$23,'Monthly CF'!Z15*((1+HLOOKUP('Monthly CF'!Z$2,Revenue!$S$8:$AC$10,3,0))^(1/12)))</f>
        <v>1164.1189685764375</v>
      </c>
      <c r="AB15" s="161">
        <f>IF(AB$1=1,Revenue!$P3*Revenue!$A$23,'Monthly CF'!AA15*((1+HLOOKUP('Monthly CF'!AA$2,Revenue!$S$8:$AC$10,3,0))^(1/12)))</f>
        <v>1166.990000000003</v>
      </c>
      <c r="AC15" s="161">
        <f>IF(AC$1=1,Revenue!$P3*Revenue!$A$23,'Monthly CF'!AB15*((1+HLOOKUP('Monthly CF'!AB$2,Revenue!$S$8:$AC$10,3,0))^(1/12)))</f>
        <v>1169.8681121615837</v>
      </c>
      <c r="AD15" s="161">
        <f>IF(AD$1=1,Revenue!$P3*Revenue!$A$23,'Monthly CF'!AC15*((1+HLOOKUP('Monthly CF'!AC$2,Revenue!$S$8:$AC$10,3,0))^(1/12)))</f>
        <v>1172.7533225241898</v>
      </c>
      <c r="AE15" s="161">
        <f>IF(AE$1=1,Revenue!$P3*Revenue!$A$23,'Monthly CF'!AD15*((1+HLOOKUP('Monthly CF'!AD$2,Revenue!$S$8:$AC$10,3,0))^(1/12)))</f>
        <v>1175.6456485939</v>
      </c>
      <c r="AF15" s="161">
        <f>IF(AF$1=1,Revenue!$P3*Revenue!$A$23,'Monthly CF'!AE15*((1+HLOOKUP('Monthly CF'!AE$2,Revenue!$S$8:$AC$10,3,0))^(1/12)))</f>
        <v>1178.5451079199674</v>
      </c>
      <c r="AG15" s="161">
        <f>IF(AG$1=1,Revenue!$P3*Revenue!$A$23,'Monthly CF'!AF15*((1+HLOOKUP('Monthly CF'!AF$2,Revenue!$S$8:$AC$10,3,0))^(1/12)))</f>
        <v>1181.4517180949269</v>
      </c>
      <c r="AH15" s="161">
        <f>IF(AH$1=1,Revenue!$P3*Revenue!$A$23,'Monthly CF'!AG15*((1+HLOOKUP('Monthly CF'!AG$2,Revenue!$S$8:$AC$10,3,0))^(1/12)))</f>
        <v>1184.3654967547006</v>
      </c>
      <c r="AI15" s="161">
        <f>IF(AI$1=1,Revenue!$P3*Revenue!$A$23,'Monthly CF'!AH15*((1+HLOOKUP('Monthly CF'!AH$2,Revenue!$S$8:$AC$10,3,0))^(1/12)))</f>
        <v>1187.2864615787062</v>
      </c>
      <c r="AJ15" s="161">
        <f>IF(AJ$1=1,Revenue!$P3*Revenue!$A$23,'Monthly CF'!AI15*((1+HLOOKUP('Monthly CF'!AI$2,Revenue!$S$8:$AC$10,3,0))^(1/12)))</f>
        <v>1190.2146302899632</v>
      </c>
      <c r="AK15" s="161">
        <f>IF(AK$1=1,Revenue!$P3*Revenue!$A$23,'Monthly CF'!AJ15*((1+HLOOKUP('Monthly CF'!AJ$2,Revenue!$S$8:$AC$10,3,0))^(1/12)))</f>
        <v>1193.1500206552009</v>
      </c>
      <c r="AL15" s="161">
        <f>IF(AL$1=1,Revenue!$P3*Revenue!$A$23,'Monthly CF'!AK15*((1+HLOOKUP('Monthly CF'!AK$2,Revenue!$S$8:$AC$10,3,0))^(1/12)))</f>
        <v>1196.0926504849663</v>
      </c>
      <c r="AM15" s="161">
        <f>IF(AM$1=1,Revenue!$P3*Revenue!$A$23,'Monthly CF'!AL15*((1+HLOOKUP('Monthly CF'!AL$2,Revenue!$S$8:$AC$10,3,0))^(1/12)))</f>
        <v>1199.0425376337319</v>
      </c>
      <c r="AN15" s="161">
        <f>IF(AN$1=1,Revenue!$P3*Revenue!$A$23,'Monthly CF'!AM15*((1+HLOOKUP('Monthly CF'!AM$2,Revenue!$S$8:$AC$10,3,0))^(1/12)))</f>
        <v>1201.9997000000042</v>
      </c>
      <c r="AO15" s="161">
        <f>IF(AO$1=1,Revenue!$P3*Revenue!$A$23,'Monthly CF'!AN15*((1+HLOOKUP('Monthly CF'!AN$2,Revenue!$S$8:$AC$10,3,0))^(1/12)))</f>
        <v>1204.9641555264323</v>
      </c>
      <c r="AP15" s="161">
        <f>IF(AP$1=1,Revenue!$P3*Revenue!$A$23,'Monthly CF'!AO15*((1+HLOOKUP('Monthly CF'!AO$2,Revenue!$S$8:$AC$10,3,0))^(1/12)))</f>
        <v>1207.9359221999166</v>
      </c>
      <c r="AQ15" s="161">
        <f>IF(AQ$1=1,Revenue!$P3*Revenue!$A$23,'Monthly CF'!AP15*((1+HLOOKUP('Monthly CF'!AP$2,Revenue!$S$8:$AC$10,3,0))^(1/12)))</f>
        <v>1210.9150180517181</v>
      </c>
      <c r="AR15" s="161">
        <f>IF(AR$1=1,Revenue!$P3*Revenue!$A$23,'Monthly CF'!AQ15*((1+HLOOKUP('Monthly CF'!AQ$2,Revenue!$S$8:$AC$10,3,0))^(1/12)))</f>
        <v>1213.9014611575676</v>
      </c>
      <c r="AS15" s="161">
        <f>IF(AS$1=1,Revenue!$P3*Revenue!$A$23,'Monthly CF'!AR15*((1+HLOOKUP('Monthly CF'!AR$2,Revenue!$S$8:$AC$10,3,0))^(1/12)))</f>
        <v>1216.8952696377758</v>
      </c>
      <c r="AT15" s="161">
        <f>IF(AT$1=1,Revenue!$P3*Revenue!$A$23,'Monthly CF'!AS15*((1+HLOOKUP('Monthly CF'!AS$2,Revenue!$S$8:$AC$10,3,0))^(1/12)))</f>
        <v>1219.8964616573428</v>
      </c>
      <c r="AU15" s="161">
        <f>IF(AU$1=1,Revenue!$P3*Revenue!$A$23,'Monthly CF'!AT15*((1+HLOOKUP('Monthly CF'!AT$2,Revenue!$S$8:$AC$10,3,0))^(1/12)))</f>
        <v>1222.9050554260684</v>
      </c>
      <c r="AV15" s="161">
        <f>IF(AV$1=1,Revenue!$P3*Revenue!$A$23,'Monthly CF'!AU15*((1+HLOOKUP('Monthly CF'!AU$2,Revenue!$S$8:$AC$10,3,0))^(1/12)))</f>
        <v>1225.9210691986632</v>
      </c>
      <c r="AW15" s="161">
        <f>IF(AW$1=1,Revenue!$P3*Revenue!$A$23,'Monthly CF'!AV15*((1+HLOOKUP('Monthly CF'!AV$2,Revenue!$S$8:$AC$10,3,0))^(1/12)))</f>
        <v>1228.9445212748581</v>
      </c>
      <c r="AX15" s="161">
        <f>IF(AX$1=1,Revenue!$P3*Revenue!$A$23,'Monthly CF'!AW15*((1+HLOOKUP('Monthly CF'!AW$2,Revenue!$S$8:$AC$10,3,0))^(1/12)))</f>
        <v>1231.9754299995166</v>
      </c>
      <c r="AY15" s="161">
        <f>IF(AY$1=1,Revenue!$P3*Revenue!$A$23,'Monthly CF'!AX15*((1+HLOOKUP('Monthly CF'!AX$2,Revenue!$S$8:$AC$10,3,0))^(1/12)))</f>
        <v>1235.0138137627453</v>
      </c>
      <c r="AZ15" s="161">
        <f>IF(AZ$1=1,Revenue!$P3*Revenue!$A$23,'Monthly CF'!AY15*((1+HLOOKUP('Monthly CF'!AY$2,Revenue!$S$8:$AC$10,3,0))^(1/12)))</f>
        <v>1238.0596910000058</v>
      </c>
      <c r="BA15" s="161">
        <f>IF(BA$1=1,Revenue!$P3*Revenue!$A$23,'Monthly CF'!AZ15*((1+HLOOKUP('Monthly CF'!AZ$2,Revenue!$S$8:$AC$10,3,0))^(1/12)))</f>
        <v>1241.1130801922268</v>
      </c>
      <c r="BB15" s="161">
        <f>IF(BB$1=1,Revenue!$P3*Revenue!$A$23,'Monthly CF'!BA15*((1+HLOOKUP('Monthly CF'!BA$2,Revenue!$S$8:$AC$10,3,0))^(1/12)))</f>
        <v>1244.1739998659157</v>
      </c>
      <c r="BC15" s="161">
        <f>IF(BC$1=1,Revenue!$P3*Revenue!$A$23,'Monthly CF'!BB15*((1+HLOOKUP('Monthly CF'!BB$2,Revenue!$S$8:$AC$10,3,0))^(1/12)))</f>
        <v>1247.242468593271</v>
      </c>
      <c r="BD15" s="161">
        <f>IF(BD$1=1,Revenue!$P3*Revenue!$A$23,'Monthly CF'!BC15*((1+HLOOKUP('Monthly CF'!BC$2,Revenue!$S$8:$AC$10,3,0))^(1/12)))</f>
        <v>1250.3185049922961</v>
      </c>
      <c r="BE15" s="161">
        <f>IF(BE$1=1,Revenue!$P3*Revenue!$A$23,'Monthly CF'!BD15*((1+HLOOKUP('Monthly CF'!BD$2,Revenue!$S$8:$AC$10,3,0))^(1/12)))</f>
        <v>1253.4021277269105</v>
      </c>
      <c r="BF15" s="161">
        <f>IF(BF$1=1,Revenue!$P3*Revenue!$A$23,'Monthly CF'!BE15*((1+HLOOKUP('Monthly CF'!BE$2,Revenue!$S$8:$AC$10,3,0))^(1/12)))</f>
        <v>1256.4933555070645</v>
      </c>
      <c r="BG15" s="161">
        <f>IF(BG$1=1,Revenue!$P3*Revenue!$A$23,'Monthly CF'!BF15*((1+HLOOKUP('Monthly CF'!BF$2,Revenue!$S$8:$AC$10,3,0))^(1/12)))</f>
        <v>1259.5922070888521</v>
      </c>
      <c r="BH15" s="161">
        <f>IF(BH$1=1,Revenue!$P3*Revenue!$A$23,'Monthly CF'!BG15*((1+HLOOKUP('Monthly CF'!BG$2,Revenue!$S$8:$AC$10,3,0))^(1/12)))</f>
        <v>1262.6987012746247</v>
      </c>
      <c r="BI15" s="161">
        <f>IF(BI$1=1,Revenue!$P3*Revenue!$A$23,'Monthly CF'!BH15*((1+HLOOKUP('Monthly CF'!BH$2,Revenue!$S$8:$AC$10,3,0))^(1/12)))</f>
        <v>1265.8128569131054</v>
      </c>
      <c r="BJ15" s="161">
        <f>IF(BJ$1=1,Revenue!$P3*Revenue!$A$23,'Monthly CF'!BI15*((1+HLOOKUP('Monthly CF'!BI$2,Revenue!$S$8:$AC$10,3,0))^(1/12)))</f>
        <v>1268.9346928995035</v>
      </c>
      <c r="BK15" s="161">
        <f>IF(BK$1=1,Revenue!$P3*Revenue!$A$23,'Monthly CF'!BJ15*((1+HLOOKUP('Monthly CF'!BJ$2,Revenue!$S$8:$AC$10,3,0))^(1/12)))</f>
        <v>1272.0642281756291</v>
      </c>
      <c r="BL15" s="161">
        <f>IF(BL$1=1,Revenue!$P3*Revenue!$A$23,'Monthly CF'!BK15*((1+HLOOKUP('Monthly CF'!BK$2,Revenue!$S$8:$AC$10,3,0))^(1/12)))</f>
        <v>1275.2014817300073</v>
      </c>
      <c r="BM15" s="161">
        <f>IF(BM$1=1,Revenue!$P3*Revenue!$A$23,'Monthly CF'!BL15*((1+HLOOKUP('Monthly CF'!BL$2,Revenue!$S$8:$AC$10,3,0))^(1/12)))</f>
        <v>1278.346472597995</v>
      </c>
      <c r="BN15" s="161">
        <f>IF(BN$1=1,Revenue!$P3*Revenue!$A$23,'Monthly CF'!BM15*((1+HLOOKUP('Monthly CF'!BM$2,Revenue!$S$8:$AC$10,3,0))^(1/12)))</f>
        <v>1281.4992198618945</v>
      </c>
      <c r="BO15" s="161">
        <f>IF(BO$1=1,Revenue!$P3*Revenue!$A$23,'Monthly CF'!BN15*((1+HLOOKUP('Monthly CF'!BN$2,Revenue!$S$8:$AC$10,3,0))^(1/12)))</f>
        <v>1284.6597426510707</v>
      </c>
      <c r="BP15" s="161">
        <f>IF(BP$1=1,Revenue!$P3*Revenue!$A$23,'Monthly CF'!BO15*((1+HLOOKUP('Monthly CF'!BO$2,Revenue!$S$8:$AC$10,3,0))^(1/12)))</f>
        <v>1287.8280601420665</v>
      </c>
      <c r="BQ15" s="161">
        <f>IF(BQ$1=1,Revenue!$P3*Revenue!$A$23,'Monthly CF'!BP15*((1+HLOOKUP('Monthly CF'!BP$2,Revenue!$S$8:$AC$10,3,0))^(1/12)))</f>
        <v>1291.0041915587194</v>
      </c>
      <c r="BR15" s="161">
        <f>IF(BR$1=1,Revenue!$P3*Revenue!$A$23,'Monthly CF'!BQ15*((1+HLOOKUP('Monthly CF'!BQ$2,Revenue!$S$8:$AC$10,3,0))^(1/12)))</f>
        <v>1294.188156172278</v>
      </c>
      <c r="BS15" s="161">
        <f>IF(BS$1=1,Revenue!$P3*Revenue!$A$23,'Monthly CF'!BR15*((1+HLOOKUP('Monthly CF'!BR$2,Revenue!$S$8:$AC$10,3,0))^(1/12)))</f>
        <v>1297.3799733015192</v>
      </c>
      <c r="BT15" s="161">
        <f>IF(BT$1=1,Revenue!$P3*Revenue!$A$23,'Monthly CF'!BS15*((1+HLOOKUP('Monthly CF'!BS$2,Revenue!$S$8:$AC$10,3,0))^(1/12)))</f>
        <v>1300.5796623128649</v>
      </c>
      <c r="BU15" s="161">
        <f>IF(BU$1=1,Revenue!$P3*Revenue!$A$23,'Monthly CF'!BT15*((1+HLOOKUP('Monthly CF'!BT$2,Revenue!$S$8:$AC$10,3,0))^(1/12)))</f>
        <v>1303.7872426205001</v>
      </c>
      <c r="BV15" s="161">
        <f>IF(BV$1=1,Revenue!$P3*Revenue!$A$23,'Monthly CF'!BU15*((1+HLOOKUP('Monthly CF'!BU$2,Revenue!$S$8:$AC$10,3,0))^(1/12)))</f>
        <v>1307.0027336864903</v>
      </c>
      <c r="BW15" s="161">
        <f>IF(BW$1=1,Revenue!$P3*Revenue!$A$23,'Monthly CF'!BV15*((1+HLOOKUP('Monthly CF'!BV$2,Revenue!$S$8:$AC$10,3,0))^(1/12)))</f>
        <v>1310.2261550208996</v>
      </c>
      <c r="BX15" s="161">
        <f>IF(BX$1=1,Revenue!$P3*Revenue!$A$23,'Monthly CF'!BW15*((1+HLOOKUP('Monthly CF'!BW$2,Revenue!$S$8:$AC$10,3,0))^(1/12)))</f>
        <v>1313.4575261819093</v>
      </c>
      <c r="BY15" s="161">
        <f>IF(BY$1=1,Revenue!$P3*Revenue!$A$23,'Monthly CF'!BX15*((1+HLOOKUP('Monthly CF'!BX$2,Revenue!$S$8:$AC$10,3,0))^(1/12)))</f>
        <v>1316.6968667759365</v>
      </c>
      <c r="BZ15" s="161">
        <f>IF(BZ$1=1,Revenue!$P3*Revenue!$A$23,'Monthly CF'!BY15*((1+HLOOKUP('Monthly CF'!BY$2,Revenue!$S$8:$AC$10,3,0))^(1/12)))</f>
        <v>1319.9441964577529</v>
      </c>
      <c r="CA15" s="161">
        <f>IF(CA$1=1,Revenue!$P3*Revenue!$A$23,'Monthly CF'!BZ15*((1+HLOOKUP('Monthly CF'!BZ$2,Revenue!$S$8:$AC$10,3,0))^(1/12)))</f>
        <v>1323.1995349306044</v>
      </c>
      <c r="CB15" s="161">
        <f>IF(CB$1=1,Revenue!$P3*Revenue!$A$23,'Monthly CF'!CA15*((1+HLOOKUP('Monthly CF'!CA$2,Revenue!$S$8:$AC$10,3,0))^(1/12)))</f>
        <v>1326.46290194633</v>
      </c>
      <c r="CC15" s="161">
        <f>IF(CC$1=1,Revenue!$P3*Revenue!$A$23,'Monthly CF'!CB15*((1+HLOOKUP('Monthly CF'!CB$2,Revenue!$S$8:$AC$10,3,0))^(1/12)))</f>
        <v>1329.7343173054826</v>
      </c>
      <c r="CD15" s="161">
        <f>IF(CD$1=1,Revenue!$P3*Revenue!$A$23,'Monthly CF'!CC15*((1+HLOOKUP('Monthly CF'!CC$2,Revenue!$S$8:$AC$10,3,0))^(1/12)))</f>
        <v>1333.0138008574479</v>
      </c>
      <c r="CE15" s="161">
        <f>IF(CE$1=1,Revenue!$P3*Revenue!$A$23,'Monthly CF'!CD15*((1+HLOOKUP('Monthly CF'!CD$2,Revenue!$S$8:$AC$10,3,0))^(1/12)))</f>
        <v>1336.3013725005662</v>
      </c>
      <c r="CF15" s="161">
        <f>IF(CF$1=1,Revenue!$P3*Revenue!$A$23,'Monthly CF'!CE15*((1+HLOOKUP('Monthly CF'!CE$2,Revenue!$S$8:$AC$10,3,0))^(1/12)))</f>
        <v>1339.5970521822524</v>
      </c>
      <c r="CG15" s="161">
        <f>IF(CG$1=1,Revenue!$P3*Revenue!$A$23,'Monthly CF'!CF15*((1+HLOOKUP('Monthly CF'!CF$2,Revenue!$S$8:$AC$10,3,0))^(1/12)))</f>
        <v>1342.9008598991165</v>
      </c>
      <c r="CH15" s="161">
        <f>IF(CH$1=1,Revenue!$P3*Revenue!$A$23,'Monthly CF'!CG15*((1+HLOOKUP('Monthly CF'!CG$2,Revenue!$S$8:$AC$10,3,0))^(1/12)))</f>
        <v>1346.2128156970864</v>
      </c>
      <c r="CI15" s="161">
        <f>IF(CI$1=1,Revenue!$P3*Revenue!$A$23,'Monthly CF'!CH15*((1+HLOOKUP('Monthly CF'!CH$2,Revenue!$S$8:$AC$10,3,0))^(1/12)))</f>
        <v>1349.5329396715279</v>
      </c>
      <c r="CJ15" s="161">
        <f>IF(CJ$1=1,Revenue!$P3*Revenue!$A$23,'Monthly CF'!CI15*((1+HLOOKUP('Monthly CF'!CI$2,Revenue!$S$8:$AC$10,3,0))^(1/12)))</f>
        <v>1352.8612519673679</v>
      </c>
      <c r="CK15" s="161">
        <f>IF(CK$1=1,Revenue!$P3*Revenue!$A$23,'Monthly CF'!CJ15*((1+HLOOKUP('Monthly CF'!CJ$2,Revenue!$S$8:$AC$10,3,0))^(1/12)))</f>
        <v>1356.1977727792159</v>
      </c>
      <c r="CL15" s="161">
        <f>IF(CL$1=1,Revenue!$P3*Revenue!$A$23,'Monthly CF'!CK15*((1+HLOOKUP('Monthly CF'!CK$2,Revenue!$S$8:$AC$10,3,0))^(1/12)))</f>
        <v>1359.5425223514869</v>
      </c>
      <c r="CM15" s="161">
        <f>IF(CM$1=1,Revenue!$P3*Revenue!$A$23,'Monthly CF'!CL15*((1+HLOOKUP('Monthly CF'!CL$2,Revenue!$S$8:$AC$10,3,0))^(1/12)))</f>
        <v>1362.8955209785238</v>
      </c>
      <c r="CN15" s="161">
        <f>IF(CN$1=1,Revenue!$P3*Revenue!$A$23,'Monthly CF'!CM15*((1+HLOOKUP('Monthly CF'!CM$2,Revenue!$S$8:$AC$10,3,0))^(1/12)))</f>
        <v>1366.2567890047212</v>
      </c>
      <c r="CO15" s="161">
        <f>IF(CO$1=1,Revenue!$P3*Revenue!$A$23,'Monthly CF'!CN15*((1+HLOOKUP('Monthly CF'!CN$2,Revenue!$S$8:$AC$10,3,0))^(1/12)))</f>
        <v>1369.6263468246482</v>
      </c>
      <c r="CP15" s="161">
        <f>IF(CP$1=1,Revenue!$P3*Revenue!$A$23,'Monthly CF'!CO15*((1+HLOOKUP('Monthly CF'!CO$2,Revenue!$S$8:$AC$10,3,0))^(1/12)))</f>
        <v>1373.0042148831726</v>
      </c>
      <c r="CQ15" s="161">
        <f>IF(CQ$1=1,Revenue!$P3*Revenue!$A$23,'Monthly CF'!CP15*((1+HLOOKUP('Monthly CF'!CP$2,Revenue!$S$8:$AC$10,3,0))^(1/12)))</f>
        <v>1376.3904136755846</v>
      </c>
      <c r="CR15" s="161">
        <f>IF(CR$1=1,Revenue!$P3*Revenue!$A$23,'Monthly CF'!CQ15*((1+HLOOKUP('Monthly CF'!CQ$2,Revenue!$S$8:$AC$10,3,0))^(1/12)))</f>
        <v>1379.7849637477211</v>
      </c>
      <c r="CS15" s="161">
        <f>IF(CS$1=1,Revenue!$P3*Revenue!$A$23,'Monthly CF'!CR15*((1+HLOOKUP('Monthly CF'!CR$2,Revenue!$S$8:$AC$10,3,0))^(1/12)))</f>
        <v>1383.1878856960914</v>
      </c>
      <c r="CT15" s="161">
        <f>IF(CT$1=1,Revenue!$P3*Revenue!$A$23,'Monthly CF'!CS15*((1+HLOOKUP('Monthly CF'!CS$2,Revenue!$S$8:$AC$10,3,0))^(1/12)))</f>
        <v>1386.5992001680004</v>
      </c>
      <c r="CU15" s="161">
        <f>IF(CU$1=1,Revenue!$P3*Revenue!$A$23,'Monthly CF'!CT15*((1+HLOOKUP('Monthly CF'!CT$2,Revenue!$S$8:$AC$10,3,0))^(1/12)))</f>
        <v>1390.0189278616751</v>
      </c>
      <c r="CV15" s="161">
        <f>IF(CV$1=1,Revenue!$P3*Revenue!$A$23,'Monthly CF'!CU15*((1+HLOOKUP('Monthly CF'!CU$2,Revenue!$S$8:$AC$10,3,0))^(1/12)))</f>
        <v>1393.4470895263903</v>
      </c>
      <c r="CW15" s="161">
        <f>IF(CW$1=1,Revenue!$P3*Revenue!$A$23,'Monthly CF'!CV15*((1+HLOOKUP('Monthly CF'!CV$2,Revenue!$S$8:$AC$10,3,0))^(1/12)))</f>
        <v>1396.8837059625937</v>
      </c>
      <c r="CX15" s="161">
        <f>IF(CX$1=1,Revenue!$P3*Revenue!$A$23,'Monthly CF'!CW15*((1+HLOOKUP('Monthly CF'!CW$2,Revenue!$S$8:$AC$10,3,0))^(1/12)))</f>
        <v>1400.3287980220327</v>
      </c>
      <c r="CY15" s="161">
        <f>IF(CY$1=1,Revenue!$P3*Revenue!$A$23,'Monthly CF'!CX15*((1+HLOOKUP('Monthly CF'!CX$2,Revenue!$S$8:$AC$10,3,0))^(1/12)))</f>
        <v>1403.7823866078809</v>
      </c>
      <c r="CZ15" s="161">
        <f>IF(CZ$1=1,Revenue!$P3*Revenue!$A$23,'Monthly CF'!CY15*((1+HLOOKUP('Monthly CF'!CY$2,Revenue!$S$8:$AC$10,3,0))^(1/12)))</f>
        <v>1407.2444926748642</v>
      </c>
      <c r="DA15" s="161">
        <f>IF(DA$1=1,Revenue!$P3*Revenue!$A$23,'Monthly CF'!CZ15*((1+HLOOKUP('Monthly CF'!CZ$2,Revenue!$S$8:$AC$10,3,0))^(1/12)))</f>
        <v>1410.715137229389</v>
      </c>
      <c r="DB15" s="161">
        <f>IF(DB$1=1,Revenue!$P3*Revenue!$A$23,'Monthly CF'!DA15*((1+HLOOKUP('Monthly CF'!DA$2,Revenue!$S$8:$AC$10,3,0))^(1/12)))</f>
        <v>1414.1943413296692</v>
      </c>
      <c r="DC15" s="161">
        <f>IF(DC$1=1,Revenue!$P3*Revenue!$A$23,'Monthly CF'!DB15*((1+HLOOKUP('Monthly CF'!DB$2,Revenue!$S$8:$AC$10,3,0))^(1/12)))</f>
        <v>1417.6821260858535</v>
      </c>
      <c r="DD15" s="161">
        <f>IF(DD$1=1,Revenue!$P3*Revenue!$A$23,'Monthly CF'!DC15*((1+HLOOKUP('Monthly CF'!DC$2,Revenue!$S$8:$AC$10,3,0))^(1/12)))</f>
        <v>1421.1785126601542</v>
      </c>
      <c r="DE15" s="161">
        <f>IF(DE$1=1,Revenue!$P3*Revenue!$A$23,'Monthly CF'!DD15*((1+HLOOKUP('Monthly CF'!DD$2,Revenue!$S$8:$AC$10,3,0))^(1/12)))</f>
        <v>1424.6835222669754</v>
      </c>
      <c r="DF15" s="161">
        <f>IF(DF$1=1,Revenue!$P3*Revenue!$A$23,'Monthly CF'!DE15*((1+HLOOKUP('Monthly CF'!DE$2,Revenue!$S$8:$AC$10,3,0))^(1/12)))</f>
        <v>1428.1971761730415</v>
      </c>
      <c r="DG15" s="161">
        <f>IF(DG$1=1,Revenue!$P3*Revenue!$A$23,'Monthly CF'!DF15*((1+HLOOKUP('Monthly CF'!DF$2,Revenue!$S$8:$AC$10,3,0))^(1/12)))</f>
        <v>1431.7194956975266</v>
      </c>
      <c r="DH15" s="161">
        <f>IF(DH$1=1,Revenue!$P3*Revenue!$A$23,'Monthly CF'!DG15*((1+HLOOKUP('Monthly CF'!DG$2,Revenue!$S$8:$AC$10,3,0))^(1/12)))</f>
        <v>1435.2505022121832</v>
      </c>
      <c r="DI15" s="161">
        <f>IF(DI$1=1,Revenue!$P3*Revenue!$A$23,'Monthly CF'!DH15*((1+HLOOKUP('Monthly CF'!DH$2,Revenue!$S$8:$AC$10,3,0))^(1/12)))</f>
        <v>1438.7902171414728</v>
      </c>
      <c r="DJ15" s="161">
        <f>IF(DJ$1=1,Revenue!$P3*Revenue!$A$23,'Monthly CF'!DI15*((1+HLOOKUP('Monthly CF'!DI$2,Revenue!$S$8:$AC$10,3,0))^(1/12)))</f>
        <v>1442.3386619626951</v>
      </c>
      <c r="DK15" s="161">
        <f>IF(DK$1=1,Revenue!$P3*Revenue!$A$23,'Monthly CF'!DJ15*((1+HLOOKUP('Monthly CF'!DJ$2,Revenue!$S$8:$AC$10,3,0))^(1/12)))</f>
        <v>1445.8958582061186</v>
      </c>
      <c r="DL15" s="161">
        <f>IF(DL$1=1,Revenue!$P3*Revenue!$A$23,'Monthly CF'!DK15*((1+HLOOKUP('Monthly CF'!DK$2,Revenue!$S$8:$AC$10,3,0))^(1/12)))</f>
        <v>1449.4618274551115</v>
      </c>
      <c r="DM15" s="161">
        <f>IF(DM$1=1,Revenue!$P3*Revenue!$A$23,'Monthly CF'!DL15*((1+HLOOKUP('Monthly CF'!DL$2,Revenue!$S$8:$AC$10,3,0))^(1/12)))</f>
        <v>1453.036591346272</v>
      </c>
      <c r="DN15" s="161">
        <f>IF(DN$1=1,Revenue!$P3*Revenue!$A$23,'Monthly CF'!DM15*((1+HLOOKUP('Monthly CF'!DM$2,Revenue!$S$8:$AC$10,3,0))^(1/12)))</f>
        <v>1456.6201715695604</v>
      </c>
      <c r="DO15" s="161">
        <f>IF(DO$1=1,Revenue!$P3*Revenue!$A$23,'Monthly CF'!DN15*((1+HLOOKUP('Monthly CF'!DN$2,Revenue!$S$8:$AC$10,3,0))^(1/12)))</f>
        <v>1460.2125898684303</v>
      </c>
      <c r="DP15" s="161">
        <f>IF(DP$1=1,Revenue!$P3*Revenue!$A$23,'Monthly CF'!DO15*((1+HLOOKUP('Monthly CF'!DO$2,Revenue!$S$8:$AC$10,3,0))^(1/12)))</f>
        <v>1463.8138680399602</v>
      </c>
      <c r="DQ15" s="161">
        <f>IF(DQ$1=1,Revenue!$P3*Revenue!$A$23,'Monthly CF'!DP15*((1+HLOOKUP('Monthly CF'!DP$2,Revenue!$S$8:$AC$10,3,0))^(1/12)))</f>
        <v>1467.424027934986</v>
      </c>
      <c r="DR15" s="161">
        <f>IF(DR$1=1,Revenue!$P3*Revenue!$A$23,'Monthly CF'!DQ15*((1+HLOOKUP('Monthly CF'!DQ$2,Revenue!$S$8:$AC$10,3,0))^(1/12)))</f>
        <v>1471.0430914582341</v>
      </c>
      <c r="DS15" s="161">
        <f>IF(DS$1=1,Revenue!$P3*Revenue!$A$23,'Monthly CF'!DR15*((1+HLOOKUP('Monthly CF'!DR$2,Revenue!$S$8:$AC$10,3,0))^(1/12)))</f>
        <v>1474.6710805684538</v>
      </c>
      <c r="DT15" s="161">
        <f>IF(DT$1=1,Revenue!$P3*Revenue!$A$23,'Monthly CF'!DS15*((1+HLOOKUP('Monthly CF'!DS$2,Revenue!$S$8:$AC$10,3,0))^(1/12)))</f>
        <v>1478.3080172785501</v>
      </c>
      <c r="DU15" s="161">
        <f>IF(DU$1=1,Revenue!$P3*Revenue!$A$23,'Monthly CF'!DT15*((1+HLOOKUP('Monthly CF'!DT$2,Revenue!$S$8:$AC$10,3,0))^(1/12)))</f>
        <v>1481.9539236557184</v>
      </c>
      <c r="DV15" s="161">
        <f>IF(DV$1=1,Revenue!$P3*Revenue!$A$23,'Monthly CF'!DU15*((1+HLOOKUP('Monthly CF'!DU$2,Revenue!$S$8:$AC$10,3,0))^(1/12)))</f>
        <v>1485.6088218215773</v>
      </c>
      <c r="DW15" s="161">
        <f>IF(DW$1=1,Revenue!$P3*Revenue!$A$23,'Monthly CF'!DV15*((1+HLOOKUP('Monthly CF'!DV$2,Revenue!$S$8:$AC$10,3,0))^(1/12)))</f>
        <v>1489.2727339523035</v>
      </c>
      <c r="DX15" s="161">
        <f>IF(DX$1=1,Revenue!$P3*Revenue!$A$23,'Monthly CF'!DW15*((1+HLOOKUP('Monthly CF'!DW$2,Revenue!$S$8:$AC$10,3,0))^(1/12)))</f>
        <v>1492.9456822787661</v>
      </c>
      <c r="DY15" s="161">
        <f>IF(DY$1=1,Revenue!$P3*Revenue!$A$23,'Monthly CF'!DX15*((1+HLOOKUP('Monthly CF'!DX$2,Revenue!$S$8:$AC$10,3,0))^(1/12)))</f>
        <v>1496.6276890866616</v>
      </c>
      <c r="DZ15" s="161">
        <f>IF(DZ$1=1,Revenue!$P3*Revenue!$A$23,'Monthly CF'!DY15*((1+HLOOKUP('Monthly CF'!DY$2,Revenue!$S$8:$AC$10,3,0))^(1/12)))</f>
        <v>1500.3187767166487</v>
      </c>
      <c r="EA15" s="161">
        <f>IF(EA$1=1,Revenue!$P3*Revenue!$A$23,'Monthly CF'!DZ15*((1+HLOOKUP('Monthly CF'!DZ$2,Revenue!$S$8:$AC$10,3,0))^(1/12)))</f>
        <v>1504.0189675644847</v>
      </c>
      <c r="EB15" s="161">
        <f>IF(EB$1=1,Revenue!$P3*Revenue!$A$23,'Monthly CF'!EA15*((1+HLOOKUP('Monthly CF'!EA$2,Revenue!$S$8:$AC$10,3,0))^(1/12)))</f>
        <v>1507.7282840811604</v>
      </c>
      <c r="EC15" s="161">
        <f>IF(EC$1=1,Revenue!$P3*Revenue!$A$23,'Monthly CF'!EB15*((1+HLOOKUP('Monthly CF'!EB$2,Revenue!$S$8:$AC$10,3,0))^(1/12)))</f>
        <v>1511.4467487730371</v>
      </c>
      <c r="ED15" s="161">
        <f>IF(ED$1=1,Revenue!$P3*Revenue!$A$23,'Monthly CF'!EC15*((1+HLOOKUP('Monthly CF'!EC$2,Revenue!$S$8:$AC$10,3,0))^(1/12)))</f>
        <v>1515.1743842019828</v>
      </c>
      <c r="EE15" s="162">
        <f>IF(EE$1=1,Revenue!$P3*Revenue!$A$23,'Monthly CF'!ED15*((1+HLOOKUP('Monthly CF'!ED$2,Revenue!$S$8:$AC$10,3,0))^(1/12)))</f>
        <v>1518.9112129855089</v>
      </c>
    </row>
    <row r="16" spans="1:135" x14ac:dyDescent="0.35">
      <c r="A16" s="168">
        <f>SUMIF($C$1:$EE$1,"&lt;="&amp;Summary!$K$19,'Monthly CF'!C16:EE16)</f>
        <v>383481.99123121524</v>
      </c>
      <c r="B16" s="5" t="str">
        <f>Revenue!O4</f>
        <v>Pet Rent</v>
      </c>
      <c r="C16" s="160"/>
      <c r="D16" s="161">
        <f>IF(D$1=1,Revenue!$P4*Revenue!$A$23,'Monthly CF'!C16*((1+HLOOKUP('Monthly CF'!C$2,Revenue!$S$8:$AC$10,3,0))^(1/12)))</f>
        <v>2750</v>
      </c>
      <c r="E16" s="161">
        <f>IF(E$1=1,Revenue!$P4*Revenue!$A$23,'Monthly CF'!D16*((1+HLOOKUP('Monthly CF'!D$2,Revenue!$S$8:$AC$10,3,0))^(1/12)))</f>
        <v>2756.7822418738351</v>
      </c>
      <c r="F16" s="161">
        <f>IF(F$1=1,Revenue!$P4*Revenue!$A$23,'Monthly CF'!E16*((1+HLOOKUP('Monthly CF'!E$2,Revenue!$S$8:$AC$10,3,0))^(1/12)))</f>
        <v>2763.5812105857922</v>
      </c>
      <c r="G16" s="161">
        <f>IF(G$1=1,Revenue!$P4*Revenue!$A$23,'Monthly CF'!F16*((1+HLOOKUP('Monthly CF'!F$2,Revenue!$S$8:$AC$10,3,0))^(1/12)))</f>
        <v>2770.3969473887664</v>
      </c>
      <c r="H16" s="161">
        <f>IF(H$1=1,Revenue!$P4*Revenue!$A$23,'Monthly CF'!G16*((1+HLOOKUP('Monthly CF'!G$2,Revenue!$S$8:$AC$10,3,0))^(1/12)))</f>
        <v>2777.2294936373937</v>
      </c>
      <c r="I16" s="161">
        <f>IF(I$1=1,Revenue!$P4*Revenue!$A$23,'Monthly CF'!H16*((1+HLOOKUP('Monthly CF'!H$2,Revenue!$S$8:$AC$10,3,0))^(1/12)))</f>
        <v>2784.078890788302</v>
      </c>
      <c r="J16" s="161">
        <f>IF(J$1=1,Revenue!$P4*Revenue!$A$23,'Monthly CF'!I16*((1+HLOOKUP('Monthly CF'!I$2,Revenue!$S$8:$AC$10,3,0))^(1/12)))</f>
        <v>2790.945180400362</v>
      </c>
      <c r="K16" s="161">
        <f>IF(K$1=1,Revenue!$P4*Revenue!$A$23,'Monthly CF'!J16*((1+HLOOKUP('Monthly CF'!J$2,Revenue!$S$8:$AC$10,3,0))^(1/12)))</f>
        <v>2797.8284041349402</v>
      </c>
      <c r="L16" s="161">
        <f>IF(L$1=1,Revenue!$P4*Revenue!$A$23,'Monthly CF'!K16*((1+HLOOKUP('Monthly CF'!K$2,Revenue!$S$8:$AC$10,3,0))^(1/12)))</f>
        <v>2804.7286037561507</v>
      </c>
      <c r="M16" s="161">
        <f>IF(M$1=1,Revenue!$P4*Revenue!$A$23,'Monthly CF'!L16*((1+HLOOKUP('Monthly CF'!L$2,Revenue!$S$8:$AC$10,3,0))^(1/12)))</f>
        <v>2811.6458211311101</v>
      </c>
      <c r="N16" s="161">
        <f>IF(N$1=1,Revenue!$P4*Revenue!$A$23,'Monthly CF'!M16*((1+HLOOKUP('Monthly CF'!M$2,Revenue!$S$8:$AC$10,3,0))^(1/12)))</f>
        <v>2818.5800982301898</v>
      </c>
      <c r="O16" s="161">
        <f>IF(O$1=1,Revenue!$P4*Revenue!$A$23,'Monthly CF'!N16*((1+HLOOKUP('Monthly CF'!N$2,Revenue!$S$8:$AC$10,3,0))^(1/12)))</f>
        <v>2825.5314771272715</v>
      </c>
      <c r="P16" s="161">
        <f>IF(P$1=1,Revenue!$P4*Revenue!$A$23,'Monthly CF'!O16*((1+HLOOKUP('Monthly CF'!O$2,Revenue!$S$8:$AC$10,3,0))^(1/12)))</f>
        <v>2832.5000000000032</v>
      </c>
      <c r="Q16" s="161">
        <f>IF(Q$1=1,Revenue!$P4*Revenue!$A$23,'Monthly CF'!P16*((1+HLOOKUP('Monthly CF'!P$2,Revenue!$S$8:$AC$10,3,0))^(1/12)))</f>
        <v>2839.4857091300532</v>
      </c>
      <c r="R16" s="161">
        <f>IF(R$1=1,Revenue!$P4*Revenue!$A$23,'Monthly CF'!Q16*((1+HLOOKUP('Monthly CF'!Q$2,Revenue!$S$8:$AC$10,3,0))^(1/12)))</f>
        <v>2846.488646903369</v>
      </c>
      <c r="S16" s="161">
        <f>IF(S$1=1,Revenue!$P4*Revenue!$A$23,'Monthly CF'!R16*((1+HLOOKUP('Monthly CF'!R$2,Revenue!$S$8:$AC$10,3,0))^(1/12)))</f>
        <v>2853.5088558104326</v>
      </c>
      <c r="T16" s="161">
        <f>IF(T$1=1,Revenue!$P4*Revenue!$A$23,'Monthly CF'!S16*((1+HLOOKUP('Monthly CF'!S$2,Revenue!$S$8:$AC$10,3,0))^(1/12)))</f>
        <v>2860.5463784465187</v>
      </c>
      <c r="U16" s="161">
        <f>IF(U$1=1,Revenue!$P4*Revenue!$A$23,'Monthly CF'!T16*((1+HLOOKUP('Monthly CF'!T$2,Revenue!$S$8:$AC$10,3,0))^(1/12)))</f>
        <v>2867.6012575119539</v>
      </c>
      <c r="V16" s="161">
        <f>IF(V$1=1,Revenue!$P4*Revenue!$A$23,'Monthly CF'!U16*((1+HLOOKUP('Monthly CF'!U$2,Revenue!$S$8:$AC$10,3,0))^(1/12)))</f>
        <v>2874.6735358123756</v>
      </c>
      <c r="W16" s="161">
        <f>IF(W$1=1,Revenue!$P4*Revenue!$A$23,'Monthly CF'!V16*((1+HLOOKUP('Monthly CF'!V$2,Revenue!$S$8:$AC$10,3,0))^(1/12)))</f>
        <v>2881.7632562589911</v>
      </c>
      <c r="X16" s="161">
        <f>IF(X$1=1,Revenue!$P4*Revenue!$A$23,'Monthly CF'!W16*((1+HLOOKUP('Monthly CF'!W$2,Revenue!$S$8:$AC$10,3,0))^(1/12)))</f>
        <v>2888.870461868838</v>
      </c>
      <c r="Y16" s="161">
        <f>IF(Y$1=1,Revenue!$P4*Revenue!$A$23,'Monthly CF'!X16*((1+HLOOKUP('Monthly CF'!X$2,Revenue!$S$8:$AC$10,3,0))^(1/12)))</f>
        <v>2895.995195765046</v>
      </c>
      <c r="Z16" s="161">
        <f>IF(Z$1=1,Revenue!$P4*Revenue!$A$23,'Monthly CF'!Y16*((1+HLOOKUP('Monthly CF'!Y$2,Revenue!$S$8:$AC$10,3,0))^(1/12)))</f>
        <v>2903.1375011770979</v>
      </c>
      <c r="AA16" s="161">
        <f>IF(AA$1=1,Revenue!$P4*Revenue!$A$23,'Monthly CF'!Z16*((1+HLOOKUP('Monthly CF'!Z$2,Revenue!$S$8:$AC$10,3,0))^(1/12)))</f>
        <v>2910.2974214410924</v>
      </c>
      <c r="AB16" s="161">
        <f>IF(AB$1=1,Revenue!$P4*Revenue!$A$23,'Monthly CF'!AA16*((1+HLOOKUP('Monthly CF'!AA$2,Revenue!$S$8:$AC$10,3,0))^(1/12)))</f>
        <v>2917.4750000000058</v>
      </c>
      <c r="AC16" s="161">
        <f>IF(AC$1=1,Revenue!$P4*Revenue!$A$23,'Monthly CF'!AB16*((1+HLOOKUP('Monthly CF'!AB$2,Revenue!$S$8:$AC$10,3,0))^(1/12)))</f>
        <v>2924.6702804039573</v>
      </c>
      <c r="AD16" s="161">
        <f>IF(AD$1=1,Revenue!$P4*Revenue!$A$23,'Monthly CF'!AC16*((1+HLOOKUP('Monthly CF'!AC$2,Revenue!$S$8:$AC$10,3,0))^(1/12)))</f>
        <v>2931.8833063104726</v>
      </c>
      <c r="AE16" s="161">
        <f>IF(AE$1=1,Revenue!$P4*Revenue!$A$23,'Monthly CF'!AD16*((1+HLOOKUP('Monthly CF'!AD$2,Revenue!$S$8:$AC$10,3,0))^(1/12)))</f>
        <v>2939.114121484748</v>
      </c>
      <c r="AF16" s="161">
        <f>IF(AF$1=1,Revenue!$P4*Revenue!$A$23,'Monthly CF'!AE16*((1+HLOOKUP('Monthly CF'!AE$2,Revenue!$S$8:$AC$10,3,0))^(1/12)))</f>
        <v>2946.3627697999168</v>
      </c>
      <c r="AG16" s="161">
        <f>IF(AG$1=1,Revenue!$P4*Revenue!$A$23,'Monthly CF'!AF16*((1+HLOOKUP('Monthly CF'!AF$2,Revenue!$S$8:$AC$10,3,0))^(1/12)))</f>
        <v>2953.6292952373151</v>
      </c>
      <c r="AH16" s="161">
        <f>IF(AH$1=1,Revenue!$P4*Revenue!$A$23,'Monthly CF'!AG16*((1+HLOOKUP('Monthly CF'!AG$2,Revenue!$S$8:$AC$10,3,0))^(1/12)))</f>
        <v>2960.9137418867494</v>
      </c>
      <c r="AI16" s="161">
        <f>IF(AI$1=1,Revenue!$P4*Revenue!$A$23,'Monthly CF'!AH16*((1+HLOOKUP('Monthly CF'!AH$2,Revenue!$S$8:$AC$10,3,0))^(1/12)))</f>
        <v>2968.2161539467634</v>
      </c>
      <c r="AJ16" s="161">
        <f>IF(AJ$1=1,Revenue!$P4*Revenue!$A$23,'Monthly CF'!AI16*((1+HLOOKUP('Monthly CF'!AI$2,Revenue!$S$8:$AC$10,3,0))^(1/12)))</f>
        <v>2975.5365757249056</v>
      </c>
      <c r="AK16" s="161">
        <f>IF(AK$1=1,Revenue!$P4*Revenue!$A$23,'Monthly CF'!AJ16*((1+HLOOKUP('Monthly CF'!AJ$2,Revenue!$S$8:$AC$10,3,0))^(1/12)))</f>
        <v>2982.8750516380001</v>
      </c>
      <c r="AL16" s="161">
        <f>IF(AL$1=1,Revenue!$P4*Revenue!$A$23,'Monthly CF'!AK16*((1+HLOOKUP('Monthly CF'!AK$2,Revenue!$S$8:$AC$10,3,0))^(1/12)))</f>
        <v>2990.2316262124136</v>
      </c>
      <c r="AM16" s="161">
        <f>IF(AM$1=1,Revenue!$P4*Revenue!$A$23,'Monthly CF'!AL16*((1+HLOOKUP('Monthly CF'!AL$2,Revenue!$S$8:$AC$10,3,0))^(1/12)))</f>
        <v>2997.6063440843277</v>
      </c>
      <c r="AN16" s="161">
        <f>IF(AN$1=1,Revenue!$P4*Revenue!$A$23,'Monthly CF'!AM16*((1+HLOOKUP('Monthly CF'!AM$2,Revenue!$S$8:$AC$10,3,0))^(1/12)))</f>
        <v>3004.9992500000085</v>
      </c>
      <c r="AO16" s="161">
        <f>IF(AO$1=1,Revenue!$P4*Revenue!$A$23,'Monthly CF'!AN16*((1+HLOOKUP('Monthly CF'!AN$2,Revenue!$S$8:$AC$10,3,0))^(1/12)))</f>
        <v>3012.4103888160789</v>
      </c>
      <c r="AP16" s="161">
        <f>IF(AP$1=1,Revenue!$P4*Revenue!$A$23,'Monthly CF'!AO16*((1+HLOOKUP('Monthly CF'!AO$2,Revenue!$S$8:$AC$10,3,0))^(1/12)))</f>
        <v>3019.8398054997897</v>
      </c>
      <c r="AQ16" s="161">
        <f>IF(AQ$1=1,Revenue!$P4*Revenue!$A$23,'Monthly CF'!AP16*((1+HLOOKUP('Monthly CF'!AP$2,Revenue!$S$8:$AC$10,3,0))^(1/12)))</f>
        <v>3027.2875451292934</v>
      </c>
      <c r="AR16" s="161">
        <f>IF(AR$1=1,Revenue!$P4*Revenue!$A$23,'Monthly CF'!AQ16*((1+HLOOKUP('Monthly CF'!AQ$2,Revenue!$S$8:$AC$10,3,0))^(1/12)))</f>
        <v>3034.7536528939172</v>
      </c>
      <c r="AS16" s="161">
        <f>IF(AS$1=1,Revenue!$P4*Revenue!$A$23,'Monthly CF'!AR16*((1+HLOOKUP('Monthly CF'!AR$2,Revenue!$S$8:$AC$10,3,0))^(1/12)))</f>
        <v>3042.2381740944375</v>
      </c>
      <c r="AT16" s="161">
        <f>IF(AT$1=1,Revenue!$P4*Revenue!$A$23,'Monthly CF'!AS16*((1+HLOOKUP('Monthly CF'!AS$2,Revenue!$S$8:$AC$10,3,0))^(1/12)))</f>
        <v>3049.7411541433548</v>
      </c>
      <c r="AU16" s="161">
        <f>IF(AU$1=1,Revenue!$P4*Revenue!$A$23,'Monthly CF'!AT16*((1+HLOOKUP('Monthly CF'!AT$2,Revenue!$S$8:$AC$10,3,0))^(1/12)))</f>
        <v>3057.2626385651693</v>
      </c>
      <c r="AV16" s="161">
        <f>IF(AV$1=1,Revenue!$P4*Revenue!$A$23,'Monthly CF'!AU16*((1+HLOOKUP('Monthly CF'!AU$2,Revenue!$S$8:$AC$10,3,0))^(1/12)))</f>
        <v>3064.8026729966559</v>
      </c>
      <c r="AW16" s="161">
        <f>IF(AW$1=1,Revenue!$P4*Revenue!$A$23,'Monthly CF'!AV16*((1+HLOOKUP('Monthly CF'!AV$2,Revenue!$S$8:$AC$10,3,0))^(1/12)))</f>
        <v>3072.3613031871432</v>
      </c>
      <c r="AX16" s="161">
        <f>IF(AX$1=1,Revenue!$P4*Revenue!$A$23,'Monthly CF'!AW16*((1+HLOOKUP('Monthly CF'!AW$2,Revenue!$S$8:$AC$10,3,0))^(1/12)))</f>
        <v>3079.9385749987891</v>
      </c>
      <c r="AY16" s="161">
        <f>IF(AY$1=1,Revenue!$P4*Revenue!$A$23,'Monthly CF'!AX16*((1+HLOOKUP('Monthly CF'!AX$2,Revenue!$S$8:$AC$10,3,0))^(1/12)))</f>
        <v>3087.5345344068605</v>
      </c>
      <c r="AZ16" s="161">
        <f>IF(AZ$1=1,Revenue!$P4*Revenue!$A$23,'Monthly CF'!AY16*((1+HLOOKUP('Monthly CF'!AY$2,Revenue!$S$8:$AC$10,3,0))^(1/12)))</f>
        <v>3095.1492275000119</v>
      </c>
      <c r="BA16" s="161">
        <f>IF(BA$1=1,Revenue!$P4*Revenue!$A$23,'Monthly CF'!AZ16*((1+HLOOKUP('Monthly CF'!AZ$2,Revenue!$S$8:$AC$10,3,0))^(1/12)))</f>
        <v>3102.7827004805645</v>
      </c>
      <c r="BB16" s="161">
        <f>IF(BB$1=1,Revenue!$P4*Revenue!$A$23,'Monthly CF'!BA16*((1+HLOOKUP('Monthly CF'!BA$2,Revenue!$S$8:$AC$10,3,0))^(1/12)))</f>
        <v>3110.4349996647866</v>
      </c>
      <c r="BC16" s="161">
        <f>IF(BC$1=1,Revenue!$P4*Revenue!$A$23,'Monthly CF'!BB16*((1+HLOOKUP('Monthly CF'!BB$2,Revenue!$S$8:$AC$10,3,0))^(1/12)))</f>
        <v>3118.1061714831753</v>
      </c>
      <c r="BD16" s="161">
        <f>IF(BD$1=1,Revenue!$P4*Revenue!$A$23,'Monthly CF'!BC16*((1+HLOOKUP('Monthly CF'!BC$2,Revenue!$S$8:$AC$10,3,0))^(1/12)))</f>
        <v>3125.7962624807378</v>
      </c>
      <c r="BE16" s="161">
        <f>IF(BE$1=1,Revenue!$P4*Revenue!$A$23,'Monthly CF'!BD16*((1+HLOOKUP('Monthly CF'!BD$2,Revenue!$S$8:$AC$10,3,0))^(1/12)))</f>
        <v>3133.5053193172739</v>
      </c>
      <c r="BF16" s="161">
        <f>IF(BF$1=1,Revenue!$P4*Revenue!$A$23,'Monthly CF'!BE16*((1+HLOOKUP('Monthly CF'!BE$2,Revenue!$S$8:$AC$10,3,0))^(1/12)))</f>
        <v>3141.2333887676591</v>
      </c>
      <c r="BG16" s="161">
        <f>IF(BG$1=1,Revenue!$P4*Revenue!$A$23,'Monthly CF'!BF16*((1+HLOOKUP('Monthly CF'!BF$2,Revenue!$S$8:$AC$10,3,0))^(1/12)))</f>
        <v>3148.9805177221278</v>
      </c>
      <c r="BH16" s="161">
        <f>IF(BH$1=1,Revenue!$P4*Revenue!$A$23,'Monthly CF'!BG16*((1+HLOOKUP('Monthly CF'!BG$2,Revenue!$S$8:$AC$10,3,0))^(1/12)))</f>
        <v>3156.7467531865591</v>
      </c>
      <c r="BI16" s="161">
        <f>IF(BI$1=1,Revenue!$P4*Revenue!$A$23,'Monthly CF'!BH16*((1+HLOOKUP('Monthly CF'!BH$2,Revenue!$S$8:$AC$10,3,0))^(1/12)))</f>
        <v>3164.532142282761</v>
      </c>
      <c r="BJ16" s="161">
        <f>IF(BJ$1=1,Revenue!$P4*Revenue!$A$23,'Monthly CF'!BI16*((1+HLOOKUP('Monthly CF'!BI$2,Revenue!$S$8:$AC$10,3,0))^(1/12)))</f>
        <v>3172.3367322487566</v>
      </c>
      <c r="BK16" s="161">
        <f>IF(BK$1=1,Revenue!$P4*Revenue!$A$23,'Monthly CF'!BJ16*((1+HLOOKUP('Monthly CF'!BJ$2,Revenue!$S$8:$AC$10,3,0))^(1/12)))</f>
        <v>3180.1605704390704</v>
      </c>
      <c r="BL16" s="161">
        <f>IF(BL$1=1,Revenue!$P4*Revenue!$A$23,'Monthly CF'!BK16*((1+HLOOKUP('Monthly CF'!BK$2,Revenue!$S$8:$AC$10,3,0))^(1/12)))</f>
        <v>3188.0037043250163</v>
      </c>
      <c r="BM16" s="161">
        <f>IF(BM$1=1,Revenue!$P4*Revenue!$A$23,'Monthly CF'!BL16*((1+HLOOKUP('Monthly CF'!BL$2,Revenue!$S$8:$AC$10,3,0))^(1/12)))</f>
        <v>3195.8661814949851</v>
      </c>
      <c r="BN16" s="161">
        <f>IF(BN$1=1,Revenue!$P4*Revenue!$A$23,'Monthly CF'!BM16*((1+HLOOKUP('Monthly CF'!BM$2,Revenue!$S$8:$AC$10,3,0))^(1/12)))</f>
        <v>3203.7480496547337</v>
      </c>
      <c r="BO16" s="161">
        <f>IF(BO$1=1,Revenue!$P4*Revenue!$A$23,'Monthly CF'!BN16*((1+HLOOKUP('Monthly CF'!BN$2,Revenue!$S$8:$AC$10,3,0))^(1/12)))</f>
        <v>3211.649356627674</v>
      </c>
      <c r="BP16" s="161">
        <f>IF(BP$1=1,Revenue!$P4*Revenue!$A$23,'Monthly CF'!BO16*((1+HLOOKUP('Monthly CF'!BO$2,Revenue!$S$8:$AC$10,3,0))^(1/12)))</f>
        <v>3219.5701503551636</v>
      </c>
      <c r="BQ16" s="161">
        <f>IF(BQ$1=1,Revenue!$P4*Revenue!$A$23,'Monthly CF'!BP16*((1+HLOOKUP('Monthly CF'!BP$2,Revenue!$S$8:$AC$10,3,0))^(1/12)))</f>
        <v>3227.5104788967956</v>
      </c>
      <c r="BR16" s="161">
        <f>IF(BR$1=1,Revenue!$P4*Revenue!$A$23,'Monthly CF'!BQ16*((1+HLOOKUP('Monthly CF'!BQ$2,Revenue!$S$8:$AC$10,3,0))^(1/12)))</f>
        <v>3235.4703904306921</v>
      </c>
      <c r="BS16" s="161">
        <f>IF(BS$1=1,Revenue!$P4*Revenue!$A$23,'Monthly CF'!BR16*((1+HLOOKUP('Monthly CF'!BR$2,Revenue!$S$8:$AC$10,3,0))^(1/12)))</f>
        <v>3243.4499332537948</v>
      </c>
      <c r="BT16" s="161">
        <f>IF(BT$1=1,Revenue!$P4*Revenue!$A$23,'Monthly CF'!BS16*((1+HLOOKUP('Monthly CF'!BS$2,Revenue!$S$8:$AC$10,3,0))^(1/12)))</f>
        <v>3251.4491557821589</v>
      </c>
      <c r="BU16" s="161">
        <f>IF(BU$1=1,Revenue!$P4*Revenue!$A$23,'Monthly CF'!BT16*((1+HLOOKUP('Monthly CF'!BT$2,Revenue!$S$8:$AC$10,3,0))^(1/12)))</f>
        <v>3259.4681065512468</v>
      </c>
      <c r="BV16" s="161">
        <f>IF(BV$1=1,Revenue!$P4*Revenue!$A$23,'Monthly CF'!BU16*((1+HLOOKUP('Monthly CF'!BU$2,Revenue!$S$8:$AC$10,3,0))^(1/12)))</f>
        <v>3267.5068342162222</v>
      </c>
      <c r="BW16" s="161">
        <f>IF(BW$1=1,Revenue!$P4*Revenue!$A$23,'Monthly CF'!BV16*((1+HLOOKUP('Monthly CF'!BV$2,Revenue!$S$8:$AC$10,3,0))^(1/12)))</f>
        <v>3275.5653875522453</v>
      </c>
      <c r="BX16" s="161">
        <f>IF(BX$1=1,Revenue!$P4*Revenue!$A$23,'Monthly CF'!BW16*((1+HLOOKUP('Monthly CF'!BW$2,Revenue!$S$8:$AC$10,3,0))^(1/12)))</f>
        <v>3283.6438154547695</v>
      </c>
      <c r="BY16" s="161">
        <f>IF(BY$1=1,Revenue!$P4*Revenue!$A$23,'Monthly CF'!BX16*((1+HLOOKUP('Monthly CF'!BX$2,Revenue!$S$8:$AC$10,3,0))^(1/12)))</f>
        <v>3291.7421669398377</v>
      </c>
      <c r="BZ16" s="161">
        <f>IF(BZ$1=1,Revenue!$P4*Revenue!$A$23,'Monthly CF'!BY16*((1+HLOOKUP('Monthly CF'!BY$2,Revenue!$S$8:$AC$10,3,0))^(1/12)))</f>
        <v>3299.860491144379</v>
      </c>
      <c r="CA16" s="161">
        <f>IF(CA$1=1,Revenue!$P4*Revenue!$A$23,'Monthly CF'!BZ16*((1+HLOOKUP('Monthly CF'!BZ$2,Revenue!$S$8:$AC$10,3,0))^(1/12)))</f>
        <v>3307.9988373265078</v>
      </c>
      <c r="CB16" s="161">
        <f>IF(CB$1=1,Revenue!$P4*Revenue!$A$23,'Monthly CF'!CA16*((1+HLOOKUP('Monthly CF'!CA$2,Revenue!$S$8:$AC$10,3,0))^(1/12)))</f>
        <v>3316.1572548658219</v>
      </c>
      <c r="CC16" s="161">
        <f>IF(CC$1=1,Revenue!$P4*Revenue!$A$23,'Monthly CF'!CB16*((1+HLOOKUP('Monthly CF'!CB$2,Revenue!$S$8:$AC$10,3,0))^(1/12)))</f>
        <v>3324.3357932637032</v>
      </c>
      <c r="CD16" s="161">
        <f>IF(CD$1=1,Revenue!$P4*Revenue!$A$23,'Monthly CF'!CC16*((1+HLOOKUP('Monthly CF'!CC$2,Revenue!$S$8:$AC$10,3,0))^(1/12)))</f>
        <v>3332.5345021436165</v>
      </c>
      <c r="CE16" s="161">
        <f>IF(CE$1=1,Revenue!$P4*Revenue!$A$23,'Monthly CF'!CD16*((1+HLOOKUP('Monthly CF'!CD$2,Revenue!$S$8:$AC$10,3,0))^(1/12)))</f>
        <v>3340.7534312514122</v>
      </c>
      <c r="CF16" s="161">
        <f>IF(CF$1=1,Revenue!$P4*Revenue!$A$23,'Monthly CF'!CE16*((1+HLOOKUP('Monthly CF'!CE$2,Revenue!$S$8:$AC$10,3,0))^(1/12)))</f>
        <v>3348.9926304556275</v>
      </c>
      <c r="CG16" s="161">
        <f>IF(CG$1=1,Revenue!$P4*Revenue!$A$23,'Monthly CF'!CF16*((1+HLOOKUP('Monthly CF'!CF$2,Revenue!$S$8:$AC$10,3,0))^(1/12)))</f>
        <v>3357.2521497477878</v>
      </c>
      <c r="CH16" s="161">
        <f>IF(CH$1=1,Revenue!$P4*Revenue!$A$23,'Monthly CF'!CG16*((1+HLOOKUP('Monthly CF'!CG$2,Revenue!$S$8:$AC$10,3,0))^(1/12)))</f>
        <v>3365.5320392427125</v>
      </c>
      <c r="CI16" s="161">
        <f>IF(CI$1=1,Revenue!$P4*Revenue!$A$23,'Monthly CF'!CH16*((1+HLOOKUP('Monthly CF'!CH$2,Revenue!$S$8:$AC$10,3,0))^(1/12)))</f>
        <v>3373.8323491788165</v>
      </c>
      <c r="CJ16" s="161">
        <f>IF(CJ$1=1,Revenue!$P4*Revenue!$A$23,'Monthly CF'!CI16*((1+HLOOKUP('Monthly CF'!CI$2,Revenue!$S$8:$AC$10,3,0))^(1/12)))</f>
        <v>3382.1531299184167</v>
      </c>
      <c r="CK16" s="161">
        <f>IF(CK$1=1,Revenue!$P4*Revenue!$A$23,'Monthly CF'!CJ16*((1+HLOOKUP('Monthly CF'!CJ$2,Revenue!$S$8:$AC$10,3,0))^(1/12)))</f>
        <v>3390.4944319480369</v>
      </c>
      <c r="CL16" s="161">
        <f>IF(CL$1=1,Revenue!$P4*Revenue!$A$23,'Monthly CF'!CK16*((1+HLOOKUP('Monthly CF'!CK$2,Revenue!$S$8:$AC$10,3,0))^(1/12)))</f>
        <v>3398.8563058787145</v>
      </c>
      <c r="CM16" s="161">
        <f>IF(CM$1=1,Revenue!$P4*Revenue!$A$23,'Monthly CF'!CL16*((1+HLOOKUP('Monthly CF'!CL$2,Revenue!$S$8:$AC$10,3,0))^(1/12)))</f>
        <v>3407.2388024463071</v>
      </c>
      <c r="CN16" s="161">
        <f>IF(CN$1=1,Revenue!$P4*Revenue!$A$23,'Monthly CF'!CM16*((1+HLOOKUP('Monthly CF'!CM$2,Revenue!$S$8:$AC$10,3,0))^(1/12)))</f>
        <v>3415.6419725118008</v>
      </c>
      <c r="CO16" s="161">
        <f>IF(CO$1=1,Revenue!$P4*Revenue!$A$23,'Monthly CF'!CN16*((1+HLOOKUP('Monthly CF'!CN$2,Revenue!$S$8:$AC$10,3,0))^(1/12)))</f>
        <v>3424.0658670616185</v>
      </c>
      <c r="CP16" s="161">
        <f>IF(CP$1=1,Revenue!$P4*Revenue!$A$23,'Monthly CF'!CO16*((1+HLOOKUP('Monthly CF'!CO$2,Revenue!$S$8:$AC$10,3,0))^(1/12)))</f>
        <v>3432.5105372079292</v>
      </c>
      <c r="CQ16" s="161">
        <f>IF(CQ$1=1,Revenue!$P4*Revenue!$A$23,'Monthly CF'!CP16*((1+HLOOKUP('Monthly CF'!CP$2,Revenue!$S$8:$AC$10,3,0))^(1/12)))</f>
        <v>3440.9760341889591</v>
      </c>
      <c r="CR16" s="161">
        <f>IF(CR$1=1,Revenue!$P4*Revenue!$A$23,'Monthly CF'!CQ16*((1+HLOOKUP('Monthly CF'!CQ$2,Revenue!$S$8:$AC$10,3,0))^(1/12)))</f>
        <v>3449.462409369301</v>
      </c>
      <c r="CS16" s="161">
        <f>IF(CS$1=1,Revenue!$P4*Revenue!$A$23,'Monthly CF'!CR16*((1+HLOOKUP('Monthly CF'!CR$2,Revenue!$S$8:$AC$10,3,0))^(1/12)))</f>
        <v>3457.9697142402265</v>
      </c>
      <c r="CT16" s="161">
        <f>IF(CT$1=1,Revenue!$P4*Revenue!$A$23,'Monthly CF'!CS16*((1+HLOOKUP('Monthly CF'!CS$2,Revenue!$S$8:$AC$10,3,0))^(1/12)))</f>
        <v>3466.4980004199988</v>
      </c>
      <c r="CU16" s="161">
        <f>IF(CU$1=1,Revenue!$P4*Revenue!$A$23,'Monthly CF'!CT16*((1+HLOOKUP('Monthly CF'!CT$2,Revenue!$S$8:$AC$10,3,0))^(1/12)))</f>
        <v>3475.0473196541857</v>
      </c>
      <c r="CV16" s="161">
        <f>IF(CV$1=1,Revenue!$P4*Revenue!$A$23,'Monthly CF'!CU16*((1+HLOOKUP('Monthly CF'!CU$2,Revenue!$S$8:$AC$10,3,0))^(1/12)))</f>
        <v>3483.6177238159739</v>
      </c>
      <c r="CW16" s="161">
        <f>IF(CW$1=1,Revenue!$P4*Revenue!$A$23,'Monthly CF'!CV16*((1+HLOOKUP('Monthly CF'!CV$2,Revenue!$S$8:$AC$10,3,0))^(1/12)))</f>
        <v>3492.2092649064825</v>
      </c>
      <c r="CX16" s="161">
        <f>IF(CX$1=1,Revenue!$P4*Revenue!$A$23,'Monthly CF'!CW16*((1+HLOOKUP('Monthly CF'!CW$2,Revenue!$S$8:$AC$10,3,0))^(1/12)))</f>
        <v>3500.8219950550802</v>
      </c>
      <c r="CY16" s="161">
        <f>IF(CY$1=1,Revenue!$P4*Revenue!$A$23,'Monthly CF'!CX16*((1+HLOOKUP('Monthly CF'!CX$2,Revenue!$S$8:$AC$10,3,0))^(1/12)))</f>
        <v>3509.4559665197003</v>
      </c>
      <c r="CZ16" s="161">
        <f>IF(CZ$1=1,Revenue!$P4*Revenue!$A$23,'Monthly CF'!CY16*((1+HLOOKUP('Monthly CF'!CY$2,Revenue!$S$8:$AC$10,3,0))^(1/12)))</f>
        <v>3518.1112316871586</v>
      </c>
      <c r="DA16" s="161">
        <f>IF(DA$1=1,Revenue!$P4*Revenue!$A$23,'Monthly CF'!CZ16*((1+HLOOKUP('Monthly CF'!CZ$2,Revenue!$S$8:$AC$10,3,0))^(1/12)))</f>
        <v>3526.7878430734709</v>
      </c>
      <c r="DB16" s="161">
        <f>IF(DB$1=1,Revenue!$P4*Revenue!$A$23,'Monthly CF'!DA16*((1+HLOOKUP('Monthly CF'!DA$2,Revenue!$S$8:$AC$10,3,0))^(1/12)))</f>
        <v>3535.4858533241709</v>
      </c>
      <c r="DC16" s="161">
        <f>IF(DC$1=1,Revenue!$P4*Revenue!$A$23,'Monthly CF'!DB16*((1+HLOOKUP('Monthly CF'!DB$2,Revenue!$S$8:$AC$10,3,0))^(1/12)))</f>
        <v>3544.2053152146318</v>
      </c>
      <c r="DD16" s="161">
        <f>IF(DD$1=1,Revenue!$P4*Revenue!$A$23,'Monthly CF'!DC16*((1+HLOOKUP('Monthly CF'!DC$2,Revenue!$S$8:$AC$10,3,0))^(1/12)))</f>
        <v>3552.9462816503838</v>
      </c>
      <c r="DE16" s="161">
        <f>IF(DE$1=1,Revenue!$P4*Revenue!$A$23,'Monthly CF'!DD16*((1+HLOOKUP('Monthly CF'!DD$2,Revenue!$S$8:$AC$10,3,0))^(1/12)))</f>
        <v>3561.708805667437</v>
      </c>
      <c r="DF16" s="161">
        <f>IF(DF$1=1,Revenue!$P4*Revenue!$A$23,'Monthly CF'!DE16*((1+HLOOKUP('Monthly CF'!DE$2,Revenue!$S$8:$AC$10,3,0))^(1/12)))</f>
        <v>3570.4929404326026</v>
      </c>
      <c r="DG16" s="161">
        <f>IF(DG$1=1,Revenue!$P4*Revenue!$A$23,'Monthly CF'!DF16*((1+HLOOKUP('Monthly CF'!DF$2,Revenue!$S$8:$AC$10,3,0))^(1/12)))</f>
        <v>3579.2987392438154</v>
      </c>
      <c r="DH16" s="161">
        <f>IF(DH$1=1,Revenue!$P4*Revenue!$A$23,'Monthly CF'!DG16*((1+HLOOKUP('Monthly CF'!DG$2,Revenue!$S$8:$AC$10,3,0))^(1/12)))</f>
        <v>3588.126255530457</v>
      </c>
      <c r="DI16" s="161">
        <f>IF(DI$1=1,Revenue!$P4*Revenue!$A$23,'Monthly CF'!DH16*((1+HLOOKUP('Monthly CF'!DH$2,Revenue!$S$8:$AC$10,3,0))^(1/12)))</f>
        <v>3596.975542853681</v>
      </c>
      <c r="DJ16" s="161">
        <f>IF(DJ$1=1,Revenue!$P4*Revenue!$A$23,'Monthly CF'!DI16*((1+HLOOKUP('Monthly CF'!DI$2,Revenue!$S$8:$AC$10,3,0))^(1/12)))</f>
        <v>3605.8466549067366</v>
      </c>
      <c r="DK16" s="161">
        <f>IF(DK$1=1,Revenue!$P4*Revenue!$A$23,'Monthly CF'!DJ16*((1+HLOOKUP('Monthly CF'!DJ$2,Revenue!$S$8:$AC$10,3,0))^(1/12)))</f>
        <v>3614.7396455152953</v>
      </c>
      <c r="DL16" s="161">
        <f>IF(DL$1=1,Revenue!$P4*Revenue!$A$23,'Monthly CF'!DK16*((1+HLOOKUP('Monthly CF'!DK$2,Revenue!$S$8:$AC$10,3,0))^(1/12)))</f>
        <v>3623.6545686377772</v>
      </c>
      <c r="DM16" s="161">
        <f>IF(DM$1=1,Revenue!$P4*Revenue!$A$23,'Monthly CF'!DL16*((1+HLOOKUP('Monthly CF'!DL$2,Revenue!$S$8:$AC$10,3,0))^(1/12)))</f>
        <v>3632.5914783656785</v>
      </c>
      <c r="DN16" s="161">
        <f>IF(DN$1=1,Revenue!$P4*Revenue!$A$23,'Monthly CF'!DM16*((1+HLOOKUP('Monthly CF'!DM$2,Revenue!$S$8:$AC$10,3,0))^(1/12)))</f>
        <v>3641.5504289238997</v>
      </c>
      <c r="DO16" s="161">
        <f>IF(DO$1=1,Revenue!$P4*Revenue!$A$23,'Monthly CF'!DN16*((1+HLOOKUP('Monthly CF'!DN$2,Revenue!$S$8:$AC$10,3,0))^(1/12)))</f>
        <v>3650.5314746710742</v>
      </c>
      <c r="DP16" s="161">
        <f>IF(DP$1=1,Revenue!$P4*Revenue!$A$23,'Monthly CF'!DO16*((1+HLOOKUP('Monthly CF'!DO$2,Revenue!$S$8:$AC$10,3,0))^(1/12)))</f>
        <v>3659.5346700998984</v>
      </c>
      <c r="DQ16" s="161">
        <f>IF(DQ$1=1,Revenue!$P4*Revenue!$A$23,'Monthly CF'!DP16*((1+HLOOKUP('Monthly CF'!DP$2,Revenue!$S$8:$AC$10,3,0))^(1/12)))</f>
        <v>3668.5600698374633</v>
      </c>
      <c r="DR16" s="161">
        <f>IF(DR$1=1,Revenue!$P4*Revenue!$A$23,'Monthly CF'!DQ16*((1+HLOOKUP('Monthly CF'!DQ$2,Revenue!$S$8:$AC$10,3,0))^(1/12)))</f>
        <v>3677.6077286455838</v>
      </c>
      <c r="DS16" s="161">
        <f>IF(DS$1=1,Revenue!$P4*Revenue!$A$23,'Monthly CF'!DR16*((1+HLOOKUP('Monthly CF'!DR$2,Revenue!$S$8:$AC$10,3,0))^(1/12)))</f>
        <v>3686.677701421133</v>
      </c>
      <c r="DT16" s="161">
        <f>IF(DT$1=1,Revenue!$P4*Revenue!$A$23,'Monthly CF'!DS16*((1+HLOOKUP('Monthly CF'!DS$2,Revenue!$S$8:$AC$10,3,0))^(1/12)))</f>
        <v>3695.770043196374</v>
      </c>
      <c r="DU16" s="161">
        <f>IF(DU$1=1,Revenue!$P4*Revenue!$A$23,'Monthly CF'!DT16*((1+HLOOKUP('Monthly CF'!DT$2,Revenue!$S$8:$AC$10,3,0))^(1/12)))</f>
        <v>3704.8848091392947</v>
      </c>
      <c r="DV16" s="161">
        <f>IF(DV$1=1,Revenue!$P4*Revenue!$A$23,'Monthly CF'!DU16*((1+HLOOKUP('Monthly CF'!DU$2,Revenue!$S$8:$AC$10,3,0))^(1/12)))</f>
        <v>3714.0220545539419</v>
      </c>
      <c r="DW16" s="161">
        <f>IF(DW$1=1,Revenue!$P4*Revenue!$A$23,'Monthly CF'!DV16*((1+HLOOKUP('Monthly CF'!DV$2,Revenue!$S$8:$AC$10,3,0))^(1/12)))</f>
        <v>3723.1818348807574</v>
      </c>
      <c r="DX16" s="161">
        <f>IF(DX$1=1,Revenue!$P4*Revenue!$A$23,'Monthly CF'!DW16*((1+HLOOKUP('Monthly CF'!DW$2,Revenue!$S$8:$AC$10,3,0))^(1/12)))</f>
        <v>3732.3642056969138</v>
      </c>
      <c r="DY16" s="161">
        <f>IF(DY$1=1,Revenue!$P4*Revenue!$A$23,'Monthly CF'!DX16*((1+HLOOKUP('Monthly CF'!DX$2,Revenue!$S$8:$AC$10,3,0))^(1/12)))</f>
        <v>3741.5692227166523</v>
      </c>
      <c r="DZ16" s="161">
        <f>IF(DZ$1=1,Revenue!$P4*Revenue!$A$23,'Monthly CF'!DY16*((1+HLOOKUP('Monthly CF'!DY$2,Revenue!$S$8:$AC$10,3,0))^(1/12)))</f>
        <v>3750.7969417916202</v>
      </c>
      <c r="EA16" s="161">
        <f>IF(EA$1=1,Revenue!$P4*Revenue!$A$23,'Monthly CF'!DZ16*((1+HLOOKUP('Monthly CF'!DZ$2,Revenue!$S$8:$AC$10,3,0))^(1/12)))</f>
        <v>3760.0474189112101</v>
      </c>
      <c r="EB16" s="161">
        <f>IF(EB$1=1,Revenue!$P4*Revenue!$A$23,'Monthly CF'!EA16*((1+HLOOKUP('Monthly CF'!EA$2,Revenue!$S$8:$AC$10,3,0))^(1/12)))</f>
        <v>3769.3207102028991</v>
      </c>
      <c r="EC16" s="161">
        <f>IF(EC$1=1,Revenue!$P4*Revenue!$A$23,'Monthly CF'!EB16*((1+HLOOKUP('Monthly CF'!EB$2,Revenue!$S$8:$AC$10,3,0))^(1/12)))</f>
        <v>3778.6168719325906</v>
      </c>
      <c r="ED16" s="161">
        <f>IF(ED$1=1,Revenue!$P4*Revenue!$A$23,'Monthly CF'!EC16*((1+HLOOKUP('Monthly CF'!EC$2,Revenue!$S$8:$AC$10,3,0))^(1/12)))</f>
        <v>3787.9359605049544</v>
      </c>
      <c r="EE16" s="162">
        <f>IF(EE$1=1,Revenue!$P4*Revenue!$A$23,'Monthly CF'!ED16*((1+HLOOKUP('Monthly CF'!ED$2,Revenue!$S$8:$AC$10,3,0))^(1/12)))</f>
        <v>3797.2780324637702</v>
      </c>
    </row>
    <row r="17" spans="1:135" x14ac:dyDescent="0.35">
      <c r="A17" s="168">
        <f>SUMIF($C$1:$EE$1,"&lt;="&amp;Summary!$K$19,'Monthly CF'!C17:EE17)</f>
        <v>76696.398246243101</v>
      </c>
      <c r="B17" s="5" t="str">
        <f>Revenue!O5</f>
        <v>Pet Fees</v>
      </c>
      <c r="C17" s="160"/>
      <c r="D17" s="161">
        <f>IF(D$1=1,Revenue!$P5*Revenue!$A$23,'Monthly CF'!C17*((1+HLOOKUP('Monthly CF'!C$2,Revenue!$S$8:$AC$10,3,0))^(1/12)))</f>
        <v>550</v>
      </c>
      <c r="E17" s="161">
        <f>IF(E$1=1,Revenue!$P5*Revenue!$A$23,'Monthly CF'!D17*((1+HLOOKUP('Monthly CF'!D$2,Revenue!$S$8:$AC$10,3,0))^(1/12)))</f>
        <v>551.35644837476707</v>
      </c>
      <c r="F17" s="161">
        <f>IF(F$1=1,Revenue!$P5*Revenue!$A$23,'Monthly CF'!E17*((1+HLOOKUP('Monthly CF'!E$2,Revenue!$S$8:$AC$10,3,0))^(1/12)))</f>
        <v>552.71624211715846</v>
      </c>
      <c r="G17" s="161">
        <f>IF(G$1=1,Revenue!$P5*Revenue!$A$23,'Monthly CF'!F17*((1+HLOOKUP('Monthly CF'!F$2,Revenue!$S$8:$AC$10,3,0))^(1/12)))</f>
        <v>554.07938947775324</v>
      </c>
      <c r="H17" s="161">
        <f>IF(H$1=1,Revenue!$P5*Revenue!$A$23,'Monthly CF'!G17*((1+HLOOKUP('Monthly CF'!G$2,Revenue!$S$8:$AC$10,3,0))^(1/12)))</f>
        <v>555.44589872747872</v>
      </c>
      <c r="I17" s="161">
        <f>IF(I$1=1,Revenue!$P5*Revenue!$A$23,'Monthly CF'!H17*((1+HLOOKUP('Monthly CF'!H$2,Revenue!$S$8:$AC$10,3,0))^(1/12)))</f>
        <v>556.81577815766036</v>
      </c>
      <c r="J17" s="161">
        <f>IF(J$1=1,Revenue!$P5*Revenue!$A$23,'Monthly CF'!I17*((1+HLOOKUP('Monthly CF'!I$2,Revenue!$S$8:$AC$10,3,0))^(1/12)))</f>
        <v>558.18903608007236</v>
      </c>
      <c r="K17" s="161">
        <f>IF(K$1=1,Revenue!$P5*Revenue!$A$23,'Monthly CF'!J17*((1+HLOOKUP('Monthly CF'!J$2,Revenue!$S$8:$AC$10,3,0))^(1/12)))</f>
        <v>559.565680826988</v>
      </c>
      <c r="L17" s="161">
        <f>IF(L$1=1,Revenue!$P5*Revenue!$A$23,'Monthly CF'!K17*((1+HLOOKUP('Monthly CF'!K$2,Revenue!$S$8:$AC$10,3,0))^(1/12)))</f>
        <v>560.94572075123017</v>
      </c>
      <c r="M17" s="161">
        <f>IF(M$1=1,Revenue!$P5*Revenue!$A$23,'Monthly CF'!L17*((1+HLOOKUP('Monthly CF'!L$2,Revenue!$S$8:$AC$10,3,0))^(1/12)))</f>
        <v>562.32916422622202</v>
      </c>
      <c r="N17" s="161">
        <f>IF(N$1=1,Revenue!$P5*Revenue!$A$23,'Monthly CF'!M17*((1+HLOOKUP('Monthly CF'!M$2,Revenue!$S$8:$AC$10,3,0))^(1/12)))</f>
        <v>563.71601964603792</v>
      </c>
      <c r="O17" s="161">
        <f>IF(O$1=1,Revenue!$P5*Revenue!$A$23,'Monthly CF'!N17*((1+HLOOKUP('Monthly CF'!N$2,Revenue!$S$8:$AC$10,3,0))^(1/12)))</f>
        <v>565.10629542545428</v>
      </c>
      <c r="P17" s="161">
        <f>IF(P$1=1,Revenue!$P5*Revenue!$A$23,'Monthly CF'!O17*((1+HLOOKUP('Monthly CF'!O$2,Revenue!$S$8:$AC$10,3,0))^(1/12)))</f>
        <v>566.50000000000057</v>
      </c>
      <c r="Q17" s="161">
        <f>IF(Q$1=1,Revenue!$P5*Revenue!$A$23,'Monthly CF'!P17*((1+HLOOKUP('Monthly CF'!P$2,Revenue!$S$8:$AC$10,3,0))^(1/12)))</f>
        <v>567.89714182601062</v>
      </c>
      <c r="R17" s="161">
        <f>IF(R$1=1,Revenue!$P5*Revenue!$A$23,'Monthly CF'!Q17*((1+HLOOKUP('Monthly CF'!Q$2,Revenue!$S$8:$AC$10,3,0))^(1/12)))</f>
        <v>569.29772938067379</v>
      </c>
      <c r="S17" s="161">
        <f>IF(S$1=1,Revenue!$P5*Revenue!$A$23,'Monthly CF'!R17*((1+HLOOKUP('Monthly CF'!R$2,Revenue!$S$8:$AC$10,3,0))^(1/12)))</f>
        <v>570.70177116208652</v>
      </c>
      <c r="T17" s="161">
        <f>IF(T$1=1,Revenue!$P5*Revenue!$A$23,'Monthly CF'!S17*((1+HLOOKUP('Monthly CF'!S$2,Revenue!$S$8:$AC$10,3,0))^(1/12)))</f>
        <v>572.10927568930379</v>
      </c>
      <c r="U17" s="161">
        <f>IF(U$1=1,Revenue!$P5*Revenue!$A$23,'Monthly CF'!T17*((1+HLOOKUP('Monthly CF'!T$2,Revenue!$S$8:$AC$10,3,0))^(1/12)))</f>
        <v>573.52025150239092</v>
      </c>
      <c r="V17" s="161">
        <f>IF(V$1=1,Revenue!$P5*Revenue!$A$23,'Monthly CF'!U17*((1+HLOOKUP('Monthly CF'!U$2,Revenue!$S$8:$AC$10,3,0))^(1/12)))</f>
        <v>574.93470716247532</v>
      </c>
      <c r="W17" s="161">
        <f>IF(W$1=1,Revenue!$P5*Revenue!$A$23,'Monthly CF'!V17*((1+HLOOKUP('Monthly CF'!V$2,Revenue!$S$8:$AC$10,3,0))^(1/12)))</f>
        <v>576.35265125179842</v>
      </c>
      <c r="X17" s="161">
        <f>IF(X$1=1,Revenue!$P5*Revenue!$A$23,'Monthly CF'!W17*((1+HLOOKUP('Monthly CF'!W$2,Revenue!$S$8:$AC$10,3,0))^(1/12)))</f>
        <v>577.77409237376787</v>
      </c>
      <c r="Y17" s="161">
        <f>IF(Y$1=1,Revenue!$P5*Revenue!$A$23,'Monthly CF'!X17*((1+HLOOKUP('Monthly CF'!X$2,Revenue!$S$8:$AC$10,3,0))^(1/12)))</f>
        <v>579.19903915300949</v>
      </c>
      <c r="Z17" s="161">
        <f>IF(Z$1=1,Revenue!$P5*Revenue!$A$23,'Monthly CF'!Y17*((1+HLOOKUP('Monthly CF'!Y$2,Revenue!$S$8:$AC$10,3,0))^(1/12)))</f>
        <v>580.62750023541992</v>
      </c>
      <c r="AA17" s="161">
        <f>IF(AA$1=1,Revenue!$P5*Revenue!$A$23,'Monthly CF'!Z17*((1+HLOOKUP('Monthly CF'!Z$2,Revenue!$S$8:$AC$10,3,0))^(1/12)))</f>
        <v>582.05948428821875</v>
      </c>
      <c r="AB17" s="161">
        <f>IF(AB$1=1,Revenue!$P5*Revenue!$A$23,'Monthly CF'!AA17*((1+HLOOKUP('Monthly CF'!AA$2,Revenue!$S$8:$AC$10,3,0))^(1/12)))</f>
        <v>583.49500000000148</v>
      </c>
      <c r="AC17" s="161">
        <f>IF(AC$1=1,Revenue!$P5*Revenue!$A$23,'Monthly CF'!AB17*((1+HLOOKUP('Monthly CF'!AB$2,Revenue!$S$8:$AC$10,3,0))^(1/12)))</f>
        <v>584.93405608079183</v>
      </c>
      <c r="AD17" s="161">
        <f>IF(AD$1=1,Revenue!$P5*Revenue!$A$23,'Monthly CF'!AC17*((1+HLOOKUP('Monthly CF'!AC$2,Revenue!$S$8:$AC$10,3,0))^(1/12)))</f>
        <v>586.3766612620949</v>
      </c>
      <c r="AE17" s="161">
        <f>IF(AE$1=1,Revenue!$P5*Revenue!$A$23,'Monthly CF'!AD17*((1+HLOOKUP('Monthly CF'!AD$2,Revenue!$S$8:$AC$10,3,0))^(1/12)))</f>
        <v>587.82282429694999</v>
      </c>
      <c r="AF17" s="161">
        <f>IF(AF$1=1,Revenue!$P5*Revenue!$A$23,'Monthly CF'!AE17*((1+HLOOKUP('Monthly CF'!AE$2,Revenue!$S$8:$AC$10,3,0))^(1/12)))</f>
        <v>589.27255395998372</v>
      </c>
      <c r="AG17" s="161">
        <f>IF(AG$1=1,Revenue!$P5*Revenue!$A$23,'Monthly CF'!AF17*((1+HLOOKUP('Monthly CF'!AF$2,Revenue!$S$8:$AC$10,3,0))^(1/12)))</f>
        <v>590.72585904746347</v>
      </c>
      <c r="AH17" s="161">
        <f>IF(AH$1=1,Revenue!$P5*Revenue!$A$23,'Monthly CF'!AG17*((1+HLOOKUP('Monthly CF'!AG$2,Revenue!$S$8:$AC$10,3,0))^(1/12)))</f>
        <v>592.18274837735032</v>
      </c>
      <c r="AI17" s="161">
        <f>IF(AI$1=1,Revenue!$P5*Revenue!$A$23,'Monthly CF'!AH17*((1+HLOOKUP('Monthly CF'!AH$2,Revenue!$S$8:$AC$10,3,0))^(1/12)))</f>
        <v>593.64323078935308</v>
      </c>
      <c r="AJ17" s="161">
        <f>IF(AJ$1=1,Revenue!$P5*Revenue!$A$23,'Monthly CF'!AI17*((1+HLOOKUP('Monthly CF'!AI$2,Revenue!$S$8:$AC$10,3,0))^(1/12)))</f>
        <v>595.10731514498161</v>
      </c>
      <c r="AK17" s="161">
        <f>IF(AK$1=1,Revenue!$P5*Revenue!$A$23,'Monthly CF'!AJ17*((1+HLOOKUP('Monthly CF'!AJ$2,Revenue!$S$8:$AC$10,3,0))^(1/12)))</f>
        <v>596.57501032760047</v>
      </c>
      <c r="AL17" s="161">
        <f>IF(AL$1=1,Revenue!$P5*Revenue!$A$23,'Monthly CF'!AK17*((1+HLOOKUP('Monthly CF'!AK$2,Revenue!$S$8:$AC$10,3,0))^(1/12)))</f>
        <v>598.04632524248314</v>
      </c>
      <c r="AM17" s="161">
        <f>IF(AM$1=1,Revenue!$P5*Revenue!$A$23,'Monthly CF'!AL17*((1+HLOOKUP('Monthly CF'!AL$2,Revenue!$S$8:$AC$10,3,0))^(1/12)))</f>
        <v>599.52126881686593</v>
      </c>
      <c r="AN17" s="161">
        <f>IF(AN$1=1,Revenue!$P5*Revenue!$A$23,'Monthly CF'!AM17*((1+HLOOKUP('Monthly CF'!AM$2,Revenue!$S$8:$AC$10,3,0))^(1/12)))</f>
        <v>600.99985000000208</v>
      </c>
      <c r="AO17" s="161">
        <f>IF(AO$1=1,Revenue!$P5*Revenue!$A$23,'Monthly CF'!AN17*((1+HLOOKUP('Monthly CF'!AN$2,Revenue!$S$8:$AC$10,3,0))^(1/12)))</f>
        <v>602.48207776321613</v>
      </c>
      <c r="AP17" s="161">
        <f>IF(AP$1=1,Revenue!$P5*Revenue!$A$23,'Monthly CF'!AO17*((1+HLOOKUP('Monthly CF'!AO$2,Revenue!$S$8:$AC$10,3,0))^(1/12)))</f>
        <v>603.9679610999583</v>
      </c>
      <c r="AQ17" s="161">
        <f>IF(AQ$1=1,Revenue!$P5*Revenue!$A$23,'Monthly CF'!AP17*((1+HLOOKUP('Monthly CF'!AP$2,Revenue!$S$8:$AC$10,3,0))^(1/12)))</f>
        <v>605.45750902585905</v>
      </c>
      <c r="AR17" s="161">
        <f>IF(AR$1=1,Revenue!$P5*Revenue!$A$23,'Monthly CF'!AQ17*((1+HLOOKUP('Monthly CF'!AQ$2,Revenue!$S$8:$AC$10,3,0))^(1/12)))</f>
        <v>606.9507305787838</v>
      </c>
      <c r="AS17" s="161">
        <f>IF(AS$1=1,Revenue!$P5*Revenue!$A$23,'Monthly CF'!AR17*((1+HLOOKUP('Monthly CF'!AR$2,Revenue!$S$8:$AC$10,3,0))^(1/12)))</f>
        <v>608.44763481888788</v>
      </c>
      <c r="AT17" s="161">
        <f>IF(AT$1=1,Revenue!$P5*Revenue!$A$23,'Monthly CF'!AS17*((1+HLOOKUP('Monthly CF'!AS$2,Revenue!$S$8:$AC$10,3,0))^(1/12)))</f>
        <v>609.9482308286714</v>
      </c>
      <c r="AU17" s="161">
        <f>IF(AU$1=1,Revenue!$P5*Revenue!$A$23,'Monthly CF'!AT17*((1+HLOOKUP('Monthly CF'!AT$2,Revenue!$S$8:$AC$10,3,0))^(1/12)))</f>
        <v>611.45252771303421</v>
      </c>
      <c r="AV17" s="161">
        <f>IF(AV$1=1,Revenue!$P5*Revenue!$A$23,'Monthly CF'!AU17*((1+HLOOKUP('Monthly CF'!AU$2,Revenue!$S$8:$AC$10,3,0))^(1/12)))</f>
        <v>612.9605345993316</v>
      </c>
      <c r="AW17" s="161">
        <f>IF(AW$1=1,Revenue!$P5*Revenue!$A$23,'Monthly CF'!AV17*((1+HLOOKUP('Monthly CF'!AV$2,Revenue!$S$8:$AC$10,3,0))^(1/12)))</f>
        <v>614.47226063742903</v>
      </c>
      <c r="AX17" s="161">
        <f>IF(AX$1=1,Revenue!$P5*Revenue!$A$23,'Monthly CF'!AW17*((1+HLOOKUP('Monthly CF'!AW$2,Revenue!$S$8:$AC$10,3,0))^(1/12)))</f>
        <v>615.98771499975828</v>
      </c>
      <c r="AY17" s="161">
        <f>IF(AY$1=1,Revenue!$P5*Revenue!$A$23,'Monthly CF'!AX17*((1+HLOOKUP('Monthly CF'!AX$2,Revenue!$S$8:$AC$10,3,0))^(1/12)))</f>
        <v>617.50690688137263</v>
      </c>
      <c r="AZ17" s="161">
        <f>IF(AZ$1=1,Revenue!$P5*Revenue!$A$23,'Monthly CF'!AY17*((1+HLOOKUP('Monthly CF'!AY$2,Revenue!$S$8:$AC$10,3,0))^(1/12)))</f>
        <v>619.02984550000292</v>
      </c>
      <c r="BA17" s="161">
        <f>IF(BA$1=1,Revenue!$P5*Revenue!$A$23,'Monthly CF'!AZ17*((1+HLOOKUP('Monthly CF'!AZ$2,Revenue!$S$8:$AC$10,3,0))^(1/12)))</f>
        <v>620.55654009611339</v>
      </c>
      <c r="BB17" s="161">
        <f>IF(BB$1=1,Revenue!$P5*Revenue!$A$23,'Monthly CF'!BA17*((1+HLOOKUP('Monthly CF'!BA$2,Revenue!$S$8:$AC$10,3,0))^(1/12)))</f>
        <v>622.08699993295784</v>
      </c>
      <c r="BC17" s="161">
        <f>IF(BC$1=1,Revenue!$P5*Revenue!$A$23,'Monthly CF'!BB17*((1+HLOOKUP('Monthly CF'!BB$2,Revenue!$S$8:$AC$10,3,0))^(1/12)))</f>
        <v>623.62123429663552</v>
      </c>
      <c r="BD17" s="161">
        <f>IF(BD$1=1,Revenue!$P5*Revenue!$A$23,'Monthly CF'!BC17*((1+HLOOKUP('Monthly CF'!BC$2,Revenue!$S$8:$AC$10,3,0))^(1/12)))</f>
        <v>625.15925249614804</v>
      </c>
      <c r="BE17" s="161">
        <f>IF(BE$1=1,Revenue!$P5*Revenue!$A$23,'Monthly CF'!BD17*((1+HLOOKUP('Monthly CF'!BD$2,Revenue!$S$8:$AC$10,3,0))^(1/12)))</f>
        <v>626.70106386345526</v>
      </c>
      <c r="BF17" s="161">
        <f>IF(BF$1=1,Revenue!$P5*Revenue!$A$23,'Monthly CF'!BE17*((1+HLOOKUP('Monthly CF'!BE$2,Revenue!$S$8:$AC$10,3,0))^(1/12)))</f>
        <v>628.24667775353225</v>
      </c>
      <c r="BG17" s="161">
        <f>IF(BG$1=1,Revenue!$P5*Revenue!$A$23,'Monthly CF'!BF17*((1+HLOOKUP('Monthly CF'!BF$2,Revenue!$S$8:$AC$10,3,0))^(1/12)))</f>
        <v>629.79610354442605</v>
      </c>
      <c r="BH17" s="161">
        <f>IF(BH$1=1,Revenue!$P5*Revenue!$A$23,'Monthly CF'!BG17*((1+HLOOKUP('Monthly CF'!BG$2,Revenue!$S$8:$AC$10,3,0))^(1/12)))</f>
        <v>631.34935063731234</v>
      </c>
      <c r="BI17" s="161">
        <f>IF(BI$1=1,Revenue!$P5*Revenue!$A$23,'Monthly CF'!BH17*((1+HLOOKUP('Monthly CF'!BH$2,Revenue!$S$8:$AC$10,3,0))^(1/12)))</f>
        <v>632.9064284565527</v>
      </c>
      <c r="BJ17" s="161">
        <f>IF(BJ$1=1,Revenue!$P5*Revenue!$A$23,'Monthly CF'!BI17*((1+HLOOKUP('Monthly CF'!BI$2,Revenue!$S$8:$AC$10,3,0))^(1/12)))</f>
        <v>634.46734644975174</v>
      </c>
      <c r="BK17" s="161">
        <f>IF(BK$1=1,Revenue!$P5*Revenue!$A$23,'Monthly CF'!BJ17*((1+HLOOKUP('Monthly CF'!BJ$2,Revenue!$S$8:$AC$10,3,0))^(1/12)))</f>
        <v>636.03211408781453</v>
      </c>
      <c r="BL17" s="161">
        <f>IF(BL$1=1,Revenue!$P5*Revenue!$A$23,'Monthly CF'!BK17*((1+HLOOKUP('Monthly CF'!BK$2,Revenue!$S$8:$AC$10,3,0))^(1/12)))</f>
        <v>637.60074086500367</v>
      </c>
      <c r="BM17" s="161">
        <f>IF(BM$1=1,Revenue!$P5*Revenue!$A$23,'Monthly CF'!BL17*((1+HLOOKUP('Monthly CF'!BL$2,Revenue!$S$8:$AC$10,3,0))^(1/12)))</f>
        <v>639.17323629899749</v>
      </c>
      <c r="BN17" s="161">
        <f>IF(BN$1=1,Revenue!$P5*Revenue!$A$23,'Monthly CF'!BM17*((1+HLOOKUP('Monthly CF'!BM$2,Revenue!$S$8:$AC$10,3,0))^(1/12)))</f>
        <v>640.74960993094726</v>
      </c>
      <c r="BO17" s="161">
        <f>IF(BO$1=1,Revenue!$P5*Revenue!$A$23,'Monthly CF'!BN17*((1+HLOOKUP('Monthly CF'!BN$2,Revenue!$S$8:$AC$10,3,0))^(1/12)))</f>
        <v>642.32987132553535</v>
      </c>
      <c r="BP17" s="161">
        <f>IF(BP$1=1,Revenue!$P5*Revenue!$A$23,'Monthly CF'!BO17*((1+HLOOKUP('Monthly CF'!BO$2,Revenue!$S$8:$AC$10,3,0))^(1/12)))</f>
        <v>643.91403007103327</v>
      </c>
      <c r="BQ17" s="161">
        <f>IF(BQ$1=1,Revenue!$P5*Revenue!$A$23,'Monthly CF'!BP17*((1+HLOOKUP('Monthly CF'!BP$2,Revenue!$S$8:$AC$10,3,0))^(1/12)))</f>
        <v>645.50209577935971</v>
      </c>
      <c r="BR17" s="161">
        <f>IF(BR$1=1,Revenue!$P5*Revenue!$A$23,'Monthly CF'!BQ17*((1+HLOOKUP('Monthly CF'!BQ$2,Revenue!$S$8:$AC$10,3,0))^(1/12)))</f>
        <v>647.09407808613901</v>
      </c>
      <c r="BS17" s="161">
        <f>IF(BS$1=1,Revenue!$P5*Revenue!$A$23,'Monthly CF'!BR17*((1+HLOOKUP('Monthly CF'!BR$2,Revenue!$S$8:$AC$10,3,0))^(1/12)))</f>
        <v>648.68998665075958</v>
      </c>
      <c r="BT17" s="161">
        <f>IF(BT$1=1,Revenue!$P5*Revenue!$A$23,'Monthly CF'!BS17*((1+HLOOKUP('Monthly CF'!BS$2,Revenue!$S$8:$AC$10,3,0))^(1/12)))</f>
        <v>650.28983115643246</v>
      </c>
      <c r="BU17" s="161">
        <f>IF(BU$1=1,Revenue!$P5*Revenue!$A$23,'Monthly CF'!BT17*((1+HLOOKUP('Monthly CF'!BT$2,Revenue!$S$8:$AC$10,3,0))^(1/12)))</f>
        <v>651.89362131025007</v>
      </c>
      <c r="BV17" s="161">
        <f>IF(BV$1=1,Revenue!$P5*Revenue!$A$23,'Monthly CF'!BU17*((1+HLOOKUP('Monthly CF'!BU$2,Revenue!$S$8:$AC$10,3,0))^(1/12)))</f>
        <v>653.50136684324514</v>
      </c>
      <c r="BW17" s="161">
        <f>IF(BW$1=1,Revenue!$P5*Revenue!$A$23,'Monthly CF'!BV17*((1+HLOOKUP('Monthly CF'!BV$2,Revenue!$S$8:$AC$10,3,0))^(1/12)))</f>
        <v>655.11307751044978</v>
      </c>
      <c r="BX17" s="161">
        <f>IF(BX$1=1,Revenue!$P5*Revenue!$A$23,'Monthly CF'!BW17*((1+HLOOKUP('Monthly CF'!BW$2,Revenue!$S$8:$AC$10,3,0))^(1/12)))</f>
        <v>656.72876309095466</v>
      </c>
      <c r="BY17" s="161">
        <f>IF(BY$1=1,Revenue!$P5*Revenue!$A$23,'Monthly CF'!BX17*((1+HLOOKUP('Monthly CF'!BX$2,Revenue!$S$8:$AC$10,3,0))^(1/12)))</f>
        <v>658.34843338796827</v>
      </c>
      <c r="BZ17" s="161">
        <f>IF(BZ$1=1,Revenue!$P5*Revenue!$A$23,'Monthly CF'!BY17*((1+HLOOKUP('Monthly CF'!BY$2,Revenue!$S$8:$AC$10,3,0))^(1/12)))</f>
        <v>659.97209822887646</v>
      </c>
      <c r="CA17" s="161">
        <f>IF(CA$1=1,Revenue!$P5*Revenue!$A$23,'Monthly CF'!BZ17*((1+HLOOKUP('Monthly CF'!BZ$2,Revenue!$S$8:$AC$10,3,0))^(1/12)))</f>
        <v>661.59976746530219</v>
      </c>
      <c r="CB17" s="161">
        <f>IF(CB$1=1,Revenue!$P5*Revenue!$A$23,'Monthly CF'!CA17*((1+HLOOKUP('Monthly CF'!CA$2,Revenue!$S$8:$AC$10,3,0))^(1/12)))</f>
        <v>663.23145097316501</v>
      </c>
      <c r="CC17" s="161">
        <f>IF(CC$1=1,Revenue!$P5*Revenue!$A$23,'Monthly CF'!CB17*((1+HLOOKUP('Monthly CF'!CB$2,Revenue!$S$8:$AC$10,3,0))^(1/12)))</f>
        <v>664.8671586527413</v>
      </c>
      <c r="CD17" s="161">
        <f>IF(CD$1=1,Revenue!$P5*Revenue!$A$23,'Monthly CF'!CC17*((1+HLOOKUP('Monthly CF'!CC$2,Revenue!$S$8:$AC$10,3,0))^(1/12)))</f>
        <v>666.50690042872395</v>
      </c>
      <c r="CE17" s="161">
        <f>IF(CE$1=1,Revenue!$P5*Revenue!$A$23,'Monthly CF'!CD17*((1+HLOOKUP('Monthly CF'!CD$2,Revenue!$S$8:$AC$10,3,0))^(1/12)))</f>
        <v>668.15068625028312</v>
      </c>
      <c r="CF17" s="161">
        <f>IF(CF$1=1,Revenue!$P5*Revenue!$A$23,'Monthly CF'!CE17*((1+HLOOKUP('Monthly CF'!CE$2,Revenue!$S$8:$AC$10,3,0))^(1/12)))</f>
        <v>669.79852609112618</v>
      </c>
      <c r="CG17" s="161">
        <f>IF(CG$1=1,Revenue!$P5*Revenue!$A$23,'Monthly CF'!CF17*((1+HLOOKUP('Monthly CF'!CF$2,Revenue!$S$8:$AC$10,3,0))^(1/12)))</f>
        <v>671.45042994955827</v>
      </c>
      <c r="CH17" s="161">
        <f>IF(CH$1=1,Revenue!$P5*Revenue!$A$23,'Monthly CF'!CG17*((1+HLOOKUP('Monthly CF'!CG$2,Revenue!$S$8:$AC$10,3,0))^(1/12)))</f>
        <v>673.1064078485432</v>
      </c>
      <c r="CI17" s="161">
        <f>IF(CI$1=1,Revenue!$P5*Revenue!$A$23,'Monthly CF'!CH17*((1+HLOOKUP('Monthly CF'!CH$2,Revenue!$S$8:$AC$10,3,0))^(1/12)))</f>
        <v>674.76646983576393</v>
      </c>
      <c r="CJ17" s="161">
        <f>IF(CJ$1=1,Revenue!$P5*Revenue!$A$23,'Monthly CF'!CI17*((1+HLOOKUP('Monthly CF'!CI$2,Revenue!$S$8:$AC$10,3,0))^(1/12)))</f>
        <v>676.43062598368397</v>
      </c>
      <c r="CK17" s="161">
        <f>IF(CK$1=1,Revenue!$P5*Revenue!$A$23,'Monthly CF'!CJ17*((1+HLOOKUP('Monthly CF'!CJ$2,Revenue!$S$8:$AC$10,3,0))^(1/12)))</f>
        <v>678.09888638960797</v>
      </c>
      <c r="CL17" s="161">
        <f>IF(CL$1=1,Revenue!$P5*Revenue!$A$23,'Monthly CF'!CK17*((1+HLOOKUP('Monthly CF'!CK$2,Revenue!$S$8:$AC$10,3,0))^(1/12)))</f>
        <v>679.77126117574346</v>
      </c>
      <c r="CM17" s="161">
        <f>IF(CM$1=1,Revenue!$P5*Revenue!$A$23,'Monthly CF'!CL17*((1+HLOOKUP('Monthly CF'!CL$2,Revenue!$S$8:$AC$10,3,0))^(1/12)))</f>
        <v>681.4477604892619</v>
      </c>
      <c r="CN17" s="161">
        <f>IF(CN$1=1,Revenue!$P5*Revenue!$A$23,'Monthly CF'!CM17*((1+HLOOKUP('Monthly CF'!CM$2,Revenue!$S$8:$AC$10,3,0))^(1/12)))</f>
        <v>683.12839450236061</v>
      </c>
      <c r="CO17" s="161">
        <f>IF(CO$1=1,Revenue!$P5*Revenue!$A$23,'Monthly CF'!CN17*((1+HLOOKUP('Monthly CF'!CN$2,Revenue!$S$8:$AC$10,3,0))^(1/12)))</f>
        <v>684.81317341232409</v>
      </c>
      <c r="CP17" s="161">
        <f>IF(CP$1=1,Revenue!$P5*Revenue!$A$23,'Monthly CF'!CO17*((1+HLOOKUP('Monthly CF'!CO$2,Revenue!$S$8:$AC$10,3,0))^(1/12)))</f>
        <v>686.5021074415863</v>
      </c>
      <c r="CQ17" s="161">
        <f>IF(CQ$1=1,Revenue!$P5*Revenue!$A$23,'Monthly CF'!CP17*((1+HLOOKUP('Monthly CF'!CP$2,Revenue!$S$8:$AC$10,3,0))^(1/12)))</f>
        <v>688.19520683779228</v>
      </c>
      <c r="CR17" s="161">
        <f>IF(CR$1=1,Revenue!$P5*Revenue!$A$23,'Monthly CF'!CQ17*((1+HLOOKUP('Monthly CF'!CQ$2,Revenue!$S$8:$AC$10,3,0))^(1/12)))</f>
        <v>689.89248187386056</v>
      </c>
      <c r="CS17" s="161">
        <f>IF(CS$1=1,Revenue!$P5*Revenue!$A$23,'Monthly CF'!CR17*((1+HLOOKUP('Monthly CF'!CR$2,Revenue!$S$8:$AC$10,3,0))^(1/12)))</f>
        <v>691.59394284804569</v>
      </c>
      <c r="CT17" s="161">
        <f>IF(CT$1=1,Revenue!$P5*Revenue!$A$23,'Monthly CF'!CS17*((1+HLOOKUP('Monthly CF'!CS$2,Revenue!$S$8:$AC$10,3,0))^(1/12)))</f>
        <v>693.29960008400019</v>
      </c>
      <c r="CU17" s="161">
        <f>IF(CU$1=1,Revenue!$P5*Revenue!$A$23,'Monthly CF'!CT17*((1+HLOOKUP('Monthly CF'!CT$2,Revenue!$S$8:$AC$10,3,0))^(1/12)))</f>
        <v>695.00946393083757</v>
      </c>
      <c r="CV17" s="161">
        <f>IF(CV$1=1,Revenue!$P5*Revenue!$A$23,'Monthly CF'!CU17*((1+HLOOKUP('Monthly CF'!CU$2,Revenue!$S$8:$AC$10,3,0))^(1/12)))</f>
        <v>696.72354476319515</v>
      </c>
      <c r="CW17" s="161">
        <f>IF(CW$1=1,Revenue!$P5*Revenue!$A$23,'Monthly CF'!CV17*((1+HLOOKUP('Monthly CF'!CV$2,Revenue!$S$8:$AC$10,3,0))^(1/12)))</f>
        <v>698.44185298129685</v>
      </c>
      <c r="CX17" s="161">
        <f>IF(CX$1=1,Revenue!$P5*Revenue!$A$23,'Monthly CF'!CW17*((1+HLOOKUP('Monthly CF'!CW$2,Revenue!$S$8:$AC$10,3,0))^(1/12)))</f>
        <v>700.16439901101637</v>
      </c>
      <c r="CY17" s="161">
        <f>IF(CY$1=1,Revenue!$P5*Revenue!$A$23,'Monthly CF'!CX17*((1+HLOOKUP('Monthly CF'!CX$2,Revenue!$S$8:$AC$10,3,0))^(1/12)))</f>
        <v>701.89119330394044</v>
      </c>
      <c r="CZ17" s="161">
        <f>IF(CZ$1=1,Revenue!$P5*Revenue!$A$23,'Monthly CF'!CY17*((1+HLOOKUP('Monthly CF'!CY$2,Revenue!$S$8:$AC$10,3,0))^(1/12)))</f>
        <v>703.6222463374321</v>
      </c>
      <c r="DA17" s="161">
        <f>IF(DA$1=1,Revenue!$P5*Revenue!$A$23,'Monthly CF'!CZ17*((1+HLOOKUP('Monthly CF'!CZ$2,Revenue!$S$8:$AC$10,3,0))^(1/12)))</f>
        <v>705.35756861469451</v>
      </c>
      <c r="DB17" s="161">
        <f>IF(DB$1=1,Revenue!$P5*Revenue!$A$23,'Monthly CF'!DA17*((1+HLOOKUP('Monthly CF'!DA$2,Revenue!$S$8:$AC$10,3,0))^(1/12)))</f>
        <v>707.09717066483461</v>
      </c>
      <c r="DC17" s="161">
        <f>IF(DC$1=1,Revenue!$P5*Revenue!$A$23,'Monthly CF'!DB17*((1+HLOOKUP('Monthly CF'!DB$2,Revenue!$S$8:$AC$10,3,0))^(1/12)))</f>
        <v>708.84106304292675</v>
      </c>
      <c r="DD17" s="161">
        <f>IF(DD$1=1,Revenue!$P5*Revenue!$A$23,'Monthly CF'!DC17*((1+HLOOKUP('Monthly CF'!DC$2,Revenue!$S$8:$AC$10,3,0))^(1/12)))</f>
        <v>710.58925633007709</v>
      </c>
      <c r="DE17" s="161">
        <f>IF(DE$1=1,Revenue!$P5*Revenue!$A$23,'Monthly CF'!DD17*((1+HLOOKUP('Monthly CF'!DD$2,Revenue!$S$8:$AC$10,3,0))^(1/12)))</f>
        <v>712.34176113348769</v>
      </c>
      <c r="DF17" s="161">
        <f>IF(DF$1=1,Revenue!$P5*Revenue!$A$23,'Monthly CF'!DE17*((1+HLOOKUP('Monthly CF'!DE$2,Revenue!$S$8:$AC$10,3,0))^(1/12)))</f>
        <v>714.09858808652075</v>
      </c>
      <c r="DG17" s="161">
        <f>IF(DG$1=1,Revenue!$P5*Revenue!$A$23,'Monthly CF'!DF17*((1+HLOOKUP('Monthly CF'!DF$2,Revenue!$S$8:$AC$10,3,0))^(1/12)))</f>
        <v>715.85974784876328</v>
      </c>
      <c r="DH17" s="161">
        <f>IF(DH$1=1,Revenue!$P5*Revenue!$A$23,'Monthly CF'!DG17*((1+HLOOKUP('Monthly CF'!DG$2,Revenue!$S$8:$AC$10,3,0))^(1/12)))</f>
        <v>717.62525110609158</v>
      </c>
      <c r="DI17" s="161">
        <f>IF(DI$1=1,Revenue!$P5*Revenue!$A$23,'Monthly CF'!DH17*((1+HLOOKUP('Monthly CF'!DH$2,Revenue!$S$8:$AC$10,3,0))^(1/12)))</f>
        <v>719.3951085707364</v>
      </c>
      <c r="DJ17" s="161">
        <f>IF(DJ$1=1,Revenue!$P5*Revenue!$A$23,'Monthly CF'!DI17*((1+HLOOKUP('Monthly CF'!DI$2,Revenue!$S$8:$AC$10,3,0))^(1/12)))</f>
        <v>721.16933098134757</v>
      </c>
      <c r="DK17" s="161">
        <f>IF(DK$1=1,Revenue!$P5*Revenue!$A$23,'Monthly CF'!DJ17*((1+HLOOKUP('Monthly CF'!DJ$2,Revenue!$S$8:$AC$10,3,0))^(1/12)))</f>
        <v>722.94792910305932</v>
      </c>
      <c r="DL17" s="161">
        <f>IF(DL$1=1,Revenue!$P5*Revenue!$A$23,'Monthly CF'!DK17*((1+HLOOKUP('Monthly CF'!DK$2,Revenue!$S$8:$AC$10,3,0))^(1/12)))</f>
        <v>724.73091372755573</v>
      </c>
      <c r="DM17" s="161">
        <f>IF(DM$1=1,Revenue!$P5*Revenue!$A$23,'Monthly CF'!DL17*((1+HLOOKUP('Monthly CF'!DL$2,Revenue!$S$8:$AC$10,3,0))^(1/12)))</f>
        <v>726.51829567313598</v>
      </c>
      <c r="DN17" s="161">
        <f>IF(DN$1=1,Revenue!$P5*Revenue!$A$23,'Monthly CF'!DM17*((1+HLOOKUP('Monthly CF'!DM$2,Revenue!$S$8:$AC$10,3,0))^(1/12)))</f>
        <v>728.3100857847802</v>
      </c>
      <c r="DO17" s="161">
        <f>IF(DO$1=1,Revenue!$P5*Revenue!$A$23,'Monthly CF'!DN17*((1+HLOOKUP('Monthly CF'!DN$2,Revenue!$S$8:$AC$10,3,0))^(1/12)))</f>
        <v>730.10629493421516</v>
      </c>
      <c r="DP17" s="161">
        <f>IF(DP$1=1,Revenue!$P5*Revenue!$A$23,'Monthly CF'!DO17*((1+HLOOKUP('Monthly CF'!DO$2,Revenue!$S$8:$AC$10,3,0))^(1/12)))</f>
        <v>731.9069340199801</v>
      </c>
      <c r="DQ17" s="161">
        <f>IF(DQ$1=1,Revenue!$P5*Revenue!$A$23,'Monthly CF'!DP17*((1+HLOOKUP('Monthly CF'!DP$2,Revenue!$S$8:$AC$10,3,0))^(1/12)))</f>
        <v>733.71201396749302</v>
      </c>
      <c r="DR17" s="161">
        <f>IF(DR$1=1,Revenue!$P5*Revenue!$A$23,'Monthly CF'!DQ17*((1+HLOOKUP('Monthly CF'!DQ$2,Revenue!$S$8:$AC$10,3,0))^(1/12)))</f>
        <v>735.52154572911707</v>
      </c>
      <c r="DS17" s="161">
        <f>IF(DS$1=1,Revenue!$P5*Revenue!$A$23,'Monthly CF'!DR17*((1+HLOOKUP('Monthly CF'!DR$2,Revenue!$S$8:$AC$10,3,0))^(1/12)))</f>
        <v>737.33554028422691</v>
      </c>
      <c r="DT17" s="161">
        <f>IF(DT$1=1,Revenue!$P5*Revenue!$A$23,'Monthly CF'!DS17*((1+HLOOKUP('Monthly CF'!DS$2,Revenue!$S$8:$AC$10,3,0))^(1/12)))</f>
        <v>739.15400863927505</v>
      </c>
      <c r="DU17" s="161">
        <f>IF(DU$1=1,Revenue!$P5*Revenue!$A$23,'Monthly CF'!DT17*((1+HLOOKUP('Monthly CF'!DT$2,Revenue!$S$8:$AC$10,3,0))^(1/12)))</f>
        <v>740.97696182785921</v>
      </c>
      <c r="DV17" s="161">
        <f>IF(DV$1=1,Revenue!$P5*Revenue!$A$23,'Monthly CF'!DU17*((1+HLOOKUP('Monthly CF'!DU$2,Revenue!$S$8:$AC$10,3,0))^(1/12)))</f>
        <v>742.80441091078865</v>
      </c>
      <c r="DW17" s="161">
        <f>IF(DW$1=1,Revenue!$P5*Revenue!$A$23,'Monthly CF'!DV17*((1+HLOOKUP('Monthly CF'!DV$2,Revenue!$S$8:$AC$10,3,0))^(1/12)))</f>
        <v>744.63636697615175</v>
      </c>
      <c r="DX17" s="161">
        <f>IF(DX$1=1,Revenue!$P5*Revenue!$A$23,'Monthly CF'!DW17*((1+HLOOKUP('Monthly CF'!DW$2,Revenue!$S$8:$AC$10,3,0))^(1/12)))</f>
        <v>746.47284113938304</v>
      </c>
      <c r="DY17" s="161">
        <f>IF(DY$1=1,Revenue!$P5*Revenue!$A$23,'Monthly CF'!DX17*((1+HLOOKUP('Monthly CF'!DX$2,Revenue!$S$8:$AC$10,3,0))^(1/12)))</f>
        <v>748.31384454333079</v>
      </c>
      <c r="DZ17" s="161">
        <f>IF(DZ$1=1,Revenue!$P5*Revenue!$A$23,'Monthly CF'!DY17*((1+HLOOKUP('Monthly CF'!DY$2,Revenue!$S$8:$AC$10,3,0))^(1/12)))</f>
        <v>750.15938835832435</v>
      </c>
      <c r="EA17" s="161">
        <f>IF(EA$1=1,Revenue!$P5*Revenue!$A$23,'Monthly CF'!DZ17*((1+HLOOKUP('Monthly CF'!DZ$2,Revenue!$S$8:$AC$10,3,0))^(1/12)))</f>
        <v>752.00948378224234</v>
      </c>
      <c r="EB17" s="161">
        <f>IF(EB$1=1,Revenue!$P5*Revenue!$A$23,'Monthly CF'!EA17*((1+HLOOKUP('Monthly CF'!EA$2,Revenue!$S$8:$AC$10,3,0))^(1/12)))</f>
        <v>753.86414204058019</v>
      </c>
      <c r="EC17" s="161">
        <f>IF(EC$1=1,Revenue!$P5*Revenue!$A$23,'Monthly CF'!EB17*((1+HLOOKUP('Monthly CF'!EB$2,Revenue!$S$8:$AC$10,3,0))^(1/12)))</f>
        <v>755.72337438651857</v>
      </c>
      <c r="ED17" s="161">
        <f>IF(ED$1=1,Revenue!$P5*Revenue!$A$23,'Monthly CF'!EC17*((1+HLOOKUP('Monthly CF'!EC$2,Revenue!$S$8:$AC$10,3,0))^(1/12)))</f>
        <v>757.58719210099139</v>
      </c>
      <c r="EE17" s="162">
        <f>IF(EE$1=1,Revenue!$P5*Revenue!$A$23,'Monthly CF'!ED17*((1+HLOOKUP('Monthly CF'!ED$2,Revenue!$S$8:$AC$10,3,0))^(1/12)))</f>
        <v>759.45560649275444</v>
      </c>
    </row>
    <row r="18" spans="1:135" x14ac:dyDescent="0.35">
      <c r="A18" s="168">
        <f>SUMIF($C$1:$EE$1,"&lt;="&amp;Summary!$K$19,'Monthly CF'!C18:EE18)</f>
        <v>0</v>
      </c>
      <c r="B18" s="5" t="str">
        <f>Revenue!O6</f>
        <v>Garage Income</v>
      </c>
      <c r="C18" s="160"/>
      <c r="D18" s="161">
        <f>IF(D$1=1,Revenue!$P6*Revenue!$A$23,'Monthly CF'!C18*((1+HLOOKUP('Monthly CF'!C$2,Revenue!$S$8:$AC$10,3,0))^(1/12)))</f>
        <v>0</v>
      </c>
      <c r="E18" s="161">
        <f>IF(E$1=1,Revenue!$P6*Revenue!$A$23,'Monthly CF'!D18*((1+HLOOKUP('Monthly CF'!D$2,Revenue!$S$8:$AC$10,3,0))^(1/12)))</f>
        <v>0</v>
      </c>
      <c r="F18" s="161">
        <f>IF(F$1=1,Revenue!$P6*Revenue!$A$23,'Monthly CF'!E18*((1+HLOOKUP('Monthly CF'!E$2,Revenue!$S$8:$AC$10,3,0))^(1/12)))</f>
        <v>0</v>
      </c>
      <c r="G18" s="161">
        <f>IF(G$1=1,Revenue!$P6*Revenue!$A$23,'Monthly CF'!F18*((1+HLOOKUP('Monthly CF'!F$2,Revenue!$S$8:$AC$10,3,0))^(1/12)))</f>
        <v>0</v>
      </c>
      <c r="H18" s="161">
        <f>IF(H$1=1,Revenue!$P6*Revenue!$A$23,'Monthly CF'!G18*((1+HLOOKUP('Monthly CF'!G$2,Revenue!$S$8:$AC$10,3,0))^(1/12)))</f>
        <v>0</v>
      </c>
      <c r="I18" s="161">
        <f>IF(I$1=1,Revenue!$P6*Revenue!$A$23,'Monthly CF'!H18*((1+HLOOKUP('Monthly CF'!H$2,Revenue!$S$8:$AC$10,3,0))^(1/12)))</f>
        <v>0</v>
      </c>
      <c r="J18" s="161">
        <f>IF(J$1=1,Revenue!$P6*Revenue!$A$23,'Monthly CF'!I18*((1+HLOOKUP('Monthly CF'!I$2,Revenue!$S$8:$AC$10,3,0))^(1/12)))</f>
        <v>0</v>
      </c>
      <c r="K18" s="161">
        <f>IF(K$1=1,Revenue!$P6*Revenue!$A$23,'Monthly CF'!J18*((1+HLOOKUP('Monthly CF'!J$2,Revenue!$S$8:$AC$10,3,0))^(1/12)))</f>
        <v>0</v>
      </c>
      <c r="L18" s="161">
        <f>IF(L$1=1,Revenue!$P6*Revenue!$A$23,'Monthly CF'!K18*((1+HLOOKUP('Monthly CF'!K$2,Revenue!$S$8:$AC$10,3,0))^(1/12)))</f>
        <v>0</v>
      </c>
      <c r="M18" s="161">
        <f>IF(M$1=1,Revenue!$P6*Revenue!$A$23,'Monthly CF'!L18*((1+HLOOKUP('Monthly CF'!L$2,Revenue!$S$8:$AC$10,3,0))^(1/12)))</f>
        <v>0</v>
      </c>
      <c r="N18" s="161">
        <f>IF(N$1=1,Revenue!$P6*Revenue!$A$23,'Monthly CF'!M18*((1+HLOOKUP('Monthly CF'!M$2,Revenue!$S$8:$AC$10,3,0))^(1/12)))</f>
        <v>0</v>
      </c>
      <c r="O18" s="161">
        <f>IF(O$1=1,Revenue!$P6*Revenue!$A$23,'Monthly CF'!N18*((1+HLOOKUP('Monthly CF'!N$2,Revenue!$S$8:$AC$10,3,0))^(1/12)))</f>
        <v>0</v>
      </c>
      <c r="P18" s="161">
        <f>IF(P$1=1,Revenue!$P6*Revenue!$A$23,'Monthly CF'!O18*((1+HLOOKUP('Monthly CF'!O$2,Revenue!$S$8:$AC$10,3,0))^(1/12)))</f>
        <v>0</v>
      </c>
      <c r="Q18" s="161">
        <f>IF(Q$1=1,Revenue!$P6*Revenue!$A$23,'Monthly CF'!P18*((1+HLOOKUP('Monthly CF'!P$2,Revenue!$S$8:$AC$10,3,0))^(1/12)))</f>
        <v>0</v>
      </c>
      <c r="R18" s="161">
        <f>IF(R$1=1,Revenue!$P6*Revenue!$A$23,'Monthly CF'!Q18*((1+HLOOKUP('Monthly CF'!Q$2,Revenue!$S$8:$AC$10,3,0))^(1/12)))</f>
        <v>0</v>
      </c>
      <c r="S18" s="161">
        <f>IF(S$1=1,Revenue!$P6*Revenue!$A$23,'Monthly CF'!R18*((1+HLOOKUP('Monthly CF'!R$2,Revenue!$S$8:$AC$10,3,0))^(1/12)))</f>
        <v>0</v>
      </c>
      <c r="T18" s="161">
        <f>IF(T$1=1,Revenue!$P6*Revenue!$A$23,'Monthly CF'!S18*((1+HLOOKUP('Monthly CF'!S$2,Revenue!$S$8:$AC$10,3,0))^(1/12)))</f>
        <v>0</v>
      </c>
      <c r="U18" s="161">
        <f>IF(U$1=1,Revenue!$P6*Revenue!$A$23,'Monthly CF'!T18*((1+HLOOKUP('Monthly CF'!T$2,Revenue!$S$8:$AC$10,3,0))^(1/12)))</f>
        <v>0</v>
      </c>
      <c r="V18" s="161">
        <f>IF(V$1=1,Revenue!$P6*Revenue!$A$23,'Monthly CF'!U18*((1+HLOOKUP('Monthly CF'!U$2,Revenue!$S$8:$AC$10,3,0))^(1/12)))</f>
        <v>0</v>
      </c>
      <c r="W18" s="161">
        <f>IF(W$1=1,Revenue!$P6*Revenue!$A$23,'Monthly CF'!V18*((1+HLOOKUP('Monthly CF'!V$2,Revenue!$S$8:$AC$10,3,0))^(1/12)))</f>
        <v>0</v>
      </c>
      <c r="X18" s="161">
        <f>IF(X$1=1,Revenue!$P6*Revenue!$A$23,'Monthly CF'!W18*((1+HLOOKUP('Monthly CF'!W$2,Revenue!$S$8:$AC$10,3,0))^(1/12)))</f>
        <v>0</v>
      </c>
      <c r="Y18" s="161">
        <f>IF(Y$1=1,Revenue!$P6*Revenue!$A$23,'Monthly CF'!X18*((1+HLOOKUP('Monthly CF'!X$2,Revenue!$S$8:$AC$10,3,0))^(1/12)))</f>
        <v>0</v>
      </c>
      <c r="Z18" s="161">
        <f>IF(Z$1=1,Revenue!$P6*Revenue!$A$23,'Monthly CF'!Y18*((1+HLOOKUP('Monthly CF'!Y$2,Revenue!$S$8:$AC$10,3,0))^(1/12)))</f>
        <v>0</v>
      </c>
      <c r="AA18" s="161">
        <f>IF(AA$1=1,Revenue!$P6*Revenue!$A$23,'Monthly CF'!Z18*((1+HLOOKUP('Monthly CF'!Z$2,Revenue!$S$8:$AC$10,3,0))^(1/12)))</f>
        <v>0</v>
      </c>
      <c r="AB18" s="161">
        <f>IF(AB$1=1,Revenue!$P6*Revenue!$A$23,'Monthly CF'!AA18*((1+HLOOKUP('Monthly CF'!AA$2,Revenue!$S$8:$AC$10,3,0))^(1/12)))</f>
        <v>0</v>
      </c>
      <c r="AC18" s="161">
        <f>IF(AC$1=1,Revenue!$P6*Revenue!$A$23,'Monthly CF'!AB18*((1+HLOOKUP('Monthly CF'!AB$2,Revenue!$S$8:$AC$10,3,0))^(1/12)))</f>
        <v>0</v>
      </c>
      <c r="AD18" s="161">
        <f>IF(AD$1=1,Revenue!$P6*Revenue!$A$23,'Monthly CF'!AC18*((1+HLOOKUP('Monthly CF'!AC$2,Revenue!$S$8:$AC$10,3,0))^(1/12)))</f>
        <v>0</v>
      </c>
      <c r="AE18" s="161">
        <f>IF(AE$1=1,Revenue!$P6*Revenue!$A$23,'Monthly CF'!AD18*((1+HLOOKUP('Monthly CF'!AD$2,Revenue!$S$8:$AC$10,3,0))^(1/12)))</f>
        <v>0</v>
      </c>
      <c r="AF18" s="161">
        <f>IF(AF$1=1,Revenue!$P6*Revenue!$A$23,'Monthly CF'!AE18*((1+HLOOKUP('Monthly CF'!AE$2,Revenue!$S$8:$AC$10,3,0))^(1/12)))</f>
        <v>0</v>
      </c>
      <c r="AG18" s="161">
        <f>IF(AG$1=1,Revenue!$P6*Revenue!$A$23,'Monthly CF'!AF18*((1+HLOOKUP('Monthly CF'!AF$2,Revenue!$S$8:$AC$10,3,0))^(1/12)))</f>
        <v>0</v>
      </c>
      <c r="AH18" s="161">
        <f>IF(AH$1=1,Revenue!$P6*Revenue!$A$23,'Monthly CF'!AG18*((1+HLOOKUP('Monthly CF'!AG$2,Revenue!$S$8:$AC$10,3,0))^(1/12)))</f>
        <v>0</v>
      </c>
      <c r="AI18" s="161">
        <f>IF(AI$1=1,Revenue!$P6*Revenue!$A$23,'Monthly CF'!AH18*((1+HLOOKUP('Monthly CF'!AH$2,Revenue!$S$8:$AC$10,3,0))^(1/12)))</f>
        <v>0</v>
      </c>
      <c r="AJ18" s="161">
        <f>IF(AJ$1=1,Revenue!$P6*Revenue!$A$23,'Monthly CF'!AI18*((1+HLOOKUP('Monthly CF'!AI$2,Revenue!$S$8:$AC$10,3,0))^(1/12)))</f>
        <v>0</v>
      </c>
      <c r="AK18" s="161">
        <f>IF(AK$1=1,Revenue!$P6*Revenue!$A$23,'Monthly CF'!AJ18*((1+HLOOKUP('Monthly CF'!AJ$2,Revenue!$S$8:$AC$10,3,0))^(1/12)))</f>
        <v>0</v>
      </c>
      <c r="AL18" s="161">
        <f>IF(AL$1=1,Revenue!$P6*Revenue!$A$23,'Monthly CF'!AK18*((1+HLOOKUP('Monthly CF'!AK$2,Revenue!$S$8:$AC$10,3,0))^(1/12)))</f>
        <v>0</v>
      </c>
      <c r="AM18" s="161">
        <f>IF(AM$1=1,Revenue!$P6*Revenue!$A$23,'Monthly CF'!AL18*((1+HLOOKUP('Monthly CF'!AL$2,Revenue!$S$8:$AC$10,3,0))^(1/12)))</f>
        <v>0</v>
      </c>
      <c r="AN18" s="161">
        <f>IF(AN$1=1,Revenue!$P6*Revenue!$A$23,'Monthly CF'!AM18*((1+HLOOKUP('Monthly CF'!AM$2,Revenue!$S$8:$AC$10,3,0))^(1/12)))</f>
        <v>0</v>
      </c>
      <c r="AO18" s="161">
        <f>IF(AO$1=1,Revenue!$P6*Revenue!$A$23,'Monthly CF'!AN18*((1+HLOOKUP('Monthly CF'!AN$2,Revenue!$S$8:$AC$10,3,0))^(1/12)))</f>
        <v>0</v>
      </c>
      <c r="AP18" s="161">
        <f>IF(AP$1=1,Revenue!$P6*Revenue!$A$23,'Monthly CF'!AO18*((1+HLOOKUP('Monthly CF'!AO$2,Revenue!$S$8:$AC$10,3,0))^(1/12)))</f>
        <v>0</v>
      </c>
      <c r="AQ18" s="161">
        <f>IF(AQ$1=1,Revenue!$P6*Revenue!$A$23,'Monthly CF'!AP18*((1+HLOOKUP('Monthly CF'!AP$2,Revenue!$S$8:$AC$10,3,0))^(1/12)))</f>
        <v>0</v>
      </c>
      <c r="AR18" s="161">
        <f>IF(AR$1=1,Revenue!$P6*Revenue!$A$23,'Monthly CF'!AQ18*((1+HLOOKUP('Monthly CF'!AQ$2,Revenue!$S$8:$AC$10,3,0))^(1/12)))</f>
        <v>0</v>
      </c>
      <c r="AS18" s="161">
        <f>IF(AS$1=1,Revenue!$P6*Revenue!$A$23,'Monthly CF'!AR18*((1+HLOOKUP('Monthly CF'!AR$2,Revenue!$S$8:$AC$10,3,0))^(1/12)))</f>
        <v>0</v>
      </c>
      <c r="AT18" s="161">
        <f>IF(AT$1=1,Revenue!$P6*Revenue!$A$23,'Monthly CF'!AS18*((1+HLOOKUP('Monthly CF'!AS$2,Revenue!$S$8:$AC$10,3,0))^(1/12)))</f>
        <v>0</v>
      </c>
      <c r="AU18" s="161">
        <f>IF(AU$1=1,Revenue!$P6*Revenue!$A$23,'Monthly CF'!AT18*((1+HLOOKUP('Monthly CF'!AT$2,Revenue!$S$8:$AC$10,3,0))^(1/12)))</f>
        <v>0</v>
      </c>
      <c r="AV18" s="161">
        <f>IF(AV$1=1,Revenue!$P6*Revenue!$A$23,'Monthly CF'!AU18*((1+HLOOKUP('Monthly CF'!AU$2,Revenue!$S$8:$AC$10,3,0))^(1/12)))</f>
        <v>0</v>
      </c>
      <c r="AW18" s="161">
        <f>IF(AW$1=1,Revenue!$P6*Revenue!$A$23,'Monthly CF'!AV18*((1+HLOOKUP('Monthly CF'!AV$2,Revenue!$S$8:$AC$10,3,0))^(1/12)))</f>
        <v>0</v>
      </c>
      <c r="AX18" s="161">
        <f>IF(AX$1=1,Revenue!$P6*Revenue!$A$23,'Monthly CF'!AW18*((1+HLOOKUP('Monthly CF'!AW$2,Revenue!$S$8:$AC$10,3,0))^(1/12)))</f>
        <v>0</v>
      </c>
      <c r="AY18" s="161">
        <f>IF(AY$1=1,Revenue!$P6*Revenue!$A$23,'Monthly CF'!AX18*((1+HLOOKUP('Monthly CF'!AX$2,Revenue!$S$8:$AC$10,3,0))^(1/12)))</f>
        <v>0</v>
      </c>
      <c r="AZ18" s="161">
        <f>IF(AZ$1=1,Revenue!$P6*Revenue!$A$23,'Monthly CF'!AY18*((1+HLOOKUP('Monthly CF'!AY$2,Revenue!$S$8:$AC$10,3,0))^(1/12)))</f>
        <v>0</v>
      </c>
      <c r="BA18" s="161">
        <f>IF(BA$1=1,Revenue!$P6*Revenue!$A$23,'Monthly CF'!AZ18*((1+HLOOKUP('Monthly CF'!AZ$2,Revenue!$S$8:$AC$10,3,0))^(1/12)))</f>
        <v>0</v>
      </c>
      <c r="BB18" s="161">
        <f>IF(BB$1=1,Revenue!$P6*Revenue!$A$23,'Monthly CF'!BA18*((1+HLOOKUP('Monthly CF'!BA$2,Revenue!$S$8:$AC$10,3,0))^(1/12)))</f>
        <v>0</v>
      </c>
      <c r="BC18" s="161">
        <f>IF(BC$1=1,Revenue!$P6*Revenue!$A$23,'Monthly CF'!BB18*((1+HLOOKUP('Monthly CF'!BB$2,Revenue!$S$8:$AC$10,3,0))^(1/12)))</f>
        <v>0</v>
      </c>
      <c r="BD18" s="161">
        <f>IF(BD$1=1,Revenue!$P6*Revenue!$A$23,'Monthly CF'!BC18*((1+HLOOKUP('Monthly CF'!BC$2,Revenue!$S$8:$AC$10,3,0))^(1/12)))</f>
        <v>0</v>
      </c>
      <c r="BE18" s="161">
        <f>IF(BE$1=1,Revenue!$P6*Revenue!$A$23,'Monthly CF'!BD18*((1+HLOOKUP('Monthly CF'!BD$2,Revenue!$S$8:$AC$10,3,0))^(1/12)))</f>
        <v>0</v>
      </c>
      <c r="BF18" s="161">
        <f>IF(BF$1=1,Revenue!$P6*Revenue!$A$23,'Monthly CF'!BE18*((1+HLOOKUP('Monthly CF'!BE$2,Revenue!$S$8:$AC$10,3,0))^(1/12)))</f>
        <v>0</v>
      </c>
      <c r="BG18" s="161">
        <f>IF(BG$1=1,Revenue!$P6*Revenue!$A$23,'Monthly CF'!BF18*((1+HLOOKUP('Monthly CF'!BF$2,Revenue!$S$8:$AC$10,3,0))^(1/12)))</f>
        <v>0</v>
      </c>
      <c r="BH18" s="161">
        <f>IF(BH$1=1,Revenue!$P6*Revenue!$A$23,'Monthly CF'!BG18*((1+HLOOKUP('Monthly CF'!BG$2,Revenue!$S$8:$AC$10,3,0))^(1/12)))</f>
        <v>0</v>
      </c>
      <c r="BI18" s="161">
        <f>IF(BI$1=1,Revenue!$P6*Revenue!$A$23,'Monthly CF'!BH18*((1+HLOOKUP('Monthly CF'!BH$2,Revenue!$S$8:$AC$10,3,0))^(1/12)))</f>
        <v>0</v>
      </c>
      <c r="BJ18" s="161">
        <f>IF(BJ$1=1,Revenue!$P6*Revenue!$A$23,'Monthly CF'!BI18*((1+HLOOKUP('Monthly CF'!BI$2,Revenue!$S$8:$AC$10,3,0))^(1/12)))</f>
        <v>0</v>
      </c>
      <c r="BK18" s="161">
        <f>IF(BK$1=1,Revenue!$P6*Revenue!$A$23,'Monthly CF'!BJ18*((1+HLOOKUP('Monthly CF'!BJ$2,Revenue!$S$8:$AC$10,3,0))^(1/12)))</f>
        <v>0</v>
      </c>
      <c r="BL18" s="161">
        <f>IF(BL$1=1,Revenue!$P6*Revenue!$A$23,'Monthly CF'!BK18*((1+HLOOKUP('Monthly CF'!BK$2,Revenue!$S$8:$AC$10,3,0))^(1/12)))</f>
        <v>0</v>
      </c>
      <c r="BM18" s="161">
        <f>IF(BM$1=1,Revenue!$P6*Revenue!$A$23,'Monthly CF'!BL18*((1+HLOOKUP('Monthly CF'!BL$2,Revenue!$S$8:$AC$10,3,0))^(1/12)))</f>
        <v>0</v>
      </c>
      <c r="BN18" s="161">
        <f>IF(BN$1=1,Revenue!$P6*Revenue!$A$23,'Monthly CF'!BM18*((1+HLOOKUP('Monthly CF'!BM$2,Revenue!$S$8:$AC$10,3,0))^(1/12)))</f>
        <v>0</v>
      </c>
      <c r="BO18" s="161">
        <f>IF(BO$1=1,Revenue!$P6*Revenue!$A$23,'Monthly CF'!BN18*((1+HLOOKUP('Monthly CF'!BN$2,Revenue!$S$8:$AC$10,3,0))^(1/12)))</f>
        <v>0</v>
      </c>
      <c r="BP18" s="161">
        <f>IF(BP$1=1,Revenue!$P6*Revenue!$A$23,'Monthly CF'!BO18*((1+HLOOKUP('Monthly CF'!BO$2,Revenue!$S$8:$AC$10,3,0))^(1/12)))</f>
        <v>0</v>
      </c>
      <c r="BQ18" s="161">
        <f>IF(BQ$1=1,Revenue!$P6*Revenue!$A$23,'Monthly CF'!BP18*((1+HLOOKUP('Monthly CF'!BP$2,Revenue!$S$8:$AC$10,3,0))^(1/12)))</f>
        <v>0</v>
      </c>
      <c r="BR18" s="161">
        <f>IF(BR$1=1,Revenue!$P6*Revenue!$A$23,'Monthly CF'!BQ18*((1+HLOOKUP('Monthly CF'!BQ$2,Revenue!$S$8:$AC$10,3,0))^(1/12)))</f>
        <v>0</v>
      </c>
      <c r="BS18" s="161">
        <f>IF(BS$1=1,Revenue!$P6*Revenue!$A$23,'Monthly CF'!BR18*((1+HLOOKUP('Monthly CF'!BR$2,Revenue!$S$8:$AC$10,3,0))^(1/12)))</f>
        <v>0</v>
      </c>
      <c r="BT18" s="161">
        <f>IF(BT$1=1,Revenue!$P6*Revenue!$A$23,'Monthly CF'!BS18*((1+HLOOKUP('Monthly CF'!BS$2,Revenue!$S$8:$AC$10,3,0))^(1/12)))</f>
        <v>0</v>
      </c>
      <c r="BU18" s="161">
        <f>IF(BU$1=1,Revenue!$P6*Revenue!$A$23,'Monthly CF'!BT18*((1+HLOOKUP('Monthly CF'!BT$2,Revenue!$S$8:$AC$10,3,0))^(1/12)))</f>
        <v>0</v>
      </c>
      <c r="BV18" s="161">
        <f>IF(BV$1=1,Revenue!$P6*Revenue!$A$23,'Monthly CF'!BU18*((1+HLOOKUP('Monthly CF'!BU$2,Revenue!$S$8:$AC$10,3,0))^(1/12)))</f>
        <v>0</v>
      </c>
      <c r="BW18" s="161">
        <f>IF(BW$1=1,Revenue!$P6*Revenue!$A$23,'Monthly CF'!BV18*((1+HLOOKUP('Monthly CF'!BV$2,Revenue!$S$8:$AC$10,3,0))^(1/12)))</f>
        <v>0</v>
      </c>
      <c r="BX18" s="161">
        <f>IF(BX$1=1,Revenue!$P6*Revenue!$A$23,'Monthly CF'!BW18*((1+HLOOKUP('Monthly CF'!BW$2,Revenue!$S$8:$AC$10,3,0))^(1/12)))</f>
        <v>0</v>
      </c>
      <c r="BY18" s="161">
        <f>IF(BY$1=1,Revenue!$P6*Revenue!$A$23,'Monthly CF'!BX18*((1+HLOOKUP('Monthly CF'!BX$2,Revenue!$S$8:$AC$10,3,0))^(1/12)))</f>
        <v>0</v>
      </c>
      <c r="BZ18" s="161">
        <f>IF(BZ$1=1,Revenue!$P6*Revenue!$A$23,'Monthly CF'!BY18*((1+HLOOKUP('Monthly CF'!BY$2,Revenue!$S$8:$AC$10,3,0))^(1/12)))</f>
        <v>0</v>
      </c>
      <c r="CA18" s="161">
        <f>IF(CA$1=1,Revenue!$P6*Revenue!$A$23,'Monthly CF'!BZ18*((1+HLOOKUP('Monthly CF'!BZ$2,Revenue!$S$8:$AC$10,3,0))^(1/12)))</f>
        <v>0</v>
      </c>
      <c r="CB18" s="161">
        <f>IF(CB$1=1,Revenue!$P6*Revenue!$A$23,'Monthly CF'!CA18*((1+HLOOKUP('Monthly CF'!CA$2,Revenue!$S$8:$AC$10,3,0))^(1/12)))</f>
        <v>0</v>
      </c>
      <c r="CC18" s="161">
        <f>IF(CC$1=1,Revenue!$P6*Revenue!$A$23,'Monthly CF'!CB18*((1+HLOOKUP('Monthly CF'!CB$2,Revenue!$S$8:$AC$10,3,0))^(1/12)))</f>
        <v>0</v>
      </c>
      <c r="CD18" s="161">
        <f>IF(CD$1=1,Revenue!$P6*Revenue!$A$23,'Monthly CF'!CC18*((1+HLOOKUP('Monthly CF'!CC$2,Revenue!$S$8:$AC$10,3,0))^(1/12)))</f>
        <v>0</v>
      </c>
      <c r="CE18" s="161">
        <f>IF(CE$1=1,Revenue!$P6*Revenue!$A$23,'Monthly CF'!CD18*((1+HLOOKUP('Monthly CF'!CD$2,Revenue!$S$8:$AC$10,3,0))^(1/12)))</f>
        <v>0</v>
      </c>
      <c r="CF18" s="161">
        <f>IF(CF$1=1,Revenue!$P6*Revenue!$A$23,'Monthly CF'!CE18*((1+HLOOKUP('Monthly CF'!CE$2,Revenue!$S$8:$AC$10,3,0))^(1/12)))</f>
        <v>0</v>
      </c>
      <c r="CG18" s="161">
        <f>IF(CG$1=1,Revenue!$P6*Revenue!$A$23,'Monthly CF'!CF18*((1+HLOOKUP('Monthly CF'!CF$2,Revenue!$S$8:$AC$10,3,0))^(1/12)))</f>
        <v>0</v>
      </c>
      <c r="CH18" s="161">
        <f>IF(CH$1=1,Revenue!$P6*Revenue!$A$23,'Monthly CF'!CG18*((1+HLOOKUP('Monthly CF'!CG$2,Revenue!$S$8:$AC$10,3,0))^(1/12)))</f>
        <v>0</v>
      </c>
      <c r="CI18" s="161">
        <f>IF(CI$1=1,Revenue!$P6*Revenue!$A$23,'Monthly CF'!CH18*((1+HLOOKUP('Monthly CF'!CH$2,Revenue!$S$8:$AC$10,3,0))^(1/12)))</f>
        <v>0</v>
      </c>
      <c r="CJ18" s="161">
        <f>IF(CJ$1=1,Revenue!$P6*Revenue!$A$23,'Monthly CF'!CI18*((1+HLOOKUP('Monthly CF'!CI$2,Revenue!$S$8:$AC$10,3,0))^(1/12)))</f>
        <v>0</v>
      </c>
      <c r="CK18" s="161">
        <f>IF(CK$1=1,Revenue!$P6*Revenue!$A$23,'Monthly CF'!CJ18*((1+HLOOKUP('Monthly CF'!CJ$2,Revenue!$S$8:$AC$10,3,0))^(1/12)))</f>
        <v>0</v>
      </c>
      <c r="CL18" s="161">
        <f>IF(CL$1=1,Revenue!$P6*Revenue!$A$23,'Monthly CF'!CK18*((1+HLOOKUP('Monthly CF'!CK$2,Revenue!$S$8:$AC$10,3,0))^(1/12)))</f>
        <v>0</v>
      </c>
      <c r="CM18" s="161">
        <f>IF(CM$1=1,Revenue!$P6*Revenue!$A$23,'Monthly CF'!CL18*((1+HLOOKUP('Monthly CF'!CL$2,Revenue!$S$8:$AC$10,3,0))^(1/12)))</f>
        <v>0</v>
      </c>
      <c r="CN18" s="161">
        <f>IF(CN$1=1,Revenue!$P6*Revenue!$A$23,'Monthly CF'!CM18*((1+HLOOKUP('Monthly CF'!CM$2,Revenue!$S$8:$AC$10,3,0))^(1/12)))</f>
        <v>0</v>
      </c>
      <c r="CO18" s="161">
        <f>IF(CO$1=1,Revenue!$P6*Revenue!$A$23,'Monthly CF'!CN18*((1+HLOOKUP('Monthly CF'!CN$2,Revenue!$S$8:$AC$10,3,0))^(1/12)))</f>
        <v>0</v>
      </c>
      <c r="CP18" s="161">
        <f>IF(CP$1=1,Revenue!$P6*Revenue!$A$23,'Monthly CF'!CO18*((1+HLOOKUP('Monthly CF'!CO$2,Revenue!$S$8:$AC$10,3,0))^(1/12)))</f>
        <v>0</v>
      </c>
      <c r="CQ18" s="161">
        <f>IF(CQ$1=1,Revenue!$P6*Revenue!$A$23,'Monthly CF'!CP18*((1+HLOOKUP('Monthly CF'!CP$2,Revenue!$S$8:$AC$10,3,0))^(1/12)))</f>
        <v>0</v>
      </c>
      <c r="CR18" s="161">
        <f>IF(CR$1=1,Revenue!$P6*Revenue!$A$23,'Monthly CF'!CQ18*((1+HLOOKUP('Monthly CF'!CQ$2,Revenue!$S$8:$AC$10,3,0))^(1/12)))</f>
        <v>0</v>
      </c>
      <c r="CS18" s="161">
        <f>IF(CS$1=1,Revenue!$P6*Revenue!$A$23,'Monthly CF'!CR18*((1+HLOOKUP('Monthly CF'!CR$2,Revenue!$S$8:$AC$10,3,0))^(1/12)))</f>
        <v>0</v>
      </c>
      <c r="CT18" s="161">
        <f>IF(CT$1=1,Revenue!$P6*Revenue!$A$23,'Monthly CF'!CS18*((1+HLOOKUP('Monthly CF'!CS$2,Revenue!$S$8:$AC$10,3,0))^(1/12)))</f>
        <v>0</v>
      </c>
      <c r="CU18" s="161">
        <f>IF(CU$1=1,Revenue!$P6*Revenue!$A$23,'Monthly CF'!CT18*((1+HLOOKUP('Monthly CF'!CT$2,Revenue!$S$8:$AC$10,3,0))^(1/12)))</f>
        <v>0</v>
      </c>
      <c r="CV18" s="161">
        <f>IF(CV$1=1,Revenue!$P6*Revenue!$A$23,'Monthly CF'!CU18*((1+HLOOKUP('Monthly CF'!CU$2,Revenue!$S$8:$AC$10,3,0))^(1/12)))</f>
        <v>0</v>
      </c>
      <c r="CW18" s="161">
        <f>IF(CW$1=1,Revenue!$P6*Revenue!$A$23,'Monthly CF'!CV18*((1+HLOOKUP('Monthly CF'!CV$2,Revenue!$S$8:$AC$10,3,0))^(1/12)))</f>
        <v>0</v>
      </c>
      <c r="CX18" s="161">
        <f>IF(CX$1=1,Revenue!$P6*Revenue!$A$23,'Monthly CF'!CW18*((1+HLOOKUP('Monthly CF'!CW$2,Revenue!$S$8:$AC$10,3,0))^(1/12)))</f>
        <v>0</v>
      </c>
      <c r="CY18" s="161">
        <f>IF(CY$1=1,Revenue!$P6*Revenue!$A$23,'Monthly CF'!CX18*((1+HLOOKUP('Monthly CF'!CX$2,Revenue!$S$8:$AC$10,3,0))^(1/12)))</f>
        <v>0</v>
      </c>
      <c r="CZ18" s="161">
        <f>IF(CZ$1=1,Revenue!$P6*Revenue!$A$23,'Monthly CF'!CY18*((1+HLOOKUP('Monthly CF'!CY$2,Revenue!$S$8:$AC$10,3,0))^(1/12)))</f>
        <v>0</v>
      </c>
      <c r="DA18" s="161">
        <f>IF(DA$1=1,Revenue!$P6*Revenue!$A$23,'Monthly CF'!CZ18*((1+HLOOKUP('Monthly CF'!CZ$2,Revenue!$S$8:$AC$10,3,0))^(1/12)))</f>
        <v>0</v>
      </c>
      <c r="DB18" s="161">
        <f>IF(DB$1=1,Revenue!$P6*Revenue!$A$23,'Monthly CF'!DA18*((1+HLOOKUP('Monthly CF'!DA$2,Revenue!$S$8:$AC$10,3,0))^(1/12)))</f>
        <v>0</v>
      </c>
      <c r="DC18" s="161">
        <f>IF(DC$1=1,Revenue!$P6*Revenue!$A$23,'Monthly CF'!DB18*((1+HLOOKUP('Monthly CF'!DB$2,Revenue!$S$8:$AC$10,3,0))^(1/12)))</f>
        <v>0</v>
      </c>
      <c r="DD18" s="161">
        <f>IF(DD$1=1,Revenue!$P6*Revenue!$A$23,'Monthly CF'!DC18*((1+HLOOKUP('Monthly CF'!DC$2,Revenue!$S$8:$AC$10,3,0))^(1/12)))</f>
        <v>0</v>
      </c>
      <c r="DE18" s="161">
        <f>IF(DE$1=1,Revenue!$P6*Revenue!$A$23,'Monthly CF'!DD18*((1+HLOOKUP('Monthly CF'!DD$2,Revenue!$S$8:$AC$10,3,0))^(1/12)))</f>
        <v>0</v>
      </c>
      <c r="DF18" s="161">
        <f>IF(DF$1=1,Revenue!$P6*Revenue!$A$23,'Monthly CF'!DE18*((1+HLOOKUP('Monthly CF'!DE$2,Revenue!$S$8:$AC$10,3,0))^(1/12)))</f>
        <v>0</v>
      </c>
      <c r="DG18" s="161">
        <f>IF(DG$1=1,Revenue!$P6*Revenue!$A$23,'Monthly CF'!DF18*((1+HLOOKUP('Monthly CF'!DF$2,Revenue!$S$8:$AC$10,3,0))^(1/12)))</f>
        <v>0</v>
      </c>
      <c r="DH18" s="161">
        <f>IF(DH$1=1,Revenue!$P6*Revenue!$A$23,'Monthly CF'!DG18*((1+HLOOKUP('Monthly CF'!DG$2,Revenue!$S$8:$AC$10,3,0))^(1/12)))</f>
        <v>0</v>
      </c>
      <c r="DI18" s="161">
        <f>IF(DI$1=1,Revenue!$P6*Revenue!$A$23,'Monthly CF'!DH18*((1+HLOOKUP('Monthly CF'!DH$2,Revenue!$S$8:$AC$10,3,0))^(1/12)))</f>
        <v>0</v>
      </c>
      <c r="DJ18" s="161">
        <f>IF(DJ$1=1,Revenue!$P6*Revenue!$A$23,'Monthly CF'!DI18*((1+HLOOKUP('Monthly CF'!DI$2,Revenue!$S$8:$AC$10,3,0))^(1/12)))</f>
        <v>0</v>
      </c>
      <c r="DK18" s="161">
        <f>IF(DK$1=1,Revenue!$P6*Revenue!$A$23,'Monthly CF'!DJ18*((1+HLOOKUP('Monthly CF'!DJ$2,Revenue!$S$8:$AC$10,3,0))^(1/12)))</f>
        <v>0</v>
      </c>
      <c r="DL18" s="161">
        <f>IF(DL$1=1,Revenue!$P6*Revenue!$A$23,'Monthly CF'!DK18*((1+HLOOKUP('Monthly CF'!DK$2,Revenue!$S$8:$AC$10,3,0))^(1/12)))</f>
        <v>0</v>
      </c>
      <c r="DM18" s="161">
        <f>IF(DM$1=1,Revenue!$P6*Revenue!$A$23,'Monthly CF'!DL18*((1+HLOOKUP('Monthly CF'!DL$2,Revenue!$S$8:$AC$10,3,0))^(1/12)))</f>
        <v>0</v>
      </c>
      <c r="DN18" s="161">
        <f>IF(DN$1=1,Revenue!$P6*Revenue!$A$23,'Monthly CF'!DM18*((1+HLOOKUP('Monthly CF'!DM$2,Revenue!$S$8:$AC$10,3,0))^(1/12)))</f>
        <v>0</v>
      </c>
      <c r="DO18" s="161">
        <f>IF(DO$1=1,Revenue!$P6*Revenue!$A$23,'Monthly CF'!DN18*((1+HLOOKUP('Monthly CF'!DN$2,Revenue!$S$8:$AC$10,3,0))^(1/12)))</f>
        <v>0</v>
      </c>
      <c r="DP18" s="161">
        <f>IF(DP$1=1,Revenue!$P6*Revenue!$A$23,'Monthly CF'!DO18*((1+HLOOKUP('Monthly CF'!DO$2,Revenue!$S$8:$AC$10,3,0))^(1/12)))</f>
        <v>0</v>
      </c>
      <c r="DQ18" s="161">
        <f>IF(DQ$1=1,Revenue!$P6*Revenue!$A$23,'Monthly CF'!DP18*((1+HLOOKUP('Monthly CF'!DP$2,Revenue!$S$8:$AC$10,3,0))^(1/12)))</f>
        <v>0</v>
      </c>
      <c r="DR18" s="161">
        <f>IF(DR$1=1,Revenue!$P6*Revenue!$A$23,'Monthly CF'!DQ18*((1+HLOOKUP('Monthly CF'!DQ$2,Revenue!$S$8:$AC$10,3,0))^(1/12)))</f>
        <v>0</v>
      </c>
      <c r="DS18" s="161">
        <f>IF(DS$1=1,Revenue!$P6*Revenue!$A$23,'Monthly CF'!DR18*((1+HLOOKUP('Monthly CF'!DR$2,Revenue!$S$8:$AC$10,3,0))^(1/12)))</f>
        <v>0</v>
      </c>
      <c r="DT18" s="161">
        <f>IF(DT$1=1,Revenue!$P6*Revenue!$A$23,'Monthly CF'!DS18*((1+HLOOKUP('Monthly CF'!DS$2,Revenue!$S$8:$AC$10,3,0))^(1/12)))</f>
        <v>0</v>
      </c>
      <c r="DU18" s="161">
        <f>IF(DU$1=1,Revenue!$P6*Revenue!$A$23,'Monthly CF'!DT18*((1+HLOOKUP('Monthly CF'!DT$2,Revenue!$S$8:$AC$10,3,0))^(1/12)))</f>
        <v>0</v>
      </c>
      <c r="DV18" s="161">
        <f>IF(DV$1=1,Revenue!$P6*Revenue!$A$23,'Monthly CF'!DU18*((1+HLOOKUP('Monthly CF'!DU$2,Revenue!$S$8:$AC$10,3,0))^(1/12)))</f>
        <v>0</v>
      </c>
      <c r="DW18" s="161">
        <f>IF(DW$1=1,Revenue!$P6*Revenue!$A$23,'Monthly CF'!DV18*((1+HLOOKUP('Monthly CF'!DV$2,Revenue!$S$8:$AC$10,3,0))^(1/12)))</f>
        <v>0</v>
      </c>
      <c r="DX18" s="161">
        <f>IF(DX$1=1,Revenue!$P6*Revenue!$A$23,'Monthly CF'!DW18*((1+HLOOKUP('Monthly CF'!DW$2,Revenue!$S$8:$AC$10,3,0))^(1/12)))</f>
        <v>0</v>
      </c>
      <c r="DY18" s="161">
        <f>IF(DY$1=1,Revenue!$P6*Revenue!$A$23,'Monthly CF'!DX18*((1+HLOOKUP('Monthly CF'!DX$2,Revenue!$S$8:$AC$10,3,0))^(1/12)))</f>
        <v>0</v>
      </c>
      <c r="DZ18" s="161">
        <f>IF(DZ$1=1,Revenue!$P6*Revenue!$A$23,'Monthly CF'!DY18*((1+HLOOKUP('Monthly CF'!DY$2,Revenue!$S$8:$AC$10,3,0))^(1/12)))</f>
        <v>0</v>
      </c>
      <c r="EA18" s="161">
        <f>IF(EA$1=1,Revenue!$P6*Revenue!$A$23,'Monthly CF'!DZ18*((1+HLOOKUP('Monthly CF'!DZ$2,Revenue!$S$8:$AC$10,3,0))^(1/12)))</f>
        <v>0</v>
      </c>
      <c r="EB18" s="161">
        <f>IF(EB$1=1,Revenue!$P6*Revenue!$A$23,'Monthly CF'!EA18*((1+HLOOKUP('Monthly CF'!EA$2,Revenue!$S$8:$AC$10,3,0))^(1/12)))</f>
        <v>0</v>
      </c>
      <c r="EC18" s="161">
        <f>IF(EC$1=1,Revenue!$P6*Revenue!$A$23,'Monthly CF'!EB18*((1+HLOOKUP('Monthly CF'!EB$2,Revenue!$S$8:$AC$10,3,0))^(1/12)))</f>
        <v>0</v>
      </c>
      <c r="ED18" s="161">
        <f>IF(ED$1=1,Revenue!$P6*Revenue!$A$23,'Monthly CF'!EC18*((1+HLOOKUP('Monthly CF'!EC$2,Revenue!$S$8:$AC$10,3,0))^(1/12)))</f>
        <v>0</v>
      </c>
      <c r="EE18" s="162">
        <f>IF(EE$1=1,Revenue!$P6*Revenue!$A$23,'Monthly CF'!ED18*((1+HLOOKUP('Monthly CF'!ED$2,Revenue!$S$8:$AC$10,3,0))^(1/12)))</f>
        <v>0</v>
      </c>
    </row>
    <row r="19" spans="1:135" x14ac:dyDescent="0.35">
      <c r="A19" s="168">
        <f>SUMIF($C$1:$EE$1,"&lt;="&amp;Summary!$K$19,'Monthly CF'!C19:EE19)</f>
        <v>0</v>
      </c>
      <c r="B19" s="5" t="str">
        <f>Revenue!O7</f>
        <v>Storage Income</v>
      </c>
      <c r="C19" s="160"/>
      <c r="D19" s="161">
        <f>IF(D$1=1,Revenue!$P7*Revenue!$A$23,'Monthly CF'!C19*((1+HLOOKUP('Monthly CF'!C$2,Revenue!$S$8:$AC$10,3,0))^(1/12)))</f>
        <v>0</v>
      </c>
      <c r="E19" s="161">
        <f>IF(E$1=1,Revenue!$P7*Revenue!$A$23,'Monthly CF'!D19*((1+HLOOKUP('Monthly CF'!D$2,Revenue!$S$8:$AC$10,3,0))^(1/12)))</f>
        <v>0</v>
      </c>
      <c r="F19" s="161">
        <f>IF(F$1=1,Revenue!$P7*Revenue!$A$23,'Monthly CF'!E19*((1+HLOOKUP('Monthly CF'!E$2,Revenue!$S$8:$AC$10,3,0))^(1/12)))</f>
        <v>0</v>
      </c>
      <c r="G19" s="161">
        <f>IF(G$1=1,Revenue!$P7*Revenue!$A$23,'Monthly CF'!F19*((1+HLOOKUP('Monthly CF'!F$2,Revenue!$S$8:$AC$10,3,0))^(1/12)))</f>
        <v>0</v>
      </c>
      <c r="H19" s="161">
        <f>IF(H$1=1,Revenue!$P7*Revenue!$A$23,'Monthly CF'!G19*((1+HLOOKUP('Monthly CF'!G$2,Revenue!$S$8:$AC$10,3,0))^(1/12)))</f>
        <v>0</v>
      </c>
      <c r="I19" s="161">
        <f>IF(I$1=1,Revenue!$P7*Revenue!$A$23,'Monthly CF'!H19*((1+HLOOKUP('Monthly CF'!H$2,Revenue!$S$8:$AC$10,3,0))^(1/12)))</f>
        <v>0</v>
      </c>
      <c r="J19" s="161">
        <f>IF(J$1=1,Revenue!$P7*Revenue!$A$23,'Monthly CF'!I19*((1+HLOOKUP('Monthly CF'!I$2,Revenue!$S$8:$AC$10,3,0))^(1/12)))</f>
        <v>0</v>
      </c>
      <c r="K19" s="161">
        <f>IF(K$1=1,Revenue!$P7*Revenue!$A$23,'Monthly CF'!J19*((1+HLOOKUP('Monthly CF'!J$2,Revenue!$S$8:$AC$10,3,0))^(1/12)))</f>
        <v>0</v>
      </c>
      <c r="L19" s="161">
        <f>IF(L$1=1,Revenue!$P7*Revenue!$A$23,'Monthly CF'!K19*((1+HLOOKUP('Monthly CF'!K$2,Revenue!$S$8:$AC$10,3,0))^(1/12)))</f>
        <v>0</v>
      </c>
      <c r="M19" s="161">
        <f>IF(M$1=1,Revenue!$P7*Revenue!$A$23,'Monthly CF'!L19*((1+HLOOKUP('Monthly CF'!L$2,Revenue!$S$8:$AC$10,3,0))^(1/12)))</f>
        <v>0</v>
      </c>
      <c r="N19" s="161">
        <f>IF(N$1=1,Revenue!$P7*Revenue!$A$23,'Monthly CF'!M19*((1+HLOOKUP('Monthly CF'!M$2,Revenue!$S$8:$AC$10,3,0))^(1/12)))</f>
        <v>0</v>
      </c>
      <c r="O19" s="161">
        <f>IF(O$1=1,Revenue!$P7*Revenue!$A$23,'Monthly CF'!N19*((1+HLOOKUP('Monthly CF'!N$2,Revenue!$S$8:$AC$10,3,0))^(1/12)))</f>
        <v>0</v>
      </c>
      <c r="P19" s="161">
        <f>IF(P$1=1,Revenue!$P7*Revenue!$A$23,'Monthly CF'!O19*((1+HLOOKUP('Monthly CF'!O$2,Revenue!$S$8:$AC$10,3,0))^(1/12)))</f>
        <v>0</v>
      </c>
      <c r="Q19" s="161">
        <f>IF(Q$1=1,Revenue!$P7*Revenue!$A$23,'Monthly CF'!P19*((1+HLOOKUP('Monthly CF'!P$2,Revenue!$S$8:$AC$10,3,0))^(1/12)))</f>
        <v>0</v>
      </c>
      <c r="R19" s="161">
        <f>IF(R$1=1,Revenue!$P7*Revenue!$A$23,'Monthly CF'!Q19*((1+HLOOKUP('Monthly CF'!Q$2,Revenue!$S$8:$AC$10,3,0))^(1/12)))</f>
        <v>0</v>
      </c>
      <c r="S19" s="161">
        <f>IF(S$1=1,Revenue!$P7*Revenue!$A$23,'Monthly CF'!R19*((1+HLOOKUP('Monthly CF'!R$2,Revenue!$S$8:$AC$10,3,0))^(1/12)))</f>
        <v>0</v>
      </c>
      <c r="T19" s="161">
        <f>IF(T$1=1,Revenue!$P7*Revenue!$A$23,'Monthly CF'!S19*((1+HLOOKUP('Monthly CF'!S$2,Revenue!$S$8:$AC$10,3,0))^(1/12)))</f>
        <v>0</v>
      </c>
      <c r="U19" s="161">
        <f>IF(U$1=1,Revenue!$P7*Revenue!$A$23,'Monthly CF'!T19*((1+HLOOKUP('Monthly CF'!T$2,Revenue!$S$8:$AC$10,3,0))^(1/12)))</f>
        <v>0</v>
      </c>
      <c r="V19" s="161">
        <f>IF(V$1=1,Revenue!$P7*Revenue!$A$23,'Monthly CF'!U19*((1+HLOOKUP('Monthly CF'!U$2,Revenue!$S$8:$AC$10,3,0))^(1/12)))</f>
        <v>0</v>
      </c>
      <c r="W19" s="161">
        <f>IF(W$1=1,Revenue!$P7*Revenue!$A$23,'Monthly CF'!V19*((1+HLOOKUP('Monthly CF'!V$2,Revenue!$S$8:$AC$10,3,0))^(1/12)))</f>
        <v>0</v>
      </c>
      <c r="X19" s="161">
        <f>IF(X$1=1,Revenue!$P7*Revenue!$A$23,'Monthly CF'!W19*((1+HLOOKUP('Monthly CF'!W$2,Revenue!$S$8:$AC$10,3,0))^(1/12)))</f>
        <v>0</v>
      </c>
      <c r="Y19" s="161">
        <f>IF(Y$1=1,Revenue!$P7*Revenue!$A$23,'Monthly CF'!X19*((1+HLOOKUP('Monthly CF'!X$2,Revenue!$S$8:$AC$10,3,0))^(1/12)))</f>
        <v>0</v>
      </c>
      <c r="Z19" s="161">
        <f>IF(Z$1=1,Revenue!$P7*Revenue!$A$23,'Monthly CF'!Y19*((1+HLOOKUP('Monthly CF'!Y$2,Revenue!$S$8:$AC$10,3,0))^(1/12)))</f>
        <v>0</v>
      </c>
      <c r="AA19" s="161">
        <f>IF(AA$1=1,Revenue!$P7*Revenue!$A$23,'Monthly CF'!Z19*((1+HLOOKUP('Monthly CF'!Z$2,Revenue!$S$8:$AC$10,3,0))^(1/12)))</f>
        <v>0</v>
      </c>
      <c r="AB19" s="161">
        <f>IF(AB$1=1,Revenue!$P7*Revenue!$A$23,'Monthly CF'!AA19*((1+HLOOKUP('Monthly CF'!AA$2,Revenue!$S$8:$AC$10,3,0))^(1/12)))</f>
        <v>0</v>
      </c>
      <c r="AC19" s="161">
        <f>IF(AC$1=1,Revenue!$P7*Revenue!$A$23,'Monthly CF'!AB19*((1+HLOOKUP('Monthly CF'!AB$2,Revenue!$S$8:$AC$10,3,0))^(1/12)))</f>
        <v>0</v>
      </c>
      <c r="AD19" s="161">
        <f>IF(AD$1=1,Revenue!$P7*Revenue!$A$23,'Monthly CF'!AC19*((1+HLOOKUP('Monthly CF'!AC$2,Revenue!$S$8:$AC$10,3,0))^(1/12)))</f>
        <v>0</v>
      </c>
      <c r="AE19" s="161">
        <f>IF(AE$1=1,Revenue!$P7*Revenue!$A$23,'Monthly CF'!AD19*((1+HLOOKUP('Monthly CF'!AD$2,Revenue!$S$8:$AC$10,3,0))^(1/12)))</f>
        <v>0</v>
      </c>
      <c r="AF19" s="161">
        <f>IF(AF$1=1,Revenue!$P7*Revenue!$A$23,'Monthly CF'!AE19*((1+HLOOKUP('Monthly CF'!AE$2,Revenue!$S$8:$AC$10,3,0))^(1/12)))</f>
        <v>0</v>
      </c>
      <c r="AG19" s="161">
        <f>IF(AG$1=1,Revenue!$P7*Revenue!$A$23,'Monthly CF'!AF19*((1+HLOOKUP('Monthly CF'!AF$2,Revenue!$S$8:$AC$10,3,0))^(1/12)))</f>
        <v>0</v>
      </c>
      <c r="AH19" s="161">
        <f>IF(AH$1=1,Revenue!$P7*Revenue!$A$23,'Monthly CF'!AG19*((1+HLOOKUP('Monthly CF'!AG$2,Revenue!$S$8:$AC$10,3,0))^(1/12)))</f>
        <v>0</v>
      </c>
      <c r="AI19" s="161">
        <f>IF(AI$1=1,Revenue!$P7*Revenue!$A$23,'Monthly CF'!AH19*((1+HLOOKUP('Monthly CF'!AH$2,Revenue!$S$8:$AC$10,3,0))^(1/12)))</f>
        <v>0</v>
      </c>
      <c r="AJ19" s="161">
        <f>IF(AJ$1=1,Revenue!$P7*Revenue!$A$23,'Monthly CF'!AI19*((1+HLOOKUP('Monthly CF'!AI$2,Revenue!$S$8:$AC$10,3,0))^(1/12)))</f>
        <v>0</v>
      </c>
      <c r="AK19" s="161">
        <f>IF(AK$1=1,Revenue!$P7*Revenue!$A$23,'Monthly CF'!AJ19*((1+HLOOKUP('Monthly CF'!AJ$2,Revenue!$S$8:$AC$10,3,0))^(1/12)))</f>
        <v>0</v>
      </c>
      <c r="AL19" s="161">
        <f>IF(AL$1=1,Revenue!$P7*Revenue!$A$23,'Monthly CF'!AK19*((1+HLOOKUP('Monthly CF'!AK$2,Revenue!$S$8:$AC$10,3,0))^(1/12)))</f>
        <v>0</v>
      </c>
      <c r="AM19" s="161">
        <f>IF(AM$1=1,Revenue!$P7*Revenue!$A$23,'Monthly CF'!AL19*((1+HLOOKUP('Monthly CF'!AL$2,Revenue!$S$8:$AC$10,3,0))^(1/12)))</f>
        <v>0</v>
      </c>
      <c r="AN19" s="161">
        <f>IF(AN$1=1,Revenue!$P7*Revenue!$A$23,'Monthly CF'!AM19*((1+HLOOKUP('Monthly CF'!AM$2,Revenue!$S$8:$AC$10,3,0))^(1/12)))</f>
        <v>0</v>
      </c>
      <c r="AO19" s="161">
        <f>IF(AO$1=1,Revenue!$P7*Revenue!$A$23,'Monthly CF'!AN19*((1+HLOOKUP('Monthly CF'!AN$2,Revenue!$S$8:$AC$10,3,0))^(1/12)))</f>
        <v>0</v>
      </c>
      <c r="AP19" s="161">
        <f>IF(AP$1=1,Revenue!$P7*Revenue!$A$23,'Monthly CF'!AO19*((1+HLOOKUP('Monthly CF'!AO$2,Revenue!$S$8:$AC$10,3,0))^(1/12)))</f>
        <v>0</v>
      </c>
      <c r="AQ19" s="161">
        <f>IF(AQ$1=1,Revenue!$P7*Revenue!$A$23,'Monthly CF'!AP19*((1+HLOOKUP('Monthly CF'!AP$2,Revenue!$S$8:$AC$10,3,0))^(1/12)))</f>
        <v>0</v>
      </c>
      <c r="AR19" s="161">
        <f>IF(AR$1=1,Revenue!$P7*Revenue!$A$23,'Monthly CF'!AQ19*((1+HLOOKUP('Monthly CF'!AQ$2,Revenue!$S$8:$AC$10,3,0))^(1/12)))</f>
        <v>0</v>
      </c>
      <c r="AS19" s="161">
        <f>IF(AS$1=1,Revenue!$P7*Revenue!$A$23,'Monthly CF'!AR19*((1+HLOOKUP('Monthly CF'!AR$2,Revenue!$S$8:$AC$10,3,0))^(1/12)))</f>
        <v>0</v>
      </c>
      <c r="AT19" s="161">
        <f>IF(AT$1=1,Revenue!$P7*Revenue!$A$23,'Monthly CF'!AS19*((1+HLOOKUP('Monthly CF'!AS$2,Revenue!$S$8:$AC$10,3,0))^(1/12)))</f>
        <v>0</v>
      </c>
      <c r="AU19" s="161">
        <f>IF(AU$1=1,Revenue!$P7*Revenue!$A$23,'Monthly CF'!AT19*((1+HLOOKUP('Monthly CF'!AT$2,Revenue!$S$8:$AC$10,3,0))^(1/12)))</f>
        <v>0</v>
      </c>
      <c r="AV19" s="161">
        <f>IF(AV$1=1,Revenue!$P7*Revenue!$A$23,'Monthly CF'!AU19*((1+HLOOKUP('Monthly CF'!AU$2,Revenue!$S$8:$AC$10,3,0))^(1/12)))</f>
        <v>0</v>
      </c>
      <c r="AW19" s="161">
        <f>IF(AW$1=1,Revenue!$P7*Revenue!$A$23,'Monthly CF'!AV19*((1+HLOOKUP('Monthly CF'!AV$2,Revenue!$S$8:$AC$10,3,0))^(1/12)))</f>
        <v>0</v>
      </c>
      <c r="AX19" s="161">
        <f>IF(AX$1=1,Revenue!$P7*Revenue!$A$23,'Monthly CF'!AW19*((1+HLOOKUP('Monthly CF'!AW$2,Revenue!$S$8:$AC$10,3,0))^(1/12)))</f>
        <v>0</v>
      </c>
      <c r="AY19" s="161">
        <f>IF(AY$1=1,Revenue!$P7*Revenue!$A$23,'Monthly CF'!AX19*((1+HLOOKUP('Monthly CF'!AX$2,Revenue!$S$8:$AC$10,3,0))^(1/12)))</f>
        <v>0</v>
      </c>
      <c r="AZ19" s="161">
        <f>IF(AZ$1=1,Revenue!$P7*Revenue!$A$23,'Monthly CF'!AY19*((1+HLOOKUP('Monthly CF'!AY$2,Revenue!$S$8:$AC$10,3,0))^(1/12)))</f>
        <v>0</v>
      </c>
      <c r="BA19" s="161">
        <f>IF(BA$1=1,Revenue!$P7*Revenue!$A$23,'Monthly CF'!AZ19*((1+HLOOKUP('Monthly CF'!AZ$2,Revenue!$S$8:$AC$10,3,0))^(1/12)))</f>
        <v>0</v>
      </c>
      <c r="BB19" s="161">
        <f>IF(BB$1=1,Revenue!$P7*Revenue!$A$23,'Monthly CF'!BA19*((1+HLOOKUP('Monthly CF'!BA$2,Revenue!$S$8:$AC$10,3,0))^(1/12)))</f>
        <v>0</v>
      </c>
      <c r="BC19" s="161">
        <f>IF(BC$1=1,Revenue!$P7*Revenue!$A$23,'Monthly CF'!BB19*((1+HLOOKUP('Monthly CF'!BB$2,Revenue!$S$8:$AC$10,3,0))^(1/12)))</f>
        <v>0</v>
      </c>
      <c r="BD19" s="161">
        <f>IF(BD$1=1,Revenue!$P7*Revenue!$A$23,'Monthly CF'!BC19*((1+HLOOKUP('Monthly CF'!BC$2,Revenue!$S$8:$AC$10,3,0))^(1/12)))</f>
        <v>0</v>
      </c>
      <c r="BE19" s="161">
        <f>IF(BE$1=1,Revenue!$P7*Revenue!$A$23,'Monthly CF'!BD19*((1+HLOOKUP('Monthly CF'!BD$2,Revenue!$S$8:$AC$10,3,0))^(1/12)))</f>
        <v>0</v>
      </c>
      <c r="BF19" s="161">
        <f>IF(BF$1=1,Revenue!$P7*Revenue!$A$23,'Monthly CF'!BE19*((1+HLOOKUP('Monthly CF'!BE$2,Revenue!$S$8:$AC$10,3,0))^(1/12)))</f>
        <v>0</v>
      </c>
      <c r="BG19" s="161">
        <f>IF(BG$1=1,Revenue!$P7*Revenue!$A$23,'Monthly CF'!BF19*((1+HLOOKUP('Monthly CF'!BF$2,Revenue!$S$8:$AC$10,3,0))^(1/12)))</f>
        <v>0</v>
      </c>
      <c r="BH19" s="161">
        <f>IF(BH$1=1,Revenue!$P7*Revenue!$A$23,'Monthly CF'!BG19*((1+HLOOKUP('Monthly CF'!BG$2,Revenue!$S$8:$AC$10,3,0))^(1/12)))</f>
        <v>0</v>
      </c>
      <c r="BI19" s="161">
        <f>IF(BI$1=1,Revenue!$P7*Revenue!$A$23,'Monthly CF'!BH19*((1+HLOOKUP('Monthly CF'!BH$2,Revenue!$S$8:$AC$10,3,0))^(1/12)))</f>
        <v>0</v>
      </c>
      <c r="BJ19" s="161">
        <f>IF(BJ$1=1,Revenue!$P7*Revenue!$A$23,'Monthly CF'!BI19*((1+HLOOKUP('Monthly CF'!BI$2,Revenue!$S$8:$AC$10,3,0))^(1/12)))</f>
        <v>0</v>
      </c>
      <c r="BK19" s="161">
        <f>IF(BK$1=1,Revenue!$P7*Revenue!$A$23,'Monthly CF'!BJ19*((1+HLOOKUP('Monthly CF'!BJ$2,Revenue!$S$8:$AC$10,3,0))^(1/12)))</f>
        <v>0</v>
      </c>
      <c r="BL19" s="161">
        <f>IF(BL$1=1,Revenue!$P7*Revenue!$A$23,'Monthly CF'!BK19*((1+HLOOKUP('Monthly CF'!BK$2,Revenue!$S$8:$AC$10,3,0))^(1/12)))</f>
        <v>0</v>
      </c>
      <c r="BM19" s="161">
        <f>IF(BM$1=1,Revenue!$P7*Revenue!$A$23,'Monthly CF'!BL19*((1+HLOOKUP('Monthly CF'!BL$2,Revenue!$S$8:$AC$10,3,0))^(1/12)))</f>
        <v>0</v>
      </c>
      <c r="BN19" s="161">
        <f>IF(BN$1=1,Revenue!$P7*Revenue!$A$23,'Monthly CF'!BM19*((1+HLOOKUP('Monthly CF'!BM$2,Revenue!$S$8:$AC$10,3,0))^(1/12)))</f>
        <v>0</v>
      </c>
      <c r="BO19" s="161">
        <f>IF(BO$1=1,Revenue!$P7*Revenue!$A$23,'Monthly CF'!BN19*((1+HLOOKUP('Monthly CF'!BN$2,Revenue!$S$8:$AC$10,3,0))^(1/12)))</f>
        <v>0</v>
      </c>
      <c r="BP19" s="161">
        <f>IF(BP$1=1,Revenue!$P7*Revenue!$A$23,'Monthly CF'!BO19*((1+HLOOKUP('Monthly CF'!BO$2,Revenue!$S$8:$AC$10,3,0))^(1/12)))</f>
        <v>0</v>
      </c>
      <c r="BQ19" s="161">
        <f>IF(BQ$1=1,Revenue!$P7*Revenue!$A$23,'Monthly CF'!BP19*((1+HLOOKUP('Monthly CF'!BP$2,Revenue!$S$8:$AC$10,3,0))^(1/12)))</f>
        <v>0</v>
      </c>
      <c r="BR19" s="161">
        <f>IF(BR$1=1,Revenue!$P7*Revenue!$A$23,'Monthly CF'!BQ19*((1+HLOOKUP('Monthly CF'!BQ$2,Revenue!$S$8:$AC$10,3,0))^(1/12)))</f>
        <v>0</v>
      </c>
      <c r="BS19" s="161">
        <f>IF(BS$1=1,Revenue!$P7*Revenue!$A$23,'Monthly CF'!BR19*((1+HLOOKUP('Monthly CF'!BR$2,Revenue!$S$8:$AC$10,3,0))^(1/12)))</f>
        <v>0</v>
      </c>
      <c r="BT19" s="161">
        <f>IF(BT$1=1,Revenue!$P7*Revenue!$A$23,'Monthly CF'!BS19*((1+HLOOKUP('Monthly CF'!BS$2,Revenue!$S$8:$AC$10,3,0))^(1/12)))</f>
        <v>0</v>
      </c>
      <c r="BU19" s="161">
        <f>IF(BU$1=1,Revenue!$P7*Revenue!$A$23,'Monthly CF'!BT19*((1+HLOOKUP('Monthly CF'!BT$2,Revenue!$S$8:$AC$10,3,0))^(1/12)))</f>
        <v>0</v>
      </c>
      <c r="BV19" s="161">
        <f>IF(BV$1=1,Revenue!$P7*Revenue!$A$23,'Monthly CF'!BU19*((1+HLOOKUP('Monthly CF'!BU$2,Revenue!$S$8:$AC$10,3,0))^(1/12)))</f>
        <v>0</v>
      </c>
      <c r="BW19" s="161">
        <f>IF(BW$1=1,Revenue!$P7*Revenue!$A$23,'Monthly CF'!BV19*((1+HLOOKUP('Monthly CF'!BV$2,Revenue!$S$8:$AC$10,3,0))^(1/12)))</f>
        <v>0</v>
      </c>
      <c r="BX19" s="161">
        <f>IF(BX$1=1,Revenue!$P7*Revenue!$A$23,'Monthly CF'!BW19*((1+HLOOKUP('Monthly CF'!BW$2,Revenue!$S$8:$AC$10,3,0))^(1/12)))</f>
        <v>0</v>
      </c>
      <c r="BY19" s="161">
        <f>IF(BY$1=1,Revenue!$P7*Revenue!$A$23,'Monthly CF'!BX19*((1+HLOOKUP('Monthly CF'!BX$2,Revenue!$S$8:$AC$10,3,0))^(1/12)))</f>
        <v>0</v>
      </c>
      <c r="BZ19" s="161">
        <f>IF(BZ$1=1,Revenue!$P7*Revenue!$A$23,'Monthly CF'!BY19*((1+HLOOKUP('Monthly CF'!BY$2,Revenue!$S$8:$AC$10,3,0))^(1/12)))</f>
        <v>0</v>
      </c>
      <c r="CA19" s="161">
        <f>IF(CA$1=1,Revenue!$P7*Revenue!$A$23,'Monthly CF'!BZ19*((1+HLOOKUP('Monthly CF'!BZ$2,Revenue!$S$8:$AC$10,3,0))^(1/12)))</f>
        <v>0</v>
      </c>
      <c r="CB19" s="161">
        <f>IF(CB$1=1,Revenue!$P7*Revenue!$A$23,'Monthly CF'!CA19*((1+HLOOKUP('Monthly CF'!CA$2,Revenue!$S$8:$AC$10,3,0))^(1/12)))</f>
        <v>0</v>
      </c>
      <c r="CC19" s="161">
        <f>IF(CC$1=1,Revenue!$P7*Revenue!$A$23,'Monthly CF'!CB19*((1+HLOOKUP('Monthly CF'!CB$2,Revenue!$S$8:$AC$10,3,0))^(1/12)))</f>
        <v>0</v>
      </c>
      <c r="CD19" s="161">
        <f>IF(CD$1=1,Revenue!$P7*Revenue!$A$23,'Monthly CF'!CC19*((1+HLOOKUP('Monthly CF'!CC$2,Revenue!$S$8:$AC$10,3,0))^(1/12)))</f>
        <v>0</v>
      </c>
      <c r="CE19" s="161">
        <f>IF(CE$1=1,Revenue!$P7*Revenue!$A$23,'Monthly CF'!CD19*((1+HLOOKUP('Monthly CF'!CD$2,Revenue!$S$8:$AC$10,3,0))^(1/12)))</f>
        <v>0</v>
      </c>
      <c r="CF19" s="161">
        <f>IF(CF$1=1,Revenue!$P7*Revenue!$A$23,'Monthly CF'!CE19*((1+HLOOKUP('Monthly CF'!CE$2,Revenue!$S$8:$AC$10,3,0))^(1/12)))</f>
        <v>0</v>
      </c>
      <c r="CG19" s="161">
        <f>IF(CG$1=1,Revenue!$P7*Revenue!$A$23,'Monthly CF'!CF19*((1+HLOOKUP('Monthly CF'!CF$2,Revenue!$S$8:$AC$10,3,0))^(1/12)))</f>
        <v>0</v>
      </c>
      <c r="CH19" s="161">
        <f>IF(CH$1=1,Revenue!$P7*Revenue!$A$23,'Monthly CF'!CG19*((1+HLOOKUP('Monthly CF'!CG$2,Revenue!$S$8:$AC$10,3,0))^(1/12)))</f>
        <v>0</v>
      </c>
      <c r="CI19" s="161">
        <f>IF(CI$1=1,Revenue!$P7*Revenue!$A$23,'Monthly CF'!CH19*((1+HLOOKUP('Monthly CF'!CH$2,Revenue!$S$8:$AC$10,3,0))^(1/12)))</f>
        <v>0</v>
      </c>
      <c r="CJ19" s="161">
        <f>IF(CJ$1=1,Revenue!$P7*Revenue!$A$23,'Monthly CF'!CI19*((1+HLOOKUP('Monthly CF'!CI$2,Revenue!$S$8:$AC$10,3,0))^(1/12)))</f>
        <v>0</v>
      </c>
      <c r="CK19" s="161">
        <f>IF(CK$1=1,Revenue!$P7*Revenue!$A$23,'Monthly CF'!CJ19*((1+HLOOKUP('Monthly CF'!CJ$2,Revenue!$S$8:$AC$10,3,0))^(1/12)))</f>
        <v>0</v>
      </c>
      <c r="CL19" s="161">
        <f>IF(CL$1=1,Revenue!$P7*Revenue!$A$23,'Monthly CF'!CK19*((1+HLOOKUP('Monthly CF'!CK$2,Revenue!$S$8:$AC$10,3,0))^(1/12)))</f>
        <v>0</v>
      </c>
      <c r="CM19" s="161">
        <f>IF(CM$1=1,Revenue!$P7*Revenue!$A$23,'Monthly CF'!CL19*((1+HLOOKUP('Monthly CF'!CL$2,Revenue!$S$8:$AC$10,3,0))^(1/12)))</f>
        <v>0</v>
      </c>
      <c r="CN19" s="161">
        <f>IF(CN$1=1,Revenue!$P7*Revenue!$A$23,'Monthly CF'!CM19*((1+HLOOKUP('Monthly CF'!CM$2,Revenue!$S$8:$AC$10,3,0))^(1/12)))</f>
        <v>0</v>
      </c>
      <c r="CO19" s="161">
        <f>IF(CO$1=1,Revenue!$P7*Revenue!$A$23,'Monthly CF'!CN19*((1+HLOOKUP('Monthly CF'!CN$2,Revenue!$S$8:$AC$10,3,0))^(1/12)))</f>
        <v>0</v>
      </c>
      <c r="CP19" s="161">
        <f>IF(CP$1=1,Revenue!$P7*Revenue!$A$23,'Monthly CF'!CO19*((1+HLOOKUP('Monthly CF'!CO$2,Revenue!$S$8:$AC$10,3,0))^(1/12)))</f>
        <v>0</v>
      </c>
      <c r="CQ19" s="161">
        <f>IF(CQ$1=1,Revenue!$P7*Revenue!$A$23,'Monthly CF'!CP19*((1+HLOOKUP('Monthly CF'!CP$2,Revenue!$S$8:$AC$10,3,0))^(1/12)))</f>
        <v>0</v>
      </c>
      <c r="CR19" s="161">
        <f>IF(CR$1=1,Revenue!$P7*Revenue!$A$23,'Monthly CF'!CQ19*((1+HLOOKUP('Monthly CF'!CQ$2,Revenue!$S$8:$AC$10,3,0))^(1/12)))</f>
        <v>0</v>
      </c>
      <c r="CS19" s="161">
        <f>IF(CS$1=1,Revenue!$P7*Revenue!$A$23,'Monthly CF'!CR19*((1+HLOOKUP('Monthly CF'!CR$2,Revenue!$S$8:$AC$10,3,0))^(1/12)))</f>
        <v>0</v>
      </c>
      <c r="CT19" s="161">
        <f>IF(CT$1=1,Revenue!$P7*Revenue!$A$23,'Monthly CF'!CS19*((1+HLOOKUP('Monthly CF'!CS$2,Revenue!$S$8:$AC$10,3,0))^(1/12)))</f>
        <v>0</v>
      </c>
      <c r="CU19" s="161">
        <f>IF(CU$1=1,Revenue!$P7*Revenue!$A$23,'Monthly CF'!CT19*((1+HLOOKUP('Monthly CF'!CT$2,Revenue!$S$8:$AC$10,3,0))^(1/12)))</f>
        <v>0</v>
      </c>
      <c r="CV19" s="161">
        <f>IF(CV$1=1,Revenue!$P7*Revenue!$A$23,'Monthly CF'!CU19*((1+HLOOKUP('Monthly CF'!CU$2,Revenue!$S$8:$AC$10,3,0))^(1/12)))</f>
        <v>0</v>
      </c>
      <c r="CW19" s="161">
        <f>IF(CW$1=1,Revenue!$P7*Revenue!$A$23,'Monthly CF'!CV19*((1+HLOOKUP('Monthly CF'!CV$2,Revenue!$S$8:$AC$10,3,0))^(1/12)))</f>
        <v>0</v>
      </c>
      <c r="CX19" s="161">
        <f>IF(CX$1=1,Revenue!$P7*Revenue!$A$23,'Monthly CF'!CW19*((1+HLOOKUP('Monthly CF'!CW$2,Revenue!$S$8:$AC$10,3,0))^(1/12)))</f>
        <v>0</v>
      </c>
      <c r="CY19" s="161">
        <f>IF(CY$1=1,Revenue!$P7*Revenue!$A$23,'Monthly CF'!CX19*((1+HLOOKUP('Monthly CF'!CX$2,Revenue!$S$8:$AC$10,3,0))^(1/12)))</f>
        <v>0</v>
      </c>
      <c r="CZ19" s="161">
        <f>IF(CZ$1=1,Revenue!$P7*Revenue!$A$23,'Monthly CF'!CY19*((1+HLOOKUP('Monthly CF'!CY$2,Revenue!$S$8:$AC$10,3,0))^(1/12)))</f>
        <v>0</v>
      </c>
      <c r="DA19" s="161">
        <f>IF(DA$1=1,Revenue!$P7*Revenue!$A$23,'Monthly CF'!CZ19*((1+HLOOKUP('Monthly CF'!CZ$2,Revenue!$S$8:$AC$10,3,0))^(1/12)))</f>
        <v>0</v>
      </c>
      <c r="DB19" s="161">
        <f>IF(DB$1=1,Revenue!$P7*Revenue!$A$23,'Monthly CF'!DA19*((1+HLOOKUP('Monthly CF'!DA$2,Revenue!$S$8:$AC$10,3,0))^(1/12)))</f>
        <v>0</v>
      </c>
      <c r="DC19" s="161">
        <f>IF(DC$1=1,Revenue!$P7*Revenue!$A$23,'Monthly CF'!DB19*((1+HLOOKUP('Monthly CF'!DB$2,Revenue!$S$8:$AC$10,3,0))^(1/12)))</f>
        <v>0</v>
      </c>
      <c r="DD19" s="161">
        <f>IF(DD$1=1,Revenue!$P7*Revenue!$A$23,'Monthly CF'!DC19*((1+HLOOKUP('Monthly CF'!DC$2,Revenue!$S$8:$AC$10,3,0))^(1/12)))</f>
        <v>0</v>
      </c>
      <c r="DE19" s="161">
        <f>IF(DE$1=1,Revenue!$P7*Revenue!$A$23,'Monthly CF'!DD19*((1+HLOOKUP('Monthly CF'!DD$2,Revenue!$S$8:$AC$10,3,0))^(1/12)))</f>
        <v>0</v>
      </c>
      <c r="DF19" s="161">
        <f>IF(DF$1=1,Revenue!$P7*Revenue!$A$23,'Monthly CF'!DE19*((1+HLOOKUP('Monthly CF'!DE$2,Revenue!$S$8:$AC$10,3,0))^(1/12)))</f>
        <v>0</v>
      </c>
      <c r="DG19" s="161">
        <f>IF(DG$1=1,Revenue!$P7*Revenue!$A$23,'Monthly CF'!DF19*((1+HLOOKUP('Monthly CF'!DF$2,Revenue!$S$8:$AC$10,3,0))^(1/12)))</f>
        <v>0</v>
      </c>
      <c r="DH19" s="161">
        <f>IF(DH$1=1,Revenue!$P7*Revenue!$A$23,'Monthly CF'!DG19*((1+HLOOKUP('Monthly CF'!DG$2,Revenue!$S$8:$AC$10,3,0))^(1/12)))</f>
        <v>0</v>
      </c>
      <c r="DI19" s="161">
        <f>IF(DI$1=1,Revenue!$P7*Revenue!$A$23,'Monthly CF'!DH19*((1+HLOOKUP('Monthly CF'!DH$2,Revenue!$S$8:$AC$10,3,0))^(1/12)))</f>
        <v>0</v>
      </c>
      <c r="DJ19" s="161">
        <f>IF(DJ$1=1,Revenue!$P7*Revenue!$A$23,'Monthly CF'!DI19*((1+HLOOKUP('Monthly CF'!DI$2,Revenue!$S$8:$AC$10,3,0))^(1/12)))</f>
        <v>0</v>
      </c>
      <c r="DK19" s="161">
        <f>IF(DK$1=1,Revenue!$P7*Revenue!$A$23,'Monthly CF'!DJ19*((1+HLOOKUP('Monthly CF'!DJ$2,Revenue!$S$8:$AC$10,3,0))^(1/12)))</f>
        <v>0</v>
      </c>
      <c r="DL19" s="161">
        <f>IF(DL$1=1,Revenue!$P7*Revenue!$A$23,'Monthly CF'!DK19*((1+HLOOKUP('Monthly CF'!DK$2,Revenue!$S$8:$AC$10,3,0))^(1/12)))</f>
        <v>0</v>
      </c>
      <c r="DM19" s="161">
        <f>IF(DM$1=1,Revenue!$P7*Revenue!$A$23,'Monthly CF'!DL19*((1+HLOOKUP('Monthly CF'!DL$2,Revenue!$S$8:$AC$10,3,0))^(1/12)))</f>
        <v>0</v>
      </c>
      <c r="DN19" s="161">
        <f>IF(DN$1=1,Revenue!$P7*Revenue!$A$23,'Monthly CF'!DM19*((1+HLOOKUP('Monthly CF'!DM$2,Revenue!$S$8:$AC$10,3,0))^(1/12)))</f>
        <v>0</v>
      </c>
      <c r="DO19" s="161">
        <f>IF(DO$1=1,Revenue!$P7*Revenue!$A$23,'Monthly CF'!DN19*((1+HLOOKUP('Monthly CF'!DN$2,Revenue!$S$8:$AC$10,3,0))^(1/12)))</f>
        <v>0</v>
      </c>
      <c r="DP19" s="161">
        <f>IF(DP$1=1,Revenue!$P7*Revenue!$A$23,'Monthly CF'!DO19*((1+HLOOKUP('Monthly CF'!DO$2,Revenue!$S$8:$AC$10,3,0))^(1/12)))</f>
        <v>0</v>
      </c>
      <c r="DQ19" s="161">
        <f>IF(DQ$1=1,Revenue!$P7*Revenue!$A$23,'Monthly CF'!DP19*((1+HLOOKUP('Monthly CF'!DP$2,Revenue!$S$8:$AC$10,3,0))^(1/12)))</f>
        <v>0</v>
      </c>
      <c r="DR19" s="161">
        <f>IF(DR$1=1,Revenue!$P7*Revenue!$A$23,'Monthly CF'!DQ19*((1+HLOOKUP('Monthly CF'!DQ$2,Revenue!$S$8:$AC$10,3,0))^(1/12)))</f>
        <v>0</v>
      </c>
      <c r="DS19" s="161">
        <f>IF(DS$1=1,Revenue!$P7*Revenue!$A$23,'Monthly CF'!DR19*((1+HLOOKUP('Monthly CF'!DR$2,Revenue!$S$8:$AC$10,3,0))^(1/12)))</f>
        <v>0</v>
      </c>
      <c r="DT19" s="161">
        <f>IF(DT$1=1,Revenue!$P7*Revenue!$A$23,'Monthly CF'!DS19*((1+HLOOKUP('Monthly CF'!DS$2,Revenue!$S$8:$AC$10,3,0))^(1/12)))</f>
        <v>0</v>
      </c>
      <c r="DU19" s="161">
        <f>IF(DU$1=1,Revenue!$P7*Revenue!$A$23,'Monthly CF'!DT19*((1+HLOOKUP('Monthly CF'!DT$2,Revenue!$S$8:$AC$10,3,0))^(1/12)))</f>
        <v>0</v>
      </c>
      <c r="DV19" s="161">
        <f>IF(DV$1=1,Revenue!$P7*Revenue!$A$23,'Monthly CF'!DU19*((1+HLOOKUP('Monthly CF'!DU$2,Revenue!$S$8:$AC$10,3,0))^(1/12)))</f>
        <v>0</v>
      </c>
      <c r="DW19" s="161">
        <f>IF(DW$1=1,Revenue!$P7*Revenue!$A$23,'Monthly CF'!DV19*((1+HLOOKUP('Monthly CF'!DV$2,Revenue!$S$8:$AC$10,3,0))^(1/12)))</f>
        <v>0</v>
      </c>
      <c r="DX19" s="161">
        <f>IF(DX$1=1,Revenue!$P7*Revenue!$A$23,'Monthly CF'!DW19*((1+HLOOKUP('Monthly CF'!DW$2,Revenue!$S$8:$AC$10,3,0))^(1/12)))</f>
        <v>0</v>
      </c>
      <c r="DY19" s="161">
        <f>IF(DY$1=1,Revenue!$P7*Revenue!$A$23,'Monthly CF'!DX19*((1+HLOOKUP('Monthly CF'!DX$2,Revenue!$S$8:$AC$10,3,0))^(1/12)))</f>
        <v>0</v>
      </c>
      <c r="DZ19" s="161">
        <f>IF(DZ$1=1,Revenue!$P7*Revenue!$A$23,'Monthly CF'!DY19*((1+HLOOKUP('Monthly CF'!DY$2,Revenue!$S$8:$AC$10,3,0))^(1/12)))</f>
        <v>0</v>
      </c>
      <c r="EA19" s="161">
        <f>IF(EA$1=1,Revenue!$P7*Revenue!$A$23,'Monthly CF'!DZ19*((1+HLOOKUP('Monthly CF'!DZ$2,Revenue!$S$8:$AC$10,3,0))^(1/12)))</f>
        <v>0</v>
      </c>
      <c r="EB19" s="161">
        <f>IF(EB$1=1,Revenue!$P7*Revenue!$A$23,'Monthly CF'!EA19*((1+HLOOKUP('Monthly CF'!EA$2,Revenue!$S$8:$AC$10,3,0))^(1/12)))</f>
        <v>0</v>
      </c>
      <c r="EC19" s="161">
        <f>IF(EC$1=1,Revenue!$P7*Revenue!$A$23,'Monthly CF'!EB19*((1+HLOOKUP('Monthly CF'!EB$2,Revenue!$S$8:$AC$10,3,0))^(1/12)))</f>
        <v>0</v>
      </c>
      <c r="ED19" s="161">
        <f>IF(ED$1=1,Revenue!$P7*Revenue!$A$23,'Monthly CF'!EC19*((1+HLOOKUP('Monthly CF'!EC$2,Revenue!$S$8:$AC$10,3,0))^(1/12)))</f>
        <v>0</v>
      </c>
      <c r="EE19" s="162">
        <f>IF(EE$1=1,Revenue!$P7*Revenue!$A$23,'Monthly CF'!ED19*((1+HLOOKUP('Monthly CF'!ED$2,Revenue!$S$8:$AC$10,3,0))^(1/12)))</f>
        <v>0</v>
      </c>
    </row>
    <row r="20" spans="1:135" x14ac:dyDescent="0.35">
      <c r="A20" s="168">
        <f>SUMIF($C$1:$EE$1,"&lt;="&amp;Summary!$K$19,'Monthly CF'!C20:EE20)</f>
        <v>76696.398246243101</v>
      </c>
      <c r="B20" s="5" t="str">
        <f>Revenue!O8</f>
        <v>Forfeited Deposits</v>
      </c>
      <c r="C20" s="160"/>
      <c r="D20" s="161">
        <f>IF(D$1=1,Revenue!$P8*Revenue!$A$23,'Monthly CF'!C20*((1+HLOOKUP('Monthly CF'!C$2,Revenue!$S$8:$AC$10,3,0))^(1/12)))</f>
        <v>550</v>
      </c>
      <c r="E20" s="161">
        <f>IF(E$1=1,Revenue!$P8*Revenue!$A$23,'Monthly CF'!D20*((1+HLOOKUP('Monthly CF'!D$2,Revenue!$S$8:$AC$10,3,0))^(1/12)))</f>
        <v>551.35644837476707</v>
      </c>
      <c r="F20" s="161">
        <f>IF(F$1=1,Revenue!$P8*Revenue!$A$23,'Monthly CF'!E20*((1+HLOOKUP('Monthly CF'!E$2,Revenue!$S$8:$AC$10,3,0))^(1/12)))</f>
        <v>552.71624211715846</v>
      </c>
      <c r="G20" s="161">
        <f>IF(G$1=1,Revenue!$P8*Revenue!$A$23,'Monthly CF'!F20*((1+HLOOKUP('Monthly CF'!F$2,Revenue!$S$8:$AC$10,3,0))^(1/12)))</f>
        <v>554.07938947775324</v>
      </c>
      <c r="H20" s="161">
        <f>IF(H$1=1,Revenue!$P8*Revenue!$A$23,'Monthly CF'!G20*((1+HLOOKUP('Monthly CF'!G$2,Revenue!$S$8:$AC$10,3,0))^(1/12)))</f>
        <v>555.44589872747872</v>
      </c>
      <c r="I20" s="161">
        <f>IF(I$1=1,Revenue!$P8*Revenue!$A$23,'Monthly CF'!H20*((1+HLOOKUP('Monthly CF'!H$2,Revenue!$S$8:$AC$10,3,0))^(1/12)))</f>
        <v>556.81577815766036</v>
      </c>
      <c r="J20" s="161">
        <f>IF(J$1=1,Revenue!$P8*Revenue!$A$23,'Monthly CF'!I20*((1+HLOOKUP('Monthly CF'!I$2,Revenue!$S$8:$AC$10,3,0))^(1/12)))</f>
        <v>558.18903608007236</v>
      </c>
      <c r="K20" s="161">
        <f>IF(K$1=1,Revenue!$P8*Revenue!$A$23,'Monthly CF'!J20*((1+HLOOKUP('Monthly CF'!J$2,Revenue!$S$8:$AC$10,3,0))^(1/12)))</f>
        <v>559.565680826988</v>
      </c>
      <c r="L20" s="161">
        <f>IF(L$1=1,Revenue!$P8*Revenue!$A$23,'Monthly CF'!K20*((1+HLOOKUP('Monthly CF'!K$2,Revenue!$S$8:$AC$10,3,0))^(1/12)))</f>
        <v>560.94572075123017</v>
      </c>
      <c r="M20" s="161">
        <f>IF(M$1=1,Revenue!$P8*Revenue!$A$23,'Monthly CF'!L20*((1+HLOOKUP('Monthly CF'!L$2,Revenue!$S$8:$AC$10,3,0))^(1/12)))</f>
        <v>562.32916422622202</v>
      </c>
      <c r="N20" s="161">
        <f>IF(N$1=1,Revenue!$P8*Revenue!$A$23,'Monthly CF'!M20*((1+HLOOKUP('Monthly CF'!M$2,Revenue!$S$8:$AC$10,3,0))^(1/12)))</f>
        <v>563.71601964603792</v>
      </c>
      <c r="O20" s="161">
        <f>IF(O$1=1,Revenue!$P8*Revenue!$A$23,'Monthly CF'!N20*((1+HLOOKUP('Monthly CF'!N$2,Revenue!$S$8:$AC$10,3,0))^(1/12)))</f>
        <v>565.10629542545428</v>
      </c>
      <c r="P20" s="161">
        <f>IF(P$1=1,Revenue!$P8*Revenue!$A$23,'Monthly CF'!O20*((1+HLOOKUP('Monthly CF'!O$2,Revenue!$S$8:$AC$10,3,0))^(1/12)))</f>
        <v>566.50000000000057</v>
      </c>
      <c r="Q20" s="161">
        <f>IF(Q$1=1,Revenue!$P8*Revenue!$A$23,'Monthly CF'!P20*((1+HLOOKUP('Monthly CF'!P$2,Revenue!$S$8:$AC$10,3,0))^(1/12)))</f>
        <v>567.89714182601062</v>
      </c>
      <c r="R20" s="161">
        <f>IF(R$1=1,Revenue!$P8*Revenue!$A$23,'Monthly CF'!Q20*((1+HLOOKUP('Monthly CF'!Q$2,Revenue!$S$8:$AC$10,3,0))^(1/12)))</f>
        <v>569.29772938067379</v>
      </c>
      <c r="S20" s="161">
        <f>IF(S$1=1,Revenue!$P8*Revenue!$A$23,'Monthly CF'!R20*((1+HLOOKUP('Monthly CF'!R$2,Revenue!$S$8:$AC$10,3,0))^(1/12)))</f>
        <v>570.70177116208652</v>
      </c>
      <c r="T20" s="161">
        <f>IF(T$1=1,Revenue!$P8*Revenue!$A$23,'Monthly CF'!S20*((1+HLOOKUP('Monthly CF'!S$2,Revenue!$S$8:$AC$10,3,0))^(1/12)))</f>
        <v>572.10927568930379</v>
      </c>
      <c r="U20" s="161">
        <f>IF(U$1=1,Revenue!$P8*Revenue!$A$23,'Monthly CF'!T20*((1+HLOOKUP('Monthly CF'!T$2,Revenue!$S$8:$AC$10,3,0))^(1/12)))</f>
        <v>573.52025150239092</v>
      </c>
      <c r="V20" s="161">
        <f>IF(V$1=1,Revenue!$P8*Revenue!$A$23,'Monthly CF'!U20*((1+HLOOKUP('Monthly CF'!U$2,Revenue!$S$8:$AC$10,3,0))^(1/12)))</f>
        <v>574.93470716247532</v>
      </c>
      <c r="W20" s="161">
        <f>IF(W$1=1,Revenue!$P8*Revenue!$A$23,'Monthly CF'!V20*((1+HLOOKUP('Monthly CF'!V$2,Revenue!$S$8:$AC$10,3,0))^(1/12)))</f>
        <v>576.35265125179842</v>
      </c>
      <c r="X20" s="161">
        <f>IF(X$1=1,Revenue!$P8*Revenue!$A$23,'Monthly CF'!W20*((1+HLOOKUP('Monthly CF'!W$2,Revenue!$S$8:$AC$10,3,0))^(1/12)))</f>
        <v>577.77409237376787</v>
      </c>
      <c r="Y20" s="161">
        <f>IF(Y$1=1,Revenue!$P8*Revenue!$A$23,'Monthly CF'!X20*((1+HLOOKUP('Monthly CF'!X$2,Revenue!$S$8:$AC$10,3,0))^(1/12)))</f>
        <v>579.19903915300949</v>
      </c>
      <c r="Z20" s="161">
        <f>IF(Z$1=1,Revenue!$P8*Revenue!$A$23,'Monthly CF'!Y20*((1+HLOOKUP('Monthly CF'!Y$2,Revenue!$S$8:$AC$10,3,0))^(1/12)))</f>
        <v>580.62750023541992</v>
      </c>
      <c r="AA20" s="161">
        <f>IF(AA$1=1,Revenue!$P8*Revenue!$A$23,'Monthly CF'!Z20*((1+HLOOKUP('Monthly CF'!Z$2,Revenue!$S$8:$AC$10,3,0))^(1/12)))</f>
        <v>582.05948428821875</v>
      </c>
      <c r="AB20" s="161">
        <f>IF(AB$1=1,Revenue!$P8*Revenue!$A$23,'Monthly CF'!AA20*((1+HLOOKUP('Monthly CF'!AA$2,Revenue!$S$8:$AC$10,3,0))^(1/12)))</f>
        <v>583.49500000000148</v>
      </c>
      <c r="AC20" s="161">
        <f>IF(AC$1=1,Revenue!$P8*Revenue!$A$23,'Monthly CF'!AB20*((1+HLOOKUP('Monthly CF'!AB$2,Revenue!$S$8:$AC$10,3,0))^(1/12)))</f>
        <v>584.93405608079183</v>
      </c>
      <c r="AD20" s="161">
        <f>IF(AD$1=1,Revenue!$P8*Revenue!$A$23,'Monthly CF'!AC20*((1+HLOOKUP('Monthly CF'!AC$2,Revenue!$S$8:$AC$10,3,0))^(1/12)))</f>
        <v>586.3766612620949</v>
      </c>
      <c r="AE20" s="161">
        <f>IF(AE$1=1,Revenue!$P8*Revenue!$A$23,'Monthly CF'!AD20*((1+HLOOKUP('Monthly CF'!AD$2,Revenue!$S$8:$AC$10,3,0))^(1/12)))</f>
        <v>587.82282429694999</v>
      </c>
      <c r="AF20" s="161">
        <f>IF(AF$1=1,Revenue!$P8*Revenue!$A$23,'Monthly CF'!AE20*((1+HLOOKUP('Monthly CF'!AE$2,Revenue!$S$8:$AC$10,3,0))^(1/12)))</f>
        <v>589.27255395998372</v>
      </c>
      <c r="AG20" s="161">
        <f>IF(AG$1=1,Revenue!$P8*Revenue!$A$23,'Monthly CF'!AF20*((1+HLOOKUP('Monthly CF'!AF$2,Revenue!$S$8:$AC$10,3,0))^(1/12)))</f>
        <v>590.72585904746347</v>
      </c>
      <c r="AH20" s="161">
        <f>IF(AH$1=1,Revenue!$P8*Revenue!$A$23,'Monthly CF'!AG20*((1+HLOOKUP('Monthly CF'!AG$2,Revenue!$S$8:$AC$10,3,0))^(1/12)))</f>
        <v>592.18274837735032</v>
      </c>
      <c r="AI20" s="161">
        <f>IF(AI$1=1,Revenue!$P8*Revenue!$A$23,'Monthly CF'!AH20*((1+HLOOKUP('Monthly CF'!AH$2,Revenue!$S$8:$AC$10,3,0))^(1/12)))</f>
        <v>593.64323078935308</v>
      </c>
      <c r="AJ20" s="161">
        <f>IF(AJ$1=1,Revenue!$P8*Revenue!$A$23,'Monthly CF'!AI20*((1+HLOOKUP('Monthly CF'!AI$2,Revenue!$S$8:$AC$10,3,0))^(1/12)))</f>
        <v>595.10731514498161</v>
      </c>
      <c r="AK20" s="161">
        <f>IF(AK$1=1,Revenue!$P8*Revenue!$A$23,'Monthly CF'!AJ20*((1+HLOOKUP('Monthly CF'!AJ$2,Revenue!$S$8:$AC$10,3,0))^(1/12)))</f>
        <v>596.57501032760047</v>
      </c>
      <c r="AL20" s="161">
        <f>IF(AL$1=1,Revenue!$P8*Revenue!$A$23,'Monthly CF'!AK20*((1+HLOOKUP('Monthly CF'!AK$2,Revenue!$S$8:$AC$10,3,0))^(1/12)))</f>
        <v>598.04632524248314</v>
      </c>
      <c r="AM20" s="161">
        <f>IF(AM$1=1,Revenue!$P8*Revenue!$A$23,'Monthly CF'!AL20*((1+HLOOKUP('Monthly CF'!AL$2,Revenue!$S$8:$AC$10,3,0))^(1/12)))</f>
        <v>599.52126881686593</v>
      </c>
      <c r="AN20" s="161">
        <f>IF(AN$1=1,Revenue!$P8*Revenue!$A$23,'Monthly CF'!AM20*((1+HLOOKUP('Monthly CF'!AM$2,Revenue!$S$8:$AC$10,3,0))^(1/12)))</f>
        <v>600.99985000000208</v>
      </c>
      <c r="AO20" s="161">
        <f>IF(AO$1=1,Revenue!$P8*Revenue!$A$23,'Monthly CF'!AN20*((1+HLOOKUP('Monthly CF'!AN$2,Revenue!$S$8:$AC$10,3,0))^(1/12)))</f>
        <v>602.48207776321613</v>
      </c>
      <c r="AP20" s="161">
        <f>IF(AP$1=1,Revenue!$P8*Revenue!$A$23,'Monthly CF'!AO20*((1+HLOOKUP('Monthly CF'!AO$2,Revenue!$S$8:$AC$10,3,0))^(1/12)))</f>
        <v>603.9679610999583</v>
      </c>
      <c r="AQ20" s="161">
        <f>IF(AQ$1=1,Revenue!$P8*Revenue!$A$23,'Monthly CF'!AP20*((1+HLOOKUP('Monthly CF'!AP$2,Revenue!$S$8:$AC$10,3,0))^(1/12)))</f>
        <v>605.45750902585905</v>
      </c>
      <c r="AR20" s="161">
        <f>IF(AR$1=1,Revenue!$P8*Revenue!$A$23,'Monthly CF'!AQ20*((1+HLOOKUP('Monthly CF'!AQ$2,Revenue!$S$8:$AC$10,3,0))^(1/12)))</f>
        <v>606.9507305787838</v>
      </c>
      <c r="AS20" s="161">
        <f>IF(AS$1=1,Revenue!$P8*Revenue!$A$23,'Monthly CF'!AR20*((1+HLOOKUP('Monthly CF'!AR$2,Revenue!$S$8:$AC$10,3,0))^(1/12)))</f>
        <v>608.44763481888788</v>
      </c>
      <c r="AT20" s="161">
        <f>IF(AT$1=1,Revenue!$P8*Revenue!$A$23,'Monthly CF'!AS20*((1+HLOOKUP('Monthly CF'!AS$2,Revenue!$S$8:$AC$10,3,0))^(1/12)))</f>
        <v>609.9482308286714</v>
      </c>
      <c r="AU20" s="161">
        <f>IF(AU$1=1,Revenue!$P8*Revenue!$A$23,'Monthly CF'!AT20*((1+HLOOKUP('Monthly CF'!AT$2,Revenue!$S$8:$AC$10,3,0))^(1/12)))</f>
        <v>611.45252771303421</v>
      </c>
      <c r="AV20" s="161">
        <f>IF(AV$1=1,Revenue!$P8*Revenue!$A$23,'Monthly CF'!AU20*((1+HLOOKUP('Monthly CF'!AU$2,Revenue!$S$8:$AC$10,3,0))^(1/12)))</f>
        <v>612.9605345993316</v>
      </c>
      <c r="AW20" s="161">
        <f>IF(AW$1=1,Revenue!$P8*Revenue!$A$23,'Monthly CF'!AV20*((1+HLOOKUP('Monthly CF'!AV$2,Revenue!$S$8:$AC$10,3,0))^(1/12)))</f>
        <v>614.47226063742903</v>
      </c>
      <c r="AX20" s="161">
        <f>IF(AX$1=1,Revenue!$P8*Revenue!$A$23,'Monthly CF'!AW20*((1+HLOOKUP('Monthly CF'!AW$2,Revenue!$S$8:$AC$10,3,0))^(1/12)))</f>
        <v>615.98771499975828</v>
      </c>
      <c r="AY20" s="161">
        <f>IF(AY$1=1,Revenue!$P8*Revenue!$A$23,'Monthly CF'!AX20*((1+HLOOKUP('Monthly CF'!AX$2,Revenue!$S$8:$AC$10,3,0))^(1/12)))</f>
        <v>617.50690688137263</v>
      </c>
      <c r="AZ20" s="161">
        <f>IF(AZ$1=1,Revenue!$P8*Revenue!$A$23,'Monthly CF'!AY20*((1+HLOOKUP('Monthly CF'!AY$2,Revenue!$S$8:$AC$10,3,0))^(1/12)))</f>
        <v>619.02984550000292</v>
      </c>
      <c r="BA20" s="161">
        <f>IF(BA$1=1,Revenue!$P8*Revenue!$A$23,'Monthly CF'!AZ20*((1+HLOOKUP('Monthly CF'!AZ$2,Revenue!$S$8:$AC$10,3,0))^(1/12)))</f>
        <v>620.55654009611339</v>
      </c>
      <c r="BB20" s="161">
        <f>IF(BB$1=1,Revenue!$P8*Revenue!$A$23,'Monthly CF'!BA20*((1+HLOOKUP('Monthly CF'!BA$2,Revenue!$S$8:$AC$10,3,0))^(1/12)))</f>
        <v>622.08699993295784</v>
      </c>
      <c r="BC20" s="161">
        <f>IF(BC$1=1,Revenue!$P8*Revenue!$A$23,'Monthly CF'!BB20*((1+HLOOKUP('Monthly CF'!BB$2,Revenue!$S$8:$AC$10,3,0))^(1/12)))</f>
        <v>623.62123429663552</v>
      </c>
      <c r="BD20" s="161">
        <f>IF(BD$1=1,Revenue!$P8*Revenue!$A$23,'Monthly CF'!BC20*((1+HLOOKUP('Monthly CF'!BC$2,Revenue!$S$8:$AC$10,3,0))^(1/12)))</f>
        <v>625.15925249614804</v>
      </c>
      <c r="BE20" s="161">
        <f>IF(BE$1=1,Revenue!$P8*Revenue!$A$23,'Monthly CF'!BD20*((1+HLOOKUP('Monthly CF'!BD$2,Revenue!$S$8:$AC$10,3,0))^(1/12)))</f>
        <v>626.70106386345526</v>
      </c>
      <c r="BF20" s="161">
        <f>IF(BF$1=1,Revenue!$P8*Revenue!$A$23,'Monthly CF'!BE20*((1+HLOOKUP('Monthly CF'!BE$2,Revenue!$S$8:$AC$10,3,0))^(1/12)))</f>
        <v>628.24667775353225</v>
      </c>
      <c r="BG20" s="161">
        <f>IF(BG$1=1,Revenue!$P8*Revenue!$A$23,'Monthly CF'!BF20*((1+HLOOKUP('Monthly CF'!BF$2,Revenue!$S$8:$AC$10,3,0))^(1/12)))</f>
        <v>629.79610354442605</v>
      </c>
      <c r="BH20" s="161">
        <f>IF(BH$1=1,Revenue!$P8*Revenue!$A$23,'Monthly CF'!BG20*((1+HLOOKUP('Monthly CF'!BG$2,Revenue!$S$8:$AC$10,3,0))^(1/12)))</f>
        <v>631.34935063731234</v>
      </c>
      <c r="BI20" s="161">
        <f>IF(BI$1=1,Revenue!$P8*Revenue!$A$23,'Monthly CF'!BH20*((1+HLOOKUP('Monthly CF'!BH$2,Revenue!$S$8:$AC$10,3,0))^(1/12)))</f>
        <v>632.9064284565527</v>
      </c>
      <c r="BJ20" s="161">
        <f>IF(BJ$1=1,Revenue!$P8*Revenue!$A$23,'Monthly CF'!BI20*((1+HLOOKUP('Monthly CF'!BI$2,Revenue!$S$8:$AC$10,3,0))^(1/12)))</f>
        <v>634.46734644975174</v>
      </c>
      <c r="BK20" s="161">
        <f>IF(BK$1=1,Revenue!$P8*Revenue!$A$23,'Monthly CF'!BJ20*((1+HLOOKUP('Monthly CF'!BJ$2,Revenue!$S$8:$AC$10,3,0))^(1/12)))</f>
        <v>636.03211408781453</v>
      </c>
      <c r="BL20" s="161">
        <f>IF(BL$1=1,Revenue!$P8*Revenue!$A$23,'Monthly CF'!BK20*((1+HLOOKUP('Monthly CF'!BK$2,Revenue!$S$8:$AC$10,3,0))^(1/12)))</f>
        <v>637.60074086500367</v>
      </c>
      <c r="BM20" s="161">
        <f>IF(BM$1=1,Revenue!$P8*Revenue!$A$23,'Monthly CF'!BL20*((1+HLOOKUP('Monthly CF'!BL$2,Revenue!$S$8:$AC$10,3,0))^(1/12)))</f>
        <v>639.17323629899749</v>
      </c>
      <c r="BN20" s="161">
        <f>IF(BN$1=1,Revenue!$P8*Revenue!$A$23,'Monthly CF'!BM20*((1+HLOOKUP('Monthly CF'!BM$2,Revenue!$S$8:$AC$10,3,0))^(1/12)))</f>
        <v>640.74960993094726</v>
      </c>
      <c r="BO20" s="161">
        <f>IF(BO$1=1,Revenue!$P8*Revenue!$A$23,'Monthly CF'!BN20*((1+HLOOKUP('Monthly CF'!BN$2,Revenue!$S$8:$AC$10,3,0))^(1/12)))</f>
        <v>642.32987132553535</v>
      </c>
      <c r="BP20" s="161">
        <f>IF(BP$1=1,Revenue!$P8*Revenue!$A$23,'Monthly CF'!BO20*((1+HLOOKUP('Monthly CF'!BO$2,Revenue!$S$8:$AC$10,3,0))^(1/12)))</f>
        <v>643.91403007103327</v>
      </c>
      <c r="BQ20" s="161">
        <f>IF(BQ$1=1,Revenue!$P8*Revenue!$A$23,'Monthly CF'!BP20*((1+HLOOKUP('Monthly CF'!BP$2,Revenue!$S$8:$AC$10,3,0))^(1/12)))</f>
        <v>645.50209577935971</v>
      </c>
      <c r="BR20" s="161">
        <f>IF(BR$1=1,Revenue!$P8*Revenue!$A$23,'Monthly CF'!BQ20*((1+HLOOKUP('Monthly CF'!BQ$2,Revenue!$S$8:$AC$10,3,0))^(1/12)))</f>
        <v>647.09407808613901</v>
      </c>
      <c r="BS20" s="161">
        <f>IF(BS$1=1,Revenue!$P8*Revenue!$A$23,'Monthly CF'!BR20*((1+HLOOKUP('Monthly CF'!BR$2,Revenue!$S$8:$AC$10,3,0))^(1/12)))</f>
        <v>648.68998665075958</v>
      </c>
      <c r="BT20" s="161">
        <f>IF(BT$1=1,Revenue!$P8*Revenue!$A$23,'Monthly CF'!BS20*((1+HLOOKUP('Monthly CF'!BS$2,Revenue!$S$8:$AC$10,3,0))^(1/12)))</f>
        <v>650.28983115643246</v>
      </c>
      <c r="BU20" s="161">
        <f>IF(BU$1=1,Revenue!$P8*Revenue!$A$23,'Monthly CF'!BT20*((1+HLOOKUP('Monthly CF'!BT$2,Revenue!$S$8:$AC$10,3,0))^(1/12)))</f>
        <v>651.89362131025007</v>
      </c>
      <c r="BV20" s="161">
        <f>IF(BV$1=1,Revenue!$P8*Revenue!$A$23,'Monthly CF'!BU20*((1+HLOOKUP('Monthly CF'!BU$2,Revenue!$S$8:$AC$10,3,0))^(1/12)))</f>
        <v>653.50136684324514</v>
      </c>
      <c r="BW20" s="161">
        <f>IF(BW$1=1,Revenue!$P8*Revenue!$A$23,'Monthly CF'!BV20*((1+HLOOKUP('Monthly CF'!BV$2,Revenue!$S$8:$AC$10,3,0))^(1/12)))</f>
        <v>655.11307751044978</v>
      </c>
      <c r="BX20" s="161">
        <f>IF(BX$1=1,Revenue!$P8*Revenue!$A$23,'Monthly CF'!BW20*((1+HLOOKUP('Monthly CF'!BW$2,Revenue!$S$8:$AC$10,3,0))^(1/12)))</f>
        <v>656.72876309095466</v>
      </c>
      <c r="BY20" s="161">
        <f>IF(BY$1=1,Revenue!$P8*Revenue!$A$23,'Monthly CF'!BX20*((1+HLOOKUP('Monthly CF'!BX$2,Revenue!$S$8:$AC$10,3,0))^(1/12)))</f>
        <v>658.34843338796827</v>
      </c>
      <c r="BZ20" s="161">
        <f>IF(BZ$1=1,Revenue!$P8*Revenue!$A$23,'Monthly CF'!BY20*((1+HLOOKUP('Monthly CF'!BY$2,Revenue!$S$8:$AC$10,3,0))^(1/12)))</f>
        <v>659.97209822887646</v>
      </c>
      <c r="CA20" s="161">
        <f>IF(CA$1=1,Revenue!$P8*Revenue!$A$23,'Monthly CF'!BZ20*((1+HLOOKUP('Monthly CF'!BZ$2,Revenue!$S$8:$AC$10,3,0))^(1/12)))</f>
        <v>661.59976746530219</v>
      </c>
      <c r="CB20" s="161">
        <f>IF(CB$1=1,Revenue!$P8*Revenue!$A$23,'Monthly CF'!CA20*((1+HLOOKUP('Monthly CF'!CA$2,Revenue!$S$8:$AC$10,3,0))^(1/12)))</f>
        <v>663.23145097316501</v>
      </c>
      <c r="CC20" s="161">
        <f>IF(CC$1=1,Revenue!$P8*Revenue!$A$23,'Monthly CF'!CB20*((1+HLOOKUP('Monthly CF'!CB$2,Revenue!$S$8:$AC$10,3,0))^(1/12)))</f>
        <v>664.8671586527413</v>
      </c>
      <c r="CD20" s="161">
        <f>IF(CD$1=1,Revenue!$P8*Revenue!$A$23,'Monthly CF'!CC20*((1+HLOOKUP('Monthly CF'!CC$2,Revenue!$S$8:$AC$10,3,0))^(1/12)))</f>
        <v>666.50690042872395</v>
      </c>
      <c r="CE20" s="161">
        <f>IF(CE$1=1,Revenue!$P8*Revenue!$A$23,'Monthly CF'!CD20*((1+HLOOKUP('Monthly CF'!CD$2,Revenue!$S$8:$AC$10,3,0))^(1/12)))</f>
        <v>668.15068625028312</v>
      </c>
      <c r="CF20" s="161">
        <f>IF(CF$1=1,Revenue!$P8*Revenue!$A$23,'Monthly CF'!CE20*((1+HLOOKUP('Monthly CF'!CE$2,Revenue!$S$8:$AC$10,3,0))^(1/12)))</f>
        <v>669.79852609112618</v>
      </c>
      <c r="CG20" s="161">
        <f>IF(CG$1=1,Revenue!$P8*Revenue!$A$23,'Monthly CF'!CF20*((1+HLOOKUP('Monthly CF'!CF$2,Revenue!$S$8:$AC$10,3,0))^(1/12)))</f>
        <v>671.45042994955827</v>
      </c>
      <c r="CH20" s="161">
        <f>IF(CH$1=1,Revenue!$P8*Revenue!$A$23,'Monthly CF'!CG20*((1+HLOOKUP('Monthly CF'!CG$2,Revenue!$S$8:$AC$10,3,0))^(1/12)))</f>
        <v>673.1064078485432</v>
      </c>
      <c r="CI20" s="161">
        <f>IF(CI$1=1,Revenue!$P8*Revenue!$A$23,'Monthly CF'!CH20*((1+HLOOKUP('Monthly CF'!CH$2,Revenue!$S$8:$AC$10,3,0))^(1/12)))</f>
        <v>674.76646983576393</v>
      </c>
      <c r="CJ20" s="161">
        <f>IF(CJ$1=1,Revenue!$P8*Revenue!$A$23,'Monthly CF'!CI20*((1+HLOOKUP('Monthly CF'!CI$2,Revenue!$S$8:$AC$10,3,0))^(1/12)))</f>
        <v>676.43062598368397</v>
      </c>
      <c r="CK20" s="161">
        <f>IF(CK$1=1,Revenue!$P8*Revenue!$A$23,'Monthly CF'!CJ20*((1+HLOOKUP('Monthly CF'!CJ$2,Revenue!$S$8:$AC$10,3,0))^(1/12)))</f>
        <v>678.09888638960797</v>
      </c>
      <c r="CL20" s="161">
        <f>IF(CL$1=1,Revenue!$P8*Revenue!$A$23,'Monthly CF'!CK20*((1+HLOOKUP('Monthly CF'!CK$2,Revenue!$S$8:$AC$10,3,0))^(1/12)))</f>
        <v>679.77126117574346</v>
      </c>
      <c r="CM20" s="161">
        <f>IF(CM$1=1,Revenue!$P8*Revenue!$A$23,'Monthly CF'!CL20*((1+HLOOKUP('Monthly CF'!CL$2,Revenue!$S$8:$AC$10,3,0))^(1/12)))</f>
        <v>681.4477604892619</v>
      </c>
      <c r="CN20" s="161">
        <f>IF(CN$1=1,Revenue!$P8*Revenue!$A$23,'Monthly CF'!CM20*((1+HLOOKUP('Monthly CF'!CM$2,Revenue!$S$8:$AC$10,3,0))^(1/12)))</f>
        <v>683.12839450236061</v>
      </c>
      <c r="CO20" s="161">
        <f>IF(CO$1=1,Revenue!$P8*Revenue!$A$23,'Monthly CF'!CN20*((1+HLOOKUP('Monthly CF'!CN$2,Revenue!$S$8:$AC$10,3,0))^(1/12)))</f>
        <v>684.81317341232409</v>
      </c>
      <c r="CP20" s="161">
        <f>IF(CP$1=1,Revenue!$P8*Revenue!$A$23,'Monthly CF'!CO20*((1+HLOOKUP('Monthly CF'!CO$2,Revenue!$S$8:$AC$10,3,0))^(1/12)))</f>
        <v>686.5021074415863</v>
      </c>
      <c r="CQ20" s="161">
        <f>IF(CQ$1=1,Revenue!$P8*Revenue!$A$23,'Monthly CF'!CP20*((1+HLOOKUP('Monthly CF'!CP$2,Revenue!$S$8:$AC$10,3,0))^(1/12)))</f>
        <v>688.19520683779228</v>
      </c>
      <c r="CR20" s="161">
        <f>IF(CR$1=1,Revenue!$P8*Revenue!$A$23,'Monthly CF'!CQ20*((1+HLOOKUP('Monthly CF'!CQ$2,Revenue!$S$8:$AC$10,3,0))^(1/12)))</f>
        <v>689.89248187386056</v>
      </c>
      <c r="CS20" s="161">
        <f>IF(CS$1=1,Revenue!$P8*Revenue!$A$23,'Monthly CF'!CR20*((1+HLOOKUP('Monthly CF'!CR$2,Revenue!$S$8:$AC$10,3,0))^(1/12)))</f>
        <v>691.59394284804569</v>
      </c>
      <c r="CT20" s="161">
        <f>IF(CT$1=1,Revenue!$P8*Revenue!$A$23,'Monthly CF'!CS20*((1+HLOOKUP('Monthly CF'!CS$2,Revenue!$S$8:$AC$10,3,0))^(1/12)))</f>
        <v>693.29960008400019</v>
      </c>
      <c r="CU20" s="161">
        <f>IF(CU$1=1,Revenue!$P8*Revenue!$A$23,'Monthly CF'!CT20*((1+HLOOKUP('Monthly CF'!CT$2,Revenue!$S$8:$AC$10,3,0))^(1/12)))</f>
        <v>695.00946393083757</v>
      </c>
      <c r="CV20" s="161">
        <f>IF(CV$1=1,Revenue!$P8*Revenue!$A$23,'Monthly CF'!CU20*((1+HLOOKUP('Monthly CF'!CU$2,Revenue!$S$8:$AC$10,3,0))^(1/12)))</f>
        <v>696.72354476319515</v>
      </c>
      <c r="CW20" s="161">
        <f>IF(CW$1=1,Revenue!$P8*Revenue!$A$23,'Monthly CF'!CV20*((1+HLOOKUP('Monthly CF'!CV$2,Revenue!$S$8:$AC$10,3,0))^(1/12)))</f>
        <v>698.44185298129685</v>
      </c>
      <c r="CX20" s="161">
        <f>IF(CX$1=1,Revenue!$P8*Revenue!$A$23,'Monthly CF'!CW20*((1+HLOOKUP('Monthly CF'!CW$2,Revenue!$S$8:$AC$10,3,0))^(1/12)))</f>
        <v>700.16439901101637</v>
      </c>
      <c r="CY20" s="161">
        <f>IF(CY$1=1,Revenue!$P8*Revenue!$A$23,'Monthly CF'!CX20*((1+HLOOKUP('Monthly CF'!CX$2,Revenue!$S$8:$AC$10,3,0))^(1/12)))</f>
        <v>701.89119330394044</v>
      </c>
      <c r="CZ20" s="161">
        <f>IF(CZ$1=1,Revenue!$P8*Revenue!$A$23,'Monthly CF'!CY20*((1+HLOOKUP('Monthly CF'!CY$2,Revenue!$S$8:$AC$10,3,0))^(1/12)))</f>
        <v>703.6222463374321</v>
      </c>
      <c r="DA20" s="161">
        <f>IF(DA$1=1,Revenue!$P8*Revenue!$A$23,'Monthly CF'!CZ20*((1+HLOOKUP('Monthly CF'!CZ$2,Revenue!$S$8:$AC$10,3,0))^(1/12)))</f>
        <v>705.35756861469451</v>
      </c>
      <c r="DB20" s="161">
        <f>IF(DB$1=1,Revenue!$P8*Revenue!$A$23,'Monthly CF'!DA20*((1+HLOOKUP('Monthly CF'!DA$2,Revenue!$S$8:$AC$10,3,0))^(1/12)))</f>
        <v>707.09717066483461</v>
      </c>
      <c r="DC20" s="161">
        <f>IF(DC$1=1,Revenue!$P8*Revenue!$A$23,'Monthly CF'!DB20*((1+HLOOKUP('Monthly CF'!DB$2,Revenue!$S$8:$AC$10,3,0))^(1/12)))</f>
        <v>708.84106304292675</v>
      </c>
      <c r="DD20" s="161">
        <f>IF(DD$1=1,Revenue!$P8*Revenue!$A$23,'Monthly CF'!DC20*((1+HLOOKUP('Monthly CF'!DC$2,Revenue!$S$8:$AC$10,3,0))^(1/12)))</f>
        <v>710.58925633007709</v>
      </c>
      <c r="DE20" s="161">
        <f>IF(DE$1=1,Revenue!$P8*Revenue!$A$23,'Monthly CF'!DD20*((1+HLOOKUP('Monthly CF'!DD$2,Revenue!$S$8:$AC$10,3,0))^(1/12)))</f>
        <v>712.34176113348769</v>
      </c>
      <c r="DF20" s="161">
        <f>IF(DF$1=1,Revenue!$P8*Revenue!$A$23,'Monthly CF'!DE20*((1+HLOOKUP('Monthly CF'!DE$2,Revenue!$S$8:$AC$10,3,0))^(1/12)))</f>
        <v>714.09858808652075</v>
      </c>
      <c r="DG20" s="161">
        <f>IF(DG$1=1,Revenue!$P8*Revenue!$A$23,'Monthly CF'!DF20*((1+HLOOKUP('Monthly CF'!DF$2,Revenue!$S$8:$AC$10,3,0))^(1/12)))</f>
        <v>715.85974784876328</v>
      </c>
      <c r="DH20" s="161">
        <f>IF(DH$1=1,Revenue!$P8*Revenue!$A$23,'Monthly CF'!DG20*((1+HLOOKUP('Monthly CF'!DG$2,Revenue!$S$8:$AC$10,3,0))^(1/12)))</f>
        <v>717.62525110609158</v>
      </c>
      <c r="DI20" s="161">
        <f>IF(DI$1=1,Revenue!$P8*Revenue!$A$23,'Monthly CF'!DH20*((1+HLOOKUP('Monthly CF'!DH$2,Revenue!$S$8:$AC$10,3,0))^(1/12)))</f>
        <v>719.3951085707364</v>
      </c>
      <c r="DJ20" s="161">
        <f>IF(DJ$1=1,Revenue!$P8*Revenue!$A$23,'Monthly CF'!DI20*((1+HLOOKUP('Monthly CF'!DI$2,Revenue!$S$8:$AC$10,3,0))^(1/12)))</f>
        <v>721.16933098134757</v>
      </c>
      <c r="DK20" s="161">
        <f>IF(DK$1=1,Revenue!$P8*Revenue!$A$23,'Monthly CF'!DJ20*((1+HLOOKUP('Monthly CF'!DJ$2,Revenue!$S$8:$AC$10,3,0))^(1/12)))</f>
        <v>722.94792910305932</v>
      </c>
      <c r="DL20" s="161">
        <f>IF(DL$1=1,Revenue!$P8*Revenue!$A$23,'Monthly CF'!DK20*((1+HLOOKUP('Monthly CF'!DK$2,Revenue!$S$8:$AC$10,3,0))^(1/12)))</f>
        <v>724.73091372755573</v>
      </c>
      <c r="DM20" s="161">
        <f>IF(DM$1=1,Revenue!$P8*Revenue!$A$23,'Monthly CF'!DL20*((1+HLOOKUP('Monthly CF'!DL$2,Revenue!$S$8:$AC$10,3,0))^(1/12)))</f>
        <v>726.51829567313598</v>
      </c>
      <c r="DN20" s="161">
        <f>IF(DN$1=1,Revenue!$P8*Revenue!$A$23,'Monthly CF'!DM20*((1+HLOOKUP('Monthly CF'!DM$2,Revenue!$S$8:$AC$10,3,0))^(1/12)))</f>
        <v>728.3100857847802</v>
      </c>
      <c r="DO20" s="161">
        <f>IF(DO$1=1,Revenue!$P8*Revenue!$A$23,'Monthly CF'!DN20*((1+HLOOKUP('Monthly CF'!DN$2,Revenue!$S$8:$AC$10,3,0))^(1/12)))</f>
        <v>730.10629493421516</v>
      </c>
      <c r="DP20" s="161">
        <f>IF(DP$1=1,Revenue!$P8*Revenue!$A$23,'Monthly CF'!DO20*((1+HLOOKUP('Monthly CF'!DO$2,Revenue!$S$8:$AC$10,3,0))^(1/12)))</f>
        <v>731.9069340199801</v>
      </c>
      <c r="DQ20" s="161">
        <f>IF(DQ$1=1,Revenue!$P8*Revenue!$A$23,'Monthly CF'!DP20*((1+HLOOKUP('Monthly CF'!DP$2,Revenue!$S$8:$AC$10,3,0))^(1/12)))</f>
        <v>733.71201396749302</v>
      </c>
      <c r="DR20" s="161">
        <f>IF(DR$1=1,Revenue!$P8*Revenue!$A$23,'Monthly CF'!DQ20*((1+HLOOKUP('Monthly CF'!DQ$2,Revenue!$S$8:$AC$10,3,0))^(1/12)))</f>
        <v>735.52154572911707</v>
      </c>
      <c r="DS20" s="161">
        <f>IF(DS$1=1,Revenue!$P8*Revenue!$A$23,'Monthly CF'!DR20*((1+HLOOKUP('Monthly CF'!DR$2,Revenue!$S$8:$AC$10,3,0))^(1/12)))</f>
        <v>737.33554028422691</v>
      </c>
      <c r="DT20" s="161">
        <f>IF(DT$1=1,Revenue!$P8*Revenue!$A$23,'Monthly CF'!DS20*((1+HLOOKUP('Monthly CF'!DS$2,Revenue!$S$8:$AC$10,3,0))^(1/12)))</f>
        <v>739.15400863927505</v>
      </c>
      <c r="DU20" s="161">
        <f>IF(DU$1=1,Revenue!$P8*Revenue!$A$23,'Monthly CF'!DT20*((1+HLOOKUP('Monthly CF'!DT$2,Revenue!$S$8:$AC$10,3,0))^(1/12)))</f>
        <v>740.97696182785921</v>
      </c>
      <c r="DV20" s="161">
        <f>IF(DV$1=1,Revenue!$P8*Revenue!$A$23,'Monthly CF'!DU20*((1+HLOOKUP('Monthly CF'!DU$2,Revenue!$S$8:$AC$10,3,0))^(1/12)))</f>
        <v>742.80441091078865</v>
      </c>
      <c r="DW20" s="161">
        <f>IF(DW$1=1,Revenue!$P8*Revenue!$A$23,'Monthly CF'!DV20*((1+HLOOKUP('Monthly CF'!DV$2,Revenue!$S$8:$AC$10,3,0))^(1/12)))</f>
        <v>744.63636697615175</v>
      </c>
      <c r="DX20" s="161">
        <f>IF(DX$1=1,Revenue!$P8*Revenue!$A$23,'Monthly CF'!DW20*((1+HLOOKUP('Monthly CF'!DW$2,Revenue!$S$8:$AC$10,3,0))^(1/12)))</f>
        <v>746.47284113938304</v>
      </c>
      <c r="DY20" s="161">
        <f>IF(DY$1=1,Revenue!$P8*Revenue!$A$23,'Monthly CF'!DX20*((1+HLOOKUP('Monthly CF'!DX$2,Revenue!$S$8:$AC$10,3,0))^(1/12)))</f>
        <v>748.31384454333079</v>
      </c>
      <c r="DZ20" s="161">
        <f>IF(DZ$1=1,Revenue!$P8*Revenue!$A$23,'Monthly CF'!DY20*((1+HLOOKUP('Monthly CF'!DY$2,Revenue!$S$8:$AC$10,3,0))^(1/12)))</f>
        <v>750.15938835832435</v>
      </c>
      <c r="EA20" s="161">
        <f>IF(EA$1=1,Revenue!$P8*Revenue!$A$23,'Monthly CF'!DZ20*((1+HLOOKUP('Monthly CF'!DZ$2,Revenue!$S$8:$AC$10,3,0))^(1/12)))</f>
        <v>752.00948378224234</v>
      </c>
      <c r="EB20" s="161">
        <f>IF(EB$1=1,Revenue!$P8*Revenue!$A$23,'Monthly CF'!EA20*((1+HLOOKUP('Monthly CF'!EA$2,Revenue!$S$8:$AC$10,3,0))^(1/12)))</f>
        <v>753.86414204058019</v>
      </c>
      <c r="EC20" s="161">
        <f>IF(EC$1=1,Revenue!$P8*Revenue!$A$23,'Monthly CF'!EB20*((1+HLOOKUP('Monthly CF'!EB$2,Revenue!$S$8:$AC$10,3,0))^(1/12)))</f>
        <v>755.72337438651857</v>
      </c>
      <c r="ED20" s="161">
        <f>IF(ED$1=1,Revenue!$P8*Revenue!$A$23,'Monthly CF'!EC20*((1+HLOOKUP('Monthly CF'!EC$2,Revenue!$S$8:$AC$10,3,0))^(1/12)))</f>
        <v>757.58719210099139</v>
      </c>
      <c r="EE20" s="162">
        <f>IF(EE$1=1,Revenue!$P8*Revenue!$A$23,'Monthly CF'!ED20*((1+HLOOKUP('Monthly CF'!ED$2,Revenue!$S$8:$AC$10,3,0))^(1/12)))</f>
        <v>759.45560649275444</v>
      </c>
    </row>
    <row r="21" spans="1:135" x14ac:dyDescent="0.35">
      <c r="A21" s="168">
        <f>SUMIF($C$1:$EE$1,"&lt;="&amp;Summary!$K$19,'Monthly CF'!C21:EE21)</f>
        <v>0</v>
      </c>
      <c r="B21" s="5" t="str">
        <f>Revenue!O9</f>
        <v>Other Charges</v>
      </c>
      <c r="C21" s="160"/>
      <c r="D21" s="161">
        <f>IF(D$1=1,Revenue!$P9*Revenue!$A$23,'Monthly CF'!C21*((1+HLOOKUP('Monthly CF'!C$2,Revenue!$S$8:$AC$10,3,0))^(1/12)))</f>
        <v>0</v>
      </c>
      <c r="E21" s="161">
        <f>IF(E$1=1,Revenue!$P9*Revenue!$A$23,'Monthly CF'!D21*((1+HLOOKUP('Monthly CF'!D$2,Revenue!$S$8:$AC$10,3,0))^(1/12)))</f>
        <v>0</v>
      </c>
      <c r="F21" s="161">
        <f>IF(F$1=1,Revenue!$P9*Revenue!$A$23,'Monthly CF'!E21*((1+HLOOKUP('Monthly CF'!E$2,Revenue!$S$8:$AC$10,3,0))^(1/12)))</f>
        <v>0</v>
      </c>
      <c r="G21" s="161">
        <f>IF(G$1=1,Revenue!$P9*Revenue!$A$23,'Monthly CF'!F21*((1+HLOOKUP('Monthly CF'!F$2,Revenue!$S$8:$AC$10,3,0))^(1/12)))</f>
        <v>0</v>
      </c>
      <c r="H21" s="161">
        <f>IF(H$1=1,Revenue!$P9*Revenue!$A$23,'Monthly CF'!G21*((1+HLOOKUP('Monthly CF'!G$2,Revenue!$S$8:$AC$10,3,0))^(1/12)))</f>
        <v>0</v>
      </c>
      <c r="I21" s="161">
        <f>IF(I$1=1,Revenue!$P9*Revenue!$A$23,'Monthly CF'!H21*((1+HLOOKUP('Monthly CF'!H$2,Revenue!$S$8:$AC$10,3,0))^(1/12)))</f>
        <v>0</v>
      </c>
      <c r="J21" s="161">
        <f>IF(J$1=1,Revenue!$P9*Revenue!$A$23,'Monthly CF'!I21*((1+HLOOKUP('Monthly CF'!I$2,Revenue!$S$8:$AC$10,3,0))^(1/12)))</f>
        <v>0</v>
      </c>
      <c r="K21" s="161">
        <f>IF(K$1=1,Revenue!$P9*Revenue!$A$23,'Monthly CF'!J21*((1+HLOOKUP('Monthly CF'!J$2,Revenue!$S$8:$AC$10,3,0))^(1/12)))</f>
        <v>0</v>
      </c>
      <c r="L21" s="161">
        <f>IF(L$1=1,Revenue!$P9*Revenue!$A$23,'Monthly CF'!K21*((1+HLOOKUP('Monthly CF'!K$2,Revenue!$S$8:$AC$10,3,0))^(1/12)))</f>
        <v>0</v>
      </c>
      <c r="M21" s="161">
        <f>IF(M$1=1,Revenue!$P9*Revenue!$A$23,'Monthly CF'!L21*((1+HLOOKUP('Monthly CF'!L$2,Revenue!$S$8:$AC$10,3,0))^(1/12)))</f>
        <v>0</v>
      </c>
      <c r="N21" s="161">
        <f>IF(N$1=1,Revenue!$P9*Revenue!$A$23,'Monthly CF'!M21*((1+HLOOKUP('Monthly CF'!M$2,Revenue!$S$8:$AC$10,3,0))^(1/12)))</f>
        <v>0</v>
      </c>
      <c r="O21" s="161">
        <f>IF(O$1=1,Revenue!$P9*Revenue!$A$23,'Monthly CF'!N21*((1+HLOOKUP('Monthly CF'!N$2,Revenue!$S$8:$AC$10,3,0))^(1/12)))</f>
        <v>0</v>
      </c>
      <c r="P21" s="161">
        <f>IF(P$1=1,Revenue!$P9*Revenue!$A$23,'Monthly CF'!O21*((1+HLOOKUP('Monthly CF'!O$2,Revenue!$S$8:$AC$10,3,0))^(1/12)))</f>
        <v>0</v>
      </c>
      <c r="Q21" s="161">
        <f>IF(Q$1=1,Revenue!$P9*Revenue!$A$23,'Monthly CF'!P21*((1+HLOOKUP('Monthly CF'!P$2,Revenue!$S$8:$AC$10,3,0))^(1/12)))</f>
        <v>0</v>
      </c>
      <c r="R21" s="161">
        <f>IF(R$1=1,Revenue!$P9*Revenue!$A$23,'Monthly CF'!Q21*((1+HLOOKUP('Monthly CF'!Q$2,Revenue!$S$8:$AC$10,3,0))^(1/12)))</f>
        <v>0</v>
      </c>
      <c r="S21" s="161">
        <f>IF(S$1=1,Revenue!$P9*Revenue!$A$23,'Monthly CF'!R21*((1+HLOOKUP('Monthly CF'!R$2,Revenue!$S$8:$AC$10,3,0))^(1/12)))</f>
        <v>0</v>
      </c>
      <c r="T21" s="161">
        <f>IF(T$1=1,Revenue!$P9*Revenue!$A$23,'Monthly CF'!S21*((1+HLOOKUP('Monthly CF'!S$2,Revenue!$S$8:$AC$10,3,0))^(1/12)))</f>
        <v>0</v>
      </c>
      <c r="U21" s="161">
        <f>IF(U$1=1,Revenue!$P9*Revenue!$A$23,'Monthly CF'!T21*((1+HLOOKUP('Monthly CF'!T$2,Revenue!$S$8:$AC$10,3,0))^(1/12)))</f>
        <v>0</v>
      </c>
      <c r="V21" s="161">
        <f>IF(V$1=1,Revenue!$P9*Revenue!$A$23,'Monthly CF'!U21*((1+HLOOKUP('Monthly CF'!U$2,Revenue!$S$8:$AC$10,3,0))^(1/12)))</f>
        <v>0</v>
      </c>
      <c r="W21" s="161">
        <f>IF(W$1=1,Revenue!$P9*Revenue!$A$23,'Monthly CF'!V21*((1+HLOOKUP('Monthly CF'!V$2,Revenue!$S$8:$AC$10,3,0))^(1/12)))</f>
        <v>0</v>
      </c>
      <c r="X21" s="161">
        <f>IF(X$1=1,Revenue!$P9*Revenue!$A$23,'Monthly CF'!W21*((1+HLOOKUP('Monthly CF'!W$2,Revenue!$S$8:$AC$10,3,0))^(1/12)))</f>
        <v>0</v>
      </c>
      <c r="Y21" s="161">
        <f>IF(Y$1=1,Revenue!$P9*Revenue!$A$23,'Monthly CF'!X21*((1+HLOOKUP('Monthly CF'!X$2,Revenue!$S$8:$AC$10,3,0))^(1/12)))</f>
        <v>0</v>
      </c>
      <c r="Z21" s="161">
        <f>IF(Z$1=1,Revenue!$P9*Revenue!$A$23,'Monthly CF'!Y21*((1+HLOOKUP('Monthly CF'!Y$2,Revenue!$S$8:$AC$10,3,0))^(1/12)))</f>
        <v>0</v>
      </c>
      <c r="AA21" s="161">
        <f>IF(AA$1=1,Revenue!$P9*Revenue!$A$23,'Monthly CF'!Z21*((1+HLOOKUP('Monthly CF'!Z$2,Revenue!$S$8:$AC$10,3,0))^(1/12)))</f>
        <v>0</v>
      </c>
      <c r="AB21" s="161">
        <f>IF(AB$1=1,Revenue!$P9*Revenue!$A$23,'Monthly CF'!AA21*((1+HLOOKUP('Monthly CF'!AA$2,Revenue!$S$8:$AC$10,3,0))^(1/12)))</f>
        <v>0</v>
      </c>
      <c r="AC21" s="161">
        <f>IF(AC$1=1,Revenue!$P9*Revenue!$A$23,'Monthly CF'!AB21*((1+HLOOKUP('Monthly CF'!AB$2,Revenue!$S$8:$AC$10,3,0))^(1/12)))</f>
        <v>0</v>
      </c>
      <c r="AD21" s="161">
        <f>IF(AD$1=1,Revenue!$P9*Revenue!$A$23,'Monthly CF'!AC21*((1+HLOOKUP('Monthly CF'!AC$2,Revenue!$S$8:$AC$10,3,0))^(1/12)))</f>
        <v>0</v>
      </c>
      <c r="AE21" s="161">
        <f>IF(AE$1=1,Revenue!$P9*Revenue!$A$23,'Monthly CF'!AD21*((1+HLOOKUP('Monthly CF'!AD$2,Revenue!$S$8:$AC$10,3,0))^(1/12)))</f>
        <v>0</v>
      </c>
      <c r="AF21" s="161">
        <f>IF(AF$1=1,Revenue!$P9*Revenue!$A$23,'Monthly CF'!AE21*((1+HLOOKUP('Monthly CF'!AE$2,Revenue!$S$8:$AC$10,3,0))^(1/12)))</f>
        <v>0</v>
      </c>
      <c r="AG21" s="161">
        <f>IF(AG$1=1,Revenue!$P9*Revenue!$A$23,'Monthly CF'!AF21*((1+HLOOKUP('Monthly CF'!AF$2,Revenue!$S$8:$AC$10,3,0))^(1/12)))</f>
        <v>0</v>
      </c>
      <c r="AH21" s="161">
        <f>IF(AH$1=1,Revenue!$P9*Revenue!$A$23,'Monthly CF'!AG21*((1+HLOOKUP('Monthly CF'!AG$2,Revenue!$S$8:$AC$10,3,0))^(1/12)))</f>
        <v>0</v>
      </c>
      <c r="AI21" s="161">
        <f>IF(AI$1=1,Revenue!$P9*Revenue!$A$23,'Monthly CF'!AH21*((1+HLOOKUP('Monthly CF'!AH$2,Revenue!$S$8:$AC$10,3,0))^(1/12)))</f>
        <v>0</v>
      </c>
      <c r="AJ21" s="161">
        <f>IF(AJ$1=1,Revenue!$P9*Revenue!$A$23,'Monthly CF'!AI21*((1+HLOOKUP('Monthly CF'!AI$2,Revenue!$S$8:$AC$10,3,0))^(1/12)))</f>
        <v>0</v>
      </c>
      <c r="AK21" s="161">
        <f>IF(AK$1=1,Revenue!$P9*Revenue!$A$23,'Monthly CF'!AJ21*((1+HLOOKUP('Monthly CF'!AJ$2,Revenue!$S$8:$AC$10,3,0))^(1/12)))</f>
        <v>0</v>
      </c>
      <c r="AL21" s="161">
        <f>IF(AL$1=1,Revenue!$P9*Revenue!$A$23,'Monthly CF'!AK21*((1+HLOOKUP('Monthly CF'!AK$2,Revenue!$S$8:$AC$10,3,0))^(1/12)))</f>
        <v>0</v>
      </c>
      <c r="AM21" s="161">
        <f>IF(AM$1=1,Revenue!$P9*Revenue!$A$23,'Monthly CF'!AL21*((1+HLOOKUP('Monthly CF'!AL$2,Revenue!$S$8:$AC$10,3,0))^(1/12)))</f>
        <v>0</v>
      </c>
      <c r="AN21" s="161">
        <f>IF(AN$1=1,Revenue!$P9*Revenue!$A$23,'Monthly CF'!AM21*((1+HLOOKUP('Monthly CF'!AM$2,Revenue!$S$8:$AC$10,3,0))^(1/12)))</f>
        <v>0</v>
      </c>
      <c r="AO21" s="161">
        <f>IF(AO$1=1,Revenue!$P9*Revenue!$A$23,'Monthly CF'!AN21*((1+HLOOKUP('Monthly CF'!AN$2,Revenue!$S$8:$AC$10,3,0))^(1/12)))</f>
        <v>0</v>
      </c>
      <c r="AP21" s="161">
        <f>IF(AP$1=1,Revenue!$P9*Revenue!$A$23,'Monthly CF'!AO21*((1+HLOOKUP('Monthly CF'!AO$2,Revenue!$S$8:$AC$10,3,0))^(1/12)))</f>
        <v>0</v>
      </c>
      <c r="AQ21" s="161">
        <f>IF(AQ$1=1,Revenue!$P9*Revenue!$A$23,'Monthly CF'!AP21*((1+HLOOKUP('Monthly CF'!AP$2,Revenue!$S$8:$AC$10,3,0))^(1/12)))</f>
        <v>0</v>
      </c>
      <c r="AR21" s="161">
        <f>IF(AR$1=1,Revenue!$P9*Revenue!$A$23,'Monthly CF'!AQ21*((1+HLOOKUP('Monthly CF'!AQ$2,Revenue!$S$8:$AC$10,3,0))^(1/12)))</f>
        <v>0</v>
      </c>
      <c r="AS21" s="161">
        <f>IF(AS$1=1,Revenue!$P9*Revenue!$A$23,'Monthly CF'!AR21*((1+HLOOKUP('Monthly CF'!AR$2,Revenue!$S$8:$AC$10,3,0))^(1/12)))</f>
        <v>0</v>
      </c>
      <c r="AT21" s="161">
        <f>IF(AT$1=1,Revenue!$P9*Revenue!$A$23,'Monthly CF'!AS21*((1+HLOOKUP('Monthly CF'!AS$2,Revenue!$S$8:$AC$10,3,0))^(1/12)))</f>
        <v>0</v>
      </c>
      <c r="AU21" s="161">
        <f>IF(AU$1=1,Revenue!$P9*Revenue!$A$23,'Monthly CF'!AT21*((1+HLOOKUP('Monthly CF'!AT$2,Revenue!$S$8:$AC$10,3,0))^(1/12)))</f>
        <v>0</v>
      </c>
      <c r="AV21" s="161">
        <f>IF(AV$1=1,Revenue!$P9*Revenue!$A$23,'Monthly CF'!AU21*((1+HLOOKUP('Monthly CF'!AU$2,Revenue!$S$8:$AC$10,3,0))^(1/12)))</f>
        <v>0</v>
      </c>
      <c r="AW21" s="161">
        <f>IF(AW$1=1,Revenue!$P9*Revenue!$A$23,'Monthly CF'!AV21*((1+HLOOKUP('Monthly CF'!AV$2,Revenue!$S$8:$AC$10,3,0))^(1/12)))</f>
        <v>0</v>
      </c>
      <c r="AX21" s="161">
        <f>IF(AX$1=1,Revenue!$P9*Revenue!$A$23,'Monthly CF'!AW21*((1+HLOOKUP('Monthly CF'!AW$2,Revenue!$S$8:$AC$10,3,0))^(1/12)))</f>
        <v>0</v>
      </c>
      <c r="AY21" s="161">
        <f>IF(AY$1=1,Revenue!$P9*Revenue!$A$23,'Monthly CF'!AX21*((1+HLOOKUP('Monthly CF'!AX$2,Revenue!$S$8:$AC$10,3,0))^(1/12)))</f>
        <v>0</v>
      </c>
      <c r="AZ21" s="161">
        <f>IF(AZ$1=1,Revenue!$P9*Revenue!$A$23,'Monthly CF'!AY21*((1+HLOOKUP('Monthly CF'!AY$2,Revenue!$S$8:$AC$10,3,0))^(1/12)))</f>
        <v>0</v>
      </c>
      <c r="BA21" s="161">
        <f>IF(BA$1=1,Revenue!$P9*Revenue!$A$23,'Monthly CF'!AZ21*((1+HLOOKUP('Monthly CF'!AZ$2,Revenue!$S$8:$AC$10,3,0))^(1/12)))</f>
        <v>0</v>
      </c>
      <c r="BB21" s="161">
        <f>IF(BB$1=1,Revenue!$P9*Revenue!$A$23,'Monthly CF'!BA21*((1+HLOOKUP('Monthly CF'!BA$2,Revenue!$S$8:$AC$10,3,0))^(1/12)))</f>
        <v>0</v>
      </c>
      <c r="BC21" s="161">
        <f>IF(BC$1=1,Revenue!$P9*Revenue!$A$23,'Monthly CF'!BB21*((1+HLOOKUP('Monthly CF'!BB$2,Revenue!$S$8:$AC$10,3,0))^(1/12)))</f>
        <v>0</v>
      </c>
      <c r="BD21" s="161">
        <f>IF(BD$1=1,Revenue!$P9*Revenue!$A$23,'Monthly CF'!BC21*((1+HLOOKUP('Monthly CF'!BC$2,Revenue!$S$8:$AC$10,3,0))^(1/12)))</f>
        <v>0</v>
      </c>
      <c r="BE21" s="161">
        <f>IF(BE$1=1,Revenue!$P9*Revenue!$A$23,'Monthly CF'!BD21*((1+HLOOKUP('Monthly CF'!BD$2,Revenue!$S$8:$AC$10,3,0))^(1/12)))</f>
        <v>0</v>
      </c>
      <c r="BF21" s="161">
        <f>IF(BF$1=1,Revenue!$P9*Revenue!$A$23,'Monthly CF'!BE21*((1+HLOOKUP('Monthly CF'!BE$2,Revenue!$S$8:$AC$10,3,0))^(1/12)))</f>
        <v>0</v>
      </c>
      <c r="BG21" s="161">
        <f>IF(BG$1=1,Revenue!$P9*Revenue!$A$23,'Monthly CF'!BF21*((1+HLOOKUP('Monthly CF'!BF$2,Revenue!$S$8:$AC$10,3,0))^(1/12)))</f>
        <v>0</v>
      </c>
      <c r="BH21" s="161">
        <f>IF(BH$1=1,Revenue!$P9*Revenue!$A$23,'Monthly CF'!BG21*((1+HLOOKUP('Monthly CF'!BG$2,Revenue!$S$8:$AC$10,3,0))^(1/12)))</f>
        <v>0</v>
      </c>
      <c r="BI21" s="161">
        <f>IF(BI$1=1,Revenue!$P9*Revenue!$A$23,'Monthly CF'!BH21*((1+HLOOKUP('Monthly CF'!BH$2,Revenue!$S$8:$AC$10,3,0))^(1/12)))</f>
        <v>0</v>
      </c>
      <c r="BJ21" s="161">
        <f>IF(BJ$1=1,Revenue!$P9*Revenue!$A$23,'Monthly CF'!BI21*((1+HLOOKUP('Monthly CF'!BI$2,Revenue!$S$8:$AC$10,3,0))^(1/12)))</f>
        <v>0</v>
      </c>
      <c r="BK21" s="161">
        <f>IF(BK$1=1,Revenue!$P9*Revenue!$A$23,'Monthly CF'!BJ21*((1+HLOOKUP('Monthly CF'!BJ$2,Revenue!$S$8:$AC$10,3,0))^(1/12)))</f>
        <v>0</v>
      </c>
      <c r="BL21" s="161">
        <f>IF(BL$1=1,Revenue!$P9*Revenue!$A$23,'Monthly CF'!BK21*((1+HLOOKUP('Monthly CF'!BK$2,Revenue!$S$8:$AC$10,3,0))^(1/12)))</f>
        <v>0</v>
      </c>
      <c r="BM21" s="161">
        <f>IF(BM$1=1,Revenue!$P9*Revenue!$A$23,'Monthly CF'!BL21*((1+HLOOKUP('Monthly CF'!BL$2,Revenue!$S$8:$AC$10,3,0))^(1/12)))</f>
        <v>0</v>
      </c>
      <c r="BN21" s="161">
        <f>IF(BN$1=1,Revenue!$P9*Revenue!$A$23,'Monthly CF'!BM21*((1+HLOOKUP('Monthly CF'!BM$2,Revenue!$S$8:$AC$10,3,0))^(1/12)))</f>
        <v>0</v>
      </c>
      <c r="BO21" s="161">
        <f>IF(BO$1=1,Revenue!$P9*Revenue!$A$23,'Monthly CF'!BN21*((1+HLOOKUP('Monthly CF'!BN$2,Revenue!$S$8:$AC$10,3,0))^(1/12)))</f>
        <v>0</v>
      </c>
      <c r="BP21" s="161">
        <f>IF(BP$1=1,Revenue!$P9*Revenue!$A$23,'Monthly CF'!BO21*((1+HLOOKUP('Monthly CF'!BO$2,Revenue!$S$8:$AC$10,3,0))^(1/12)))</f>
        <v>0</v>
      </c>
      <c r="BQ21" s="161">
        <f>IF(BQ$1=1,Revenue!$P9*Revenue!$A$23,'Monthly CF'!BP21*((1+HLOOKUP('Monthly CF'!BP$2,Revenue!$S$8:$AC$10,3,0))^(1/12)))</f>
        <v>0</v>
      </c>
      <c r="BR21" s="161">
        <f>IF(BR$1=1,Revenue!$P9*Revenue!$A$23,'Monthly CF'!BQ21*((1+HLOOKUP('Monthly CF'!BQ$2,Revenue!$S$8:$AC$10,3,0))^(1/12)))</f>
        <v>0</v>
      </c>
      <c r="BS21" s="161">
        <f>IF(BS$1=1,Revenue!$P9*Revenue!$A$23,'Monthly CF'!BR21*((1+HLOOKUP('Monthly CF'!BR$2,Revenue!$S$8:$AC$10,3,0))^(1/12)))</f>
        <v>0</v>
      </c>
      <c r="BT21" s="161">
        <f>IF(BT$1=1,Revenue!$P9*Revenue!$A$23,'Monthly CF'!BS21*((1+HLOOKUP('Monthly CF'!BS$2,Revenue!$S$8:$AC$10,3,0))^(1/12)))</f>
        <v>0</v>
      </c>
      <c r="BU21" s="161">
        <f>IF(BU$1=1,Revenue!$P9*Revenue!$A$23,'Monthly CF'!BT21*((1+HLOOKUP('Monthly CF'!BT$2,Revenue!$S$8:$AC$10,3,0))^(1/12)))</f>
        <v>0</v>
      </c>
      <c r="BV21" s="161">
        <f>IF(BV$1=1,Revenue!$P9*Revenue!$A$23,'Monthly CF'!BU21*((1+HLOOKUP('Monthly CF'!BU$2,Revenue!$S$8:$AC$10,3,0))^(1/12)))</f>
        <v>0</v>
      </c>
      <c r="BW21" s="161">
        <f>IF(BW$1=1,Revenue!$P9*Revenue!$A$23,'Monthly CF'!BV21*((1+HLOOKUP('Monthly CF'!BV$2,Revenue!$S$8:$AC$10,3,0))^(1/12)))</f>
        <v>0</v>
      </c>
      <c r="BX21" s="161">
        <f>IF(BX$1=1,Revenue!$P9*Revenue!$A$23,'Monthly CF'!BW21*((1+HLOOKUP('Monthly CF'!BW$2,Revenue!$S$8:$AC$10,3,0))^(1/12)))</f>
        <v>0</v>
      </c>
      <c r="BY21" s="161">
        <f>IF(BY$1=1,Revenue!$P9*Revenue!$A$23,'Monthly CF'!BX21*((1+HLOOKUP('Monthly CF'!BX$2,Revenue!$S$8:$AC$10,3,0))^(1/12)))</f>
        <v>0</v>
      </c>
      <c r="BZ21" s="161">
        <f>IF(BZ$1=1,Revenue!$P9*Revenue!$A$23,'Monthly CF'!BY21*((1+HLOOKUP('Monthly CF'!BY$2,Revenue!$S$8:$AC$10,3,0))^(1/12)))</f>
        <v>0</v>
      </c>
      <c r="CA21" s="161">
        <f>IF(CA$1=1,Revenue!$P9*Revenue!$A$23,'Monthly CF'!BZ21*((1+HLOOKUP('Monthly CF'!BZ$2,Revenue!$S$8:$AC$10,3,0))^(1/12)))</f>
        <v>0</v>
      </c>
      <c r="CB21" s="161">
        <f>IF(CB$1=1,Revenue!$P9*Revenue!$A$23,'Monthly CF'!CA21*((1+HLOOKUP('Monthly CF'!CA$2,Revenue!$S$8:$AC$10,3,0))^(1/12)))</f>
        <v>0</v>
      </c>
      <c r="CC21" s="161">
        <f>IF(CC$1=1,Revenue!$P9*Revenue!$A$23,'Monthly CF'!CB21*((1+HLOOKUP('Monthly CF'!CB$2,Revenue!$S$8:$AC$10,3,0))^(1/12)))</f>
        <v>0</v>
      </c>
      <c r="CD21" s="161">
        <f>IF(CD$1=1,Revenue!$P9*Revenue!$A$23,'Monthly CF'!CC21*((1+HLOOKUP('Monthly CF'!CC$2,Revenue!$S$8:$AC$10,3,0))^(1/12)))</f>
        <v>0</v>
      </c>
      <c r="CE21" s="161">
        <f>IF(CE$1=1,Revenue!$P9*Revenue!$A$23,'Monthly CF'!CD21*((1+HLOOKUP('Monthly CF'!CD$2,Revenue!$S$8:$AC$10,3,0))^(1/12)))</f>
        <v>0</v>
      </c>
      <c r="CF21" s="161">
        <f>IF(CF$1=1,Revenue!$P9*Revenue!$A$23,'Monthly CF'!CE21*((1+HLOOKUP('Monthly CF'!CE$2,Revenue!$S$8:$AC$10,3,0))^(1/12)))</f>
        <v>0</v>
      </c>
      <c r="CG21" s="161">
        <f>IF(CG$1=1,Revenue!$P9*Revenue!$A$23,'Monthly CF'!CF21*((1+HLOOKUP('Monthly CF'!CF$2,Revenue!$S$8:$AC$10,3,0))^(1/12)))</f>
        <v>0</v>
      </c>
      <c r="CH21" s="161">
        <f>IF(CH$1=1,Revenue!$P9*Revenue!$A$23,'Monthly CF'!CG21*((1+HLOOKUP('Monthly CF'!CG$2,Revenue!$S$8:$AC$10,3,0))^(1/12)))</f>
        <v>0</v>
      </c>
      <c r="CI21" s="161">
        <f>IF(CI$1=1,Revenue!$P9*Revenue!$A$23,'Monthly CF'!CH21*((1+HLOOKUP('Monthly CF'!CH$2,Revenue!$S$8:$AC$10,3,0))^(1/12)))</f>
        <v>0</v>
      </c>
      <c r="CJ21" s="161">
        <f>IF(CJ$1=1,Revenue!$P9*Revenue!$A$23,'Monthly CF'!CI21*((1+HLOOKUP('Monthly CF'!CI$2,Revenue!$S$8:$AC$10,3,0))^(1/12)))</f>
        <v>0</v>
      </c>
      <c r="CK21" s="161">
        <f>IF(CK$1=1,Revenue!$P9*Revenue!$A$23,'Monthly CF'!CJ21*((1+HLOOKUP('Monthly CF'!CJ$2,Revenue!$S$8:$AC$10,3,0))^(1/12)))</f>
        <v>0</v>
      </c>
      <c r="CL21" s="161">
        <f>IF(CL$1=1,Revenue!$P9*Revenue!$A$23,'Monthly CF'!CK21*((1+HLOOKUP('Monthly CF'!CK$2,Revenue!$S$8:$AC$10,3,0))^(1/12)))</f>
        <v>0</v>
      </c>
      <c r="CM21" s="161">
        <f>IF(CM$1=1,Revenue!$P9*Revenue!$A$23,'Monthly CF'!CL21*((1+HLOOKUP('Monthly CF'!CL$2,Revenue!$S$8:$AC$10,3,0))^(1/12)))</f>
        <v>0</v>
      </c>
      <c r="CN21" s="161">
        <f>IF(CN$1=1,Revenue!$P9*Revenue!$A$23,'Monthly CF'!CM21*((1+HLOOKUP('Monthly CF'!CM$2,Revenue!$S$8:$AC$10,3,0))^(1/12)))</f>
        <v>0</v>
      </c>
      <c r="CO21" s="161">
        <f>IF(CO$1=1,Revenue!$P9*Revenue!$A$23,'Monthly CF'!CN21*((1+HLOOKUP('Monthly CF'!CN$2,Revenue!$S$8:$AC$10,3,0))^(1/12)))</f>
        <v>0</v>
      </c>
      <c r="CP21" s="161">
        <f>IF(CP$1=1,Revenue!$P9*Revenue!$A$23,'Monthly CF'!CO21*((1+HLOOKUP('Monthly CF'!CO$2,Revenue!$S$8:$AC$10,3,0))^(1/12)))</f>
        <v>0</v>
      </c>
      <c r="CQ21" s="161">
        <f>IF(CQ$1=1,Revenue!$P9*Revenue!$A$23,'Monthly CF'!CP21*((1+HLOOKUP('Monthly CF'!CP$2,Revenue!$S$8:$AC$10,3,0))^(1/12)))</f>
        <v>0</v>
      </c>
      <c r="CR21" s="161">
        <f>IF(CR$1=1,Revenue!$P9*Revenue!$A$23,'Monthly CF'!CQ21*((1+HLOOKUP('Monthly CF'!CQ$2,Revenue!$S$8:$AC$10,3,0))^(1/12)))</f>
        <v>0</v>
      </c>
      <c r="CS21" s="161">
        <f>IF(CS$1=1,Revenue!$P9*Revenue!$A$23,'Monthly CF'!CR21*((1+HLOOKUP('Monthly CF'!CR$2,Revenue!$S$8:$AC$10,3,0))^(1/12)))</f>
        <v>0</v>
      </c>
      <c r="CT21" s="161">
        <f>IF(CT$1=1,Revenue!$P9*Revenue!$A$23,'Monthly CF'!CS21*((1+HLOOKUP('Monthly CF'!CS$2,Revenue!$S$8:$AC$10,3,0))^(1/12)))</f>
        <v>0</v>
      </c>
      <c r="CU21" s="161">
        <f>IF(CU$1=1,Revenue!$P9*Revenue!$A$23,'Monthly CF'!CT21*((1+HLOOKUP('Monthly CF'!CT$2,Revenue!$S$8:$AC$10,3,0))^(1/12)))</f>
        <v>0</v>
      </c>
      <c r="CV21" s="161">
        <f>IF(CV$1=1,Revenue!$P9*Revenue!$A$23,'Monthly CF'!CU21*((1+HLOOKUP('Monthly CF'!CU$2,Revenue!$S$8:$AC$10,3,0))^(1/12)))</f>
        <v>0</v>
      </c>
      <c r="CW21" s="161">
        <f>IF(CW$1=1,Revenue!$P9*Revenue!$A$23,'Monthly CF'!CV21*((1+HLOOKUP('Monthly CF'!CV$2,Revenue!$S$8:$AC$10,3,0))^(1/12)))</f>
        <v>0</v>
      </c>
      <c r="CX21" s="161">
        <f>IF(CX$1=1,Revenue!$P9*Revenue!$A$23,'Monthly CF'!CW21*((1+HLOOKUP('Monthly CF'!CW$2,Revenue!$S$8:$AC$10,3,0))^(1/12)))</f>
        <v>0</v>
      </c>
      <c r="CY21" s="161">
        <f>IF(CY$1=1,Revenue!$P9*Revenue!$A$23,'Monthly CF'!CX21*((1+HLOOKUP('Monthly CF'!CX$2,Revenue!$S$8:$AC$10,3,0))^(1/12)))</f>
        <v>0</v>
      </c>
      <c r="CZ21" s="161">
        <f>IF(CZ$1=1,Revenue!$P9*Revenue!$A$23,'Monthly CF'!CY21*((1+HLOOKUP('Monthly CF'!CY$2,Revenue!$S$8:$AC$10,3,0))^(1/12)))</f>
        <v>0</v>
      </c>
      <c r="DA21" s="161">
        <f>IF(DA$1=1,Revenue!$P9*Revenue!$A$23,'Monthly CF'!CZ21*((1+HLOOKUP('Monthly CF'!CZ$2,Revenue!$S$8:$AC$10,3,0))^(1/12)))</f>
        <v>0</v>
      </c>
      <c r="DB21" s="161">
        <f>IF(DB$1=1,Revenue!$P9*Revenue!$A$23,'Monthly CF'!DA21*((1+HLOOKUP('Monthly CF'!DA$2,Revenue!$S$8:$AC$10,3,0))^(1/12)))</f>
        <v>0</v>
      </c>
      <c r="DC21" s="161">
        <f>IF(DC$1=1,Revenue!$P9*Revenue!$A$23,'Monthly CF'!DB21*((1+HLOOKUP('Monthly CF'!DB$2,Revenue!$S$8:$AC$10,3,0))^(1/12)))</f>
        <v>0</v>
      </c>
      <c r="DD21" s="161">
        <f>IF(DD$1=1,Revenue!$P9*Revenue!$A$23,'Monthly CF'!DC21*((1+HLOOKUP('Monthly CF'!DC$2,Revenue!$S$8:$AC$10,3,0))^(1/12)))</f>
        <v>0</v>
      </c>
      <c r="DE21" s="161">
        <f>IF(DE$1=1,Revenue!$P9*Revenue!$A$23,'Monthly CF'!DD21*((1+HLOOKUP('Monthly CF'!DD$2,Revenue!$S$8:$AC$10,3,0))^(1/12)))</f>
        <v>0</v>
      </c>
      <c r="DF21" s="161">
        <f>IF(DF$1=1,Revenue!$P9*Revenue!$A$23,'Monthly CF'!DE21*((1+HLOOKUP('Monthly CF'!DE$2,Revenue!$S$8:$AC$10,3,0))^(1/12)))</f>
        <v>0</v>
      </c>
      <c r="DG21" s="161">
        <f>IF(DG$1=1,Revenue!$P9*Revenue!$A$23,'Monthly CF'!DF21*((1+HLOOKUP('Monthly CF'!DF$2,Revenue!$S$8:$AC$10,3,0))^(1/12)))</f>
        <v>0</v>
      </c>
      <c r="DH21" s="161">
        <f>IF(DH$1=1,Revenue!$P9*Revenue!$A$23,'Monthly CF'!DG21*((1+HLOOKUP('Monthly CF'!DG$2,Revenue!$S$8:$AC$10,3,0))^(1/12)))</f>
        <v>0</v>
      </c>
      <c r="DI21" s="161">
        <f>IF(DI$1=1,Revenue!$P9*Revenue!$A$23,'Monthly CF'!DH21*((1+HLOOKUP('Monthly CF'!DH$2,Revenue!$S$8:$AC$10,3,0))^(1/12)))</f>
        <v>0</v>
      </c>
      <c r="DJ21" s="161">
        <f>IF(DJ$1=1,Revenue!$P9*Revenue!$A$23,'Monthly CF'!DI21*((1+HLOOKUP('Monthly CF'!DI$2,Revenue!$S$8:$AC$10,3,0))^(1/12)))</f>
        <v>0</v>
      </c>
      <c r="DK21" s="161">
        <f>IF(DK$1=1,Revenue!$P9*Revenue!$A$23,'Monthly CF'!DJ21*((1+HLOOKUP('Monthly CF'!DJ$2,Revenue!$S$8:$AC$10,3,0))^(1/12)))</f>
        <v>0</v>
      </c>
      <c r="DL21" s="161">
        <f>IF(DL$1=1,Revenue!$P9*Revenue!$A$23,'Monthly CF'!DK21*((1+HLOOKUP('Monthly CF'!DK$2,Revenue!$S$8:$AC$10,3,0))^(1/12)))</f>
        <v>0</v>
      </c>
      <c r="DM21" s="161">
        <f>IF(DM$1=1,Revenue!$P9*Revenue!$A$23,'Monthly CF'!DL21*((1+HLOOKUP('Monthly CF'!DL$2,Revenue!$S$8:$AC$10,3,0))^(1/12)))</f>
        <v>0</v>
      </c>
      <c r="DN21" s="161">
        <f>IF(DN$1=1,Revenue!$P9*Revenue!$A$23,'Monthly CF'!DM21*((1+HLOOKUP('Monthly CF'!DM$2,Revenue!$S$8:$AC$10,3,0))^(1/12)))</f>
        <v>0</v>
      </c>
      <c r="DO21" s="161">
        <f>IF(DO$1=1,Revenue!$P9*Revenue!$A$23,'Monthly CF'!DN21*((1+HLOOKUP('Monthly CF'!DN$2,Revenue!$S$8:$AC$10,3,0))^(1/12)))</f>
        <v>0</v>
      </c>
      <c r="DP21" s="161">
        <f>IF(DP$1=1,Revenue!$P9*Revenue!$A$23,'Monthly CF'!DO21*((1+HLOOKUP('Monthly CF'!DO$2,Revenue!$S$8:$AC$10,3,0))^(1/12)))</f>
        <v>0</v>
      </c>
      <c r="DQ21" s="161">
        <f>IF(DQ$1=1,Revenue!$P9*Revenue!$A$23,'Monthly CF'!DP21*((1+HLOOKUP('Monthly CF'!DP$2,Revenue!$S$8:$AC$10,3,0))^(1/12)))</f>
        <v>0</v>
      </c>
      <c r="DR21" s="161">
        <f>IF(DR$1=1,Revenue!$P9*Revenue!$A$23,'Monthly CF'!DQ21*((1+HLOOKUP('Monthly CF'!DQ$2,Revenue!$S$8:$AC$10,3,0))^(1/12)))</f>
        <v>0</v>
      </c>
      <c r="DS21" s="161">
        <f>IF(DS$1=1,Revenue!$P9*Revenue!$A$23,'Monthly CF'!DR21*((1+HLOOKUP('Monthly CF'!DR$2,Revenue!$S$8:$AC$10,3,0))^(1/12)))</f>
        <v>0</v>
      </c>
      <c r="DT21" s="161">
        <f>IF(DT$1=1,Revenue!$P9*Revenue!$A$23,'Monthly CF'!DS21*((1+HLOOKUP('Monthly CF'!DS$2,Revenue!$S$8:$AC$10,3,0))^(1/12)))</f>
        <v>0</v>
      </c>
      <c r="DU21" s="161">
        <f>IF(DU$1=1,Revenue!$P9*Revenue!$A$23,'Monthly CF'!DT21*((1+HLOOKUP('Monthly CF'!DT$2,Revenue!$S$8:$AC$10,3,0))^(1/12)))</f>
        <v>0</v>
      </c>
      <c r="DV21" s="161">
        <f>IF(DV$1=1,Revenue!$P9*Revenue!$A$23,'Monthly CF'!DU21*((1+HLOOKUP('Monthly CF'!DU$2,Revenue!$S$8:$AC$10,3,0))^(1/12)))</f>
        <v>0</v>
      </c>
      <c r="DW21" s="161">
        <f>IF(DW$1=1,Revenue!$P9*Revenue!$A$23,'Monthly CF'!DV21*((1+HLOOKUP('Monthly CF'!DV$2,Revenue!$S$8:$AC$10,3,0))^(1/12)))</f>
        <v>0</v>
      </c>
      <c r="DX21" s="161">
        <f>IF(DX$1=1,Revenue!$P9*Revenue!$A$23,'Monthly CF'!DW21*((1+HLOOKUP('Monthly CF'!DW$2,Revenue!$S$8:$AC$10,3,0))^(1/12)))</f>
        <v>0</v>
      </c>
      <c r="DY21" s="161">
        <f>IF(DY$1=1,Revenue!$P9*Revenue!$A$23,'Monthly CF'!DX21*((1+HLOOKUP('Monthly CF'!DX$2,Revenue!$S$8:$AC$10,3,0))^(1/12)))</f>
        <v>0</v>
      </c>
      <c r="DZ21" s="161">
        <f>IF(DZ$1=1,Revenue!$P9*Revenue!$A$23,'Monthly CF'!DY21*((1+HLOOKUP('Monthly CF'!DY$2,Revenue!$S$8:$AC$10,3,0))^(1/12)))</f>
        <v>0</v>
      </c>
      <c r="EA21" s="161">
        <f>IF(EA$1=1,Revenue!$P9*Revenue!$A$23,'Monthly CF'!DZ21*((1+HLOOKUP('Monthly CF'!DZ$2,Revenue!$S$8:$AC$10,3,0))^(1/12)))</f>
        <v>0</v>
      </c>
      <c r="EB21" s="161">
        <f>IF(EB$1=1,Revenue!$P9*Revenue!$A$23,'Monthly CF'!EA21*((1+HLOOKUP('Monthly CF'!EA$2,Revenue!$S$8:$AC$10,3,0))^(1/12)))</f>
        <v>0</v>
      </c>
      <c r="EC21" s="161">
        <f>IF(EC$1=1,Revenue!$P9*Revenue!$A$23,'Monthly CF'!EB21*((1+HLOOKUP('Monthly CF'!EB$2,Revenue!$S$8:$AC$10,3,0))^(1/12)))</f>
        <v>0</v>
      </c>
      <c r="ED21" s="161">
        <f>IF(ED$1=1,Revenue!$P9*Revenue!$A$23,'Monthly CF'!EC21*((1+HLOOKUP('Monthly CF'!EC$2,Revenue!$S$8:$AC$10,3,0))^(1/12)))</f>
        <v>0</v>
      </c>
      <c r="EE21" s="162">
        <f>IF(EE$1=1,Revenue!$P9*Revenue!$A$23,'Monthly CF'!ED21*((1+HLOOKUP('Monthly CF'!ED$2,Revenue!$S$8:$AC$10,3,0))^(1/12)))</f>
        <v>0</v>
      </c>
    </row>
    <row r="22" spans="1:135" x14ac:dyDescent="0.35">
      <c r="A22" s="168">
        <f>SUMIF($C$1:$EE$1,"&lt;="&amp;Summary!$K$19,'Monthly CF'!C22:EE22)</f>
        <v>0</v>
      </c>
      <c r="B22" s="5" t="str">
        <f>Revenue!O10</f>
        <v>Other Charges</v>
      </c>
      <c r="C22" s="160"/>
      <c r="D22" s="161">
        <f>IF(D$1=1,Revenue!$P10*Revenue!$A$23,'Monthly CF'!C22*((1+HLOOKUP('Monthly CF'!C$2,Revenue!$S$8:$AC$10,3,0))^(1/12)))</f>
        <v>0</v>
      </c>
      <c r="E22" s="161">
        <f>IF(E$1=1,Revenue!$P10*Revenue!$A$23,'Monthly CF'!D22*((1+HLOOKUP('Monthly CF'!D$2,Revenue!$S$8:$AC$10,3,0))^(1/12)))</f>
        <v>0</v>
      </c>
      <c r="F22" s="161">
        <f>IF(F$1=1,Revenue!$P10*Revenue!$A$23,'Monthly CF'!E22*((1+HLOOKUP('Monthly CF'!E$2,Revenue!$S$8:$AC$10,3,0))^(1/12)))</f>
        <v>0</v>
      </c>
      <c r="G22" s="161">
        <f>IF(G$1=1,Revenue!$P10*Revenue!$A$23,'Monthly CF'!F22*((1+HLOOKUP('Monthly CF'!F$2,Revenue!$S$8:$AC$10,3,0))^(1/12)))</f>
        <v>0</v>
      </c>
      <c r="H22" s="161">
        <f>IF(H$1=1,Revenue!$P10*Revenue!$A$23,'Monthly CF'!G22*((1+HLOOKUP('Monthly CF'!G$2,Revenue!$S$8:$AC$10,3,0))^(1/12)))</f>
        <v>0</v>
      </c>
      <c r="I22" s="161">
        <f>IF(I$1=1,Revenue!$P10*Revenue!$A$23,'Monthly CF'!H22*((1+HLOOKUP('Monthly CF'!H$2,Revenue!$S$8:$AC$10,3,0))^(1/12)))</f>
        <v>0</v>
      </c>
      <c r="J22" s="161">
        <f>IF(J$1=1,Revenue!$P10*Revenue!$A$23,'Monthly CF'!I22*((1+HLOOKUP('Monthly CF'!I$2,Revenue!$S$8:$AC$10,3,0))^(1/12)))</f>
        <v>0</v>
      </c>
      <c r="K22" s="161">
        <f>IF(K$1=1,Revenue!$P10*Revenue!$A$23,'Monthly CF'!J22*((1+HLOOKUP('Monthly CF'!J$2,Revenue!$S$8:$AC$10,3,0))^(1/12)))</f>
        <v>0</v>
      </c>
      <c r="L22" s="161">
        <f>IF(L$1=1,Revenue!$P10*Revenue!$A$23,'Monthly CF'!K22*((1+HLOOKUP('Monthly CF'!K$2,Revenue!$S$8:$AC$10,3,0))^(1/12)))</f>
        <v>0</v>
      </c>
      <c r="M22" s="161">
        <f>IF(M$1=1,Revenue!$P10*Revenue!$A$23,'Monthly CF'!L22*((1+HLOOKUP('Monthly CF'!L$2,Revenue!$S$8:$AC$10,3,0))^(1/12)))</f>
        <v>0</v>
      </c>
      <c r="N22" s="161">
        <f>IF(N$1=1,Revenue!$P10*Revenue!$A$23,'Monthly CF'!M22*((1+HLOOKUP('Monthly CF'!M$2,Revenue!$S$8:$AC$10,3,0))^(1/12)))</f>
        <v>0</v>
      </c>
      <c r="O22" s="161">
        <f>IF(O$1=1,Revenue!$P10*Revenue!$A$23,'Monthly CF'!N22*((1+HLOOKUP('Monthly CF'!N$2,Revenue!$S$8:$AC$10,3,0))^(1/12)))</f>
        <v>0</v>
      </c>
      <c r="P22" s="161">
        <f>IF(P$1=1,Revenue!$P10*Revenue!$A$23,'Monthly CF'!O22*((1+HLOOKUP('Monthly CF'!O$2,Revenue!$S$8:$AC$10,3,0))^(1/12)))</f>
        <v>0</v>
      </c>
      <c r="Q22" s="161">
        <f>IF(Q$1=1,Revenue!$P10*Revenue!$A$23,'Monthly CF'!P22*((1+HLOOKUP('Monthly CF'!P$2,Revenue!$S$8:$AC$10,3,0))^(1/12)))</f>
        <v>0</v>
      </c>
      <c r="R22" s="161">
        <f>IF(R$1=1,Revenue!$P10*Revenue!$A$23,'Monthly CF'!Q22*((1+HLOOKUP('Monthly CF'!Q$2,Revenue!$S$8:$AC$10,3,0))^(1/12)))</f>
        <v>0</v>
      </c>
      <c r="S22" s="161">
        <f>IF(S$1=1,Revenue!$P10*Revenue!$A$23,'Monthly CF'!R22*((1+HLOOKUP('Monthly CF'!R$2,Revenue!$S$8:$AC$10,3,0))^(1/12)))</f>
        <v>0</v>
      </c>
      <c r="T22" s="161">
        <f>IF(T$1=1,Revenue!$P10*Revenue!$A$23,'Monthly CF'!S22*((1+HLOOKUP('Monthly CF'!S$2,Revenue!$S$8:$AC$10,3,0))^(1/12)))</f>
        <v>0</v>
      </c>
      <c r="U22" s="161">
        <f>IF(U$1=1,Revenue!$P10*Revenue!$A$23,'Monthly CF'!T22*((1+HLOOKUP('Monthly CF'!T$2,Revenue!$S$8:$AC$10,3,0))^(1/12)))</f>
        <v>0</v>
      </c>
      <c r="V22" s="161">
        <f>IF(V$1=1,Revenue!$P10*Revenue!$A$23,'Monthly CF'!U22*((1+HLOOKUP('Monthly CF'!U$2,Revenue!$S$8:$AC$10,3,0))^(1/12)))</f>
        <v>0</v>
      </c>
      <c r="W22" s="161">
        <f>IF(W$1=1,Revenue!$P10*Revenue!$A$23,'Monthly CF'!V22*((1+HLOOKUP('Monthly CF'!V$2,Revenue!$S$8:$AC$10,3,0))^(1/12)))</f>
        <v>0</v>
      </c>
      <c r="X22" s="161">
        <f>IF(X$1=1,Revenue!$P10*Revenue!$A$23,'Monthly CF'!W22*((1+HLOOKUP('Monthly CF'!W$2,Revenue!$S$8:$AC$10,3,0))^(1/12)))</f>
        <v>0</v>
      </c>
      <c r="Y22" s="161">
        <f>IF(Y$1=1,Revenue!$P10*Revenue!$A$23,'Monthly CF'!X22*((1+HLOOKUP('Monthly CF'!X$2,Revenue!$S$8:$AC$10,3,0))^(1/12)))</f>
        <v>0</v>
      </c>
      <c r="Z22" s="161">
        <f>IF(Z$1=1,Revenue!$P10*Revenue!$A$23,'Monthly CF'!Y22*((1+HLOOKUP('Monthly CF'!Y$2,Revenue!$S$8:$AC$10,3,0))^(1/12)))</f>
        <v>0</v>
      </c>
      <c r="AA22" s="161">
        <f>IF(AA$1=1,Revenue!$P10*Revenue!$A$23,'Monthly CF'!Z22*((1+HLOOKUP('Monthly CF'!Z$2,Revenue!$S$8:$AC$10,3,0))^(1/12)))</f>
        <v>0</v>
      </c>
      <c r="AB22" s="161">
        <f>IF(AB$1=1,Revenue!$P10*Revenue!$A$23,'Monthly CF'!AA22*((1+HLOOKUP('Monthly CF'!AA$2,Revenue!$S$8:$AC$10,3,0))^(1/12)))</f>
        <v>0</v>
      </c>
      <c r="AC22" s="161">
        <f>IF(AC$1=1,Revenue!$P10*Revenue!$A$23,'Monthly CF'!AB22*((1+HLOOKUP('Monthly CF'!AB$2,Revenue!$S$8:$AC$10,3,0))^(1/12)))</f>
        <v>0</v>
      </c>
      <c r="AD22" s="161">
        <f>IF(AD$1=1,Revenue!$P10*Revenue!$A$23,'Monthly CF'!AC22*((1+HLOOKUP('Monthly CF'!AC$2,Revenue!$S$8:$AC$10,3,0))^(1/12)))</f>
        <v>0</v>
      </c>
      <c r="AE22" s="161">
        <f>IF(AE$1=1,Revenue!$P10*Revenue!$A$23,'Monthly CF'!AD22*((1+HLOOKUP('Monthly CF'!AD$2,Revenue!$S$8:$AC$10,3,0))^(1/12)))</f>
        <v>0</v>
      </c>
      <c r="AF22" s="161">
        <f>IF(AF$1=1,Revenue!$P10*Revenue!$A$23,'Monthly CF'!AE22*((1+HLOOKUP('Monthly CF'!AE$2,Revenue!$S$8:$AC$10,3,0))^(1/12)))</f>
        <v>0</v>
      </c>
      <c r="AG22" s="161">
        <f>IF(AG$1=1,Revenue!$P10*Revenue!$A$23,'Monthly CF'!AF22*((1+HLOOKUP('Monthly CF'!AF$2,Revenue!$S$8:$AC$10,3,0))^(1/12)))</f>
        <v>0</v>
      </c>
      <c r="AH22" s="161">
        <f>IF(AH$1=1,Revenue!$P10*Revenue!$A$23,'Monthly CF'!AG22*((1+HLOOKUP('Monthly CF'!AG$2,Revenue!$S$8:$AC$10,3,0))^(1/12)))</f>
        <v>0</v>
      </c>
      <c r="AI22" s="161">
        <f>IF(AI$1=1,Revenue!$P10*Revenue!$A$23,'Monthly CF'!AH22*((1+HLOOKUP('Monthly CF'!AH$2,Revenue!$S$8:$AC$10,3,0))^(1/12)))</f>
        <v>0</v>
      </c>
      <c r="AJ22" s="161">
        <f>IF(AJ$1=1,Revenue!$P10*Revenue!$A$23,'Monthly CF'!AI22*((1+HLOOKUP('Monthly CF'!AI$2,Revenue!$S$8:$AC$10,3,0))^(1/12)))</f>
        <v>0</v>
      </c>
      <c r="AK22" s="161">
        <f>IF(AK$1=1,Revenue!$P10*Revenue!$A$23,'Monthly CF'!AJ22*((1+HLOOKUP('Monthly CF'!AJ$2,Revenue!$S$8:$AC$10,3,0))^(1/12)))</f>
        <v>0</v>
      </c>
      <c r="AL22" s="161">
        <f>IF(AL$1=1,Revenue!$P10*Revenue!$A$23,'Monthly CF'!AK22*((1+HLOOKUP('Monthly CF'!AK$2,Revenue!$S$8:$AC$10,3,0))^(1/12)))</f>
        <v>0</v>
      </c>
      <c r="AM22" s="161">
        <f>IF(AM$1=1,Revenue!$P10*Revenue!$A$23,'Monthly CF'!AL22*((1+HLOOKUP('Monthly CF'!AL$2,Revenue!$S$8:$AC$10,3,0))^(1/12)))</f>
        <v>0</v>
      </c>
      <c r="AN22" s="161">
        <f>IF(AN$1=1,Revenue!$P10*Revenue!$A$23,'Monthly CF'!AM22*((1+HLOOKUP('Monthly CF'!AM$2,Revenue!$S$8:$AC$10,3,0))^(1/12)))</f>
        <v>0</v>
      </c>
      <c r="AO22" s="161">
        <f>IF(AO$1=1,Revenue!$P10*Revenue!$A$23,'Monthly CF'!AN22*((1+HLOOKUP('Monthly CF'!AN$2,Revenue!$S$8:$AC$10,3,0))^(1/12)))</f>
        <v>0</v>
      </c>
      <c r="AP22" s="161">
        <f>IF(AP$1=1,Revenue!$P10*Revenue!$A$23,'Monthly CF'!AO22*((1+HLOOKUP('Monthly CF'!AO$2,Revenue!$S$8:$AC$10,3,0))^(1/12)))</f>
        <v>0</v>
      </c>
      <c r="AQ22" s="161">
        <f>IF(AQ$1=1,Revenue!$P10*Revenue!$A$23,'Monthly CF'!AP22*((1+HLOOKUP('Monthly CF'!AP$2,Revenue!$S$8:$AC$10,3,0))^(1/12)))</f>
        <v>0</v>
      </c>
      <c r="AR22" s="161">
        <f>IF(AR$1=1,Revenue!$P10*Revenue!$A$23,'Monthly CF'!AQ22*((1+HLOOKUP('Monthly CF'!AQ$2,Revenue!$S$8:$AC$10,3,0))^(1/12)))</f>
        <v>0</v>
      </c>
      <c r="AS22" s="161">
        <f>IF(AS$1=1,Revenue!$P10*Revenue!$A$23,'Monthly CF'!AR22*((1+HLOOKUP('Monthly CF'!AR$2,Revenue!$S$8:$AC$10,3,0))^(1/12)))</f>
        <v>0</v>
      </c>
      <c r="AT22" s="161">
        <f>IF(AT$1=1,Revenue!$P10*Revenue!$A$23,'Monthly CF'!AS22*((1+HLOOKUP('Monthly CF'!AS$2,Revenue!$S$8:$AC$10,3,0))^(1/12)))</f>
        <v>0</v>
      </c>
      <c r="AU22" s="161">
        <f>IF(AU$1=1,Revenue!$P10*Revenue!$A$23,'Monthly CF'!AT22*((1+HLOOKUP('Monthly CF'!AT$2,Revenue!$S$8:$AC$10,3,0))^(1/12)))</f>
        <v>0</v>
      </c>
      <c r="AV22" s="161">
        <f>IF(AV$1=1,Revenue!$P10*Revenue!$A$23,'Monthly CF'!AU22*((1+HLOOKUP('Monthly CF'!AU$2,Revenue!$S$8:$AC$10,3,0))^(1/12)))</f>
        <v>0</v>
      </c>
      <c r="AW22" s="161">
        <f>IF(AW$1=1,Revenue!$P10*Revenue!$A$23,'Monthly CF'!AV22*((1+HLOOKUP('Monthly CF'!AV$2,Revenue!$S$8:$AC$10,3,0))^(1/12)))</f>
        <v>0</v>
      </c>
      <c r="AX22" s="161">
        <f>IF(AX$1=1,Revenue!$P10*Revenue!$A$23,'Monthly CF'!AW22*((1+HLOOKUP('Monthly CF'!AW$2,Revenue!$S$8:$AC$10,3,0))^(1/12)))</f>
        <v>0</v>
      </c>
      <c r="AY22" s="161">
        <f>IF(AY$1=1,Revenue!$P10*Revenue!$A$23,'Monthly CF'!AX22*((1+HLOOKUP('Monthly CF'!AX$2,Revenue!$S$8:$AC$10,3,0))^(1/12)))</f>
        <v>0</v>
      </c>
      <c r="AZ22" s="161">
        <f>IF(AZ$1=1,Revenue!$P10*Revenue!$A$23,'Monthly CF'!AY22*((1+HLOOKUP('Monthly CF'!AY$2,Revenue!$S$8:$AC$10,3,0))^(1/12)))</f>
        <v>0</v>
      </c>
      <c r="BA22" s="161">
        <f>IF(BA$1=1,Revenue!$P10*Revenue!$A$23,'Monthly CF'!AZ22*((1+HLOOKUP('Monthly CF'!AZ$2,Revenue!$S$8:$AC$10,3,0))^(1/12)))</f>
        <v>0</v>
      </c>
      <c r="BB22" s="161">
        <f>IF(BB$1=1,Revenue!$P10*Revenue!$A$23,'Monthly CF'!BA22*((1+HLOOKUP('Monthly CF'!BA$2,Revenue!$S$8:$AC$10,3,0))^(1/12)))</f>
        <v>0</v>
      </c>
      <c r="BC22" s="161">
        <f>IF(BC$1=1,Revenue!$P10*Revenue!$A$23,'Monthly CF'!BB22*((1+HLOOKUP('Monthly CF'!BB$2,Revenue!$S$8:$AC$10,3,0))^(1/12)))</f>
        <v>0</v>
      </c>
      <c r="BD22" s="161">
        <f>IF(BD$1=1,Revenue!$P10*Revenue!$A$23,'Monthly CF'!BC22*((1+HLOOKUP('Monthly CF'!BC$2,Revenue!$S$8:$AC$10,3,0))^(1/12)))</f>
        <v>0</v>
      </c>
      <c r="BE22" s="161">
        <f>IF(BE$1=1,Revenue!$P10*Revenue!$A$23,'Monthly CF'!BD22*((1+HLOOKUP('Monthly CF'!BD$2,Revenue!$S$8:$AC$10,3,0))^(1/12)))</f>
        <v>0</v>
      </c>
      <c r="BF22" s="161">
        <f>IF(BF$1=1,Revenue!$P10*Revenue!$A$23,'Monthly CF'!BE22*((1+HLOOKUP('Monthly CF'!BE$2,Revenue!$S$8:$AC$10,3,0))^(1/12)))</f>
        <v>0</v>
      </c>
      <c r="BG22" s="161">
        <f>IF(BG$1=1,Revenue!$P10*Revenue!$A$23,'Monthly CF'!BF22*((1+HLOOKUP('Monthly CF'!BF$2,Revenue!$S$8:$AC$10,3,0))^(1/12)))</f>
        <v>0</v>
      </c>
      <c r="BH22" s="161">
        <f>IF(BH$1=1,Revenue!$P10*Revenue!$A$23,'Monthly CF'!BG22*((1+HLOOKUP('Monthly CF'!BG$2,Revenue!$S$8:$AC$10,3,0))^(1/12)))</f>
        <v>0</v>
      </c>
      <c r="BI22" s="161">
        <f>IF(BI$1=1,Revenue!$P10*Revenue!$A$23,'Monthly CF'!BH22*((1+HLOOKUP('Monthly CF'!BH$2,Revenue!$S$8:$AC$10,3,0))^(1/12)))</f>
        <v>0</v>
      </c>
      <c r="BJ22" s="161">
        <f>IF(BJ$1=1,Revenue!$P10*Revenue!$A$23,'Monthly CF'!BI22*((1+HLOOKUP('Monthly CF'!BI$2,Revenue!$S$8:$AC$10,3,0))^(1/12)))</f>
        <v>0</v>
      </c>
      <c r="BK22" s="161">
        <f>IF(BK$1=1,Revenue!$P10*Revenue!$A$23,'Monthly CF'!BJ22*((1+HLOOKUP('Monthly CF'!BJ$2,Revenue!$S$8:$AC$10,3,0))^(1/12)))</f>
        <v>0</v>
      </c>
      <c r="BL22" s="161">
        <f>IF(BL$1=1,Revenue!$P10*Revenue!$A$23,'Monthly CF'!BK22*((1+HLOOKUP('Monthly CF'!BK$2,Revenue!$S$8:$AC$10,3,0))^(1/12)))</f>
        <v>0</v>
      </c>
      <c r="BM22" s="161">
        <f>IF(BM$1=1,Revenue!$P10*Revenue!$A$23,'Monthly CF'!BL22*((1+HLOOKUP('Monthly CF'!BL$2,Revenue!$S$8:$AC$10,3,0))^(1/12)))</f>
        <v>0</v>
      </c>
      <c r="BN22" s="161">
        <f>IF(BN$1=1,Revenue!$P10*Revenue!$A$23,'Monthly CF'!BM22*((1+HLOOKUP('Monthly CF'!BM$2,Revenue!$S$8:$AC$10,3,0))^(1/12)))</f>
        <v>0</v>
      </c>
      <c r="BO22" s="161">
        <f>IF(BO$1=1,Revenue!$P10*Revenue!$A$23,'Monthly CF'!BN22*((1+HLOOKUP('Monthly CF'!BN$2,Revenue!$S$8:$AC$10,3,0))^(1/12)))</f>
        <v>0</v>
      </c>
      <c r="BP22" s="161">
        <f>IF(BP$1=1,Revenue!$P10*Revenue!$A$23,'Monthly CF'!BO22*((1+HLOOKUP('Monthly CF'!BO$2,Revenue!$S$8:$AC$10,3,0))^(1/12)))</f>
        <v>0</v>
      </c>
      <c r="BQ22" s="161">
        <f>IF(BQ$1=1,Revenue!$P10*Revenue!$A$23,'Monthly CF'!BP22*((1+HLOOKUP('Monthly CF'!BP$2,Revenue!$S$8:$AC$10,3,0))^(1/12)))</f>
        <v>0</v>
      </c>
      <c r="BR22" s="161">
        <f>IF(BR$1=1,Revenue!$P10*Revenue!$A$23,'Monthly CF'!BQ22*((1+HLOOKUP('Monthly CF'!BQ$2,Revenue!$S$8:$AC$10,3,0))^(1/12)))</f>
        <v>0</v>
      </c>
      <c r="BS22" s="161">
        <f>IF(BS$1=1,Revenue!$P10*Revenue!$A$23,'Monthly CF'!BR22*((1+HLOOKUP('Monthly CF'!BR$2,Revenue!$S$8:$AC$10,3,0))^(1/12)))</f>
        <v>0</v>
      </c>
      <c r="BT22" s="161">
        <f>IF(BT$1=1,Revenue!$P10*Revenue!$A$23,'Monthly CF'!BS22*((1+HLOOKUP('Monthly CF'!BS$2,Revenue!$S$8:$AC$10,3,0))^(1/12)))</f>
        <v>0</v>
      </c>
      <c r="BU22" s="161">
        <f>IF(BU$1=1,Revenue!$P10*Revenue!$A$23,'Monthly CF'!BT22*((1+HLOOKUP('Monthly CF'!BT$2,Revenue!$S$8:$AC$10,3,0))^(1/12)))</f>
        <v>0</v>
      </c>
      <c r="BV22" s="161">
        <f>IF(BV$1=1,Revenue!$P10*Revenue!$A$23,'Monthly CF'!BU22*((1+HLOOKUP('Monthly CF'!BU$2,Revenue!$S$8:$AC$10,3,0))^(1/12)))</f>
        <v>0</v>
      </c>
      <c r="BW22" s="161">
        <f>IF(BW$1=1,Revenue!$P10*Revenue!$A$23,'Monthly CF'!BV22*((1+HLOOKUP('Monthly CF'!BV$2,Revenue!$S$8:$AC$10,3,0))^(1/12)))</f>
        <v>0</v>
      </c>
      <c r="BX22" s="161">
        <f>IF(BX$1=1,Revenue!$P10*Revenue!$A$23,'Monthly CF'!BW22*((1+HLOOKUP('Monthly CF'!BW$2,Revenue!$S$8:$AC$10,3,0))^(1/12)))</f>
        <v>0</v>
      </c>
      <c r="BY22" s="161">
        <f>IF(BY$1=1,Revenue!$P10*Revenue!$A$23,'Monthly CF'!BX22*((1+HLOOKUP('Monthly CF'!BX$2,Revenue!$S$8:$AC$10,3,0))^(1/12)))</f>
        <v>0</v>
      </c>
      <c r="BZ22" s="161">
        <f>IF(BZ$1=1,Revenue!$P10*Revenue!$A$23,'Monthly CF'!BY22*((1+HLOOKUP('Monthly CF'!BY$2,Revenue!$S$8:$AC$10,3,0))^(1/12)))</f>
        <v>0</v>
      </c>
      <c r="CA22" s="161">
        <f>IF(CA$1=1,Revenue!$P10*Revenue!$A$23,'Monthly CF'!BZ22*((1+HLOOKUP('Monthly CF'!BZ$2,Revenue!$S$8:$AC$10,3,0))^(1/12)))</f>
        <v>0</v>
      </c>
      <c r="CB22" s="161">
        <f>IF(CB$1=1,Revenue!$P10*Revenue!$A$23,'Monthly CF'!CA22*((1+HLOOKUP('Monthly CF'!CA$2,Revenue!$S$8:$AC$10,3,0))^(1/12)))</f>
        <v>0</v>
      </c>
      <c r="CC22" s="161">
        <f>IF(CC$1=1,Revenue!$P10*Revenue!$A$23,'Monthly CF'!CB22*((1+HLOOKUP('Monthly CF'!CB$2,Revenue!$S$8:$AC$10,3,0))^(1/12)))</f>
        <v>0</v>
      </c>
      <c r="CD22" s="161">
        <f>IF(CD$1=1,Revenue!$P10*Revenue!$A$23,'Monthly CF'!CC22*((1+HLOOKUP('Monthly CF'!CC$2,Revenue!$S$8:$AC$10,3,0))^(1/12)))</f>
        <v>0</v>
      </c>
      <c r="CE22" s="161">
        <f>IF(CE$1=1,Revenue!$P10*Revenue!$A$23,'Monthly CF'!CD22*((1+HLOOKUP('Monthly CF'!CD$2,Revenue!$S$8:$AC$10,3,0))^(1/12)))</f>
        <v>0</v>
      </c>
      <c r="CF22" s="161">
        <f>IF(CF$1=1,Revenue!$P10*Revenue!$A$23,'Monthly CF'!CE22*((1+HLOOKUP('Monthly CF'!CE$2,Revenue!$S$8:$AC$10,3,0))^(1/12)))</f>
        <v>0</v>
      </c>
      <c r="CG22" s="161">
        <f>IF(CG$1=1,Revenue!$P10*Revenue!$A$23,'Monthly CF'!CF22*((1+HLOOKUP('Monthly CF'!CF$2,Revenue!$S$8:$AC$10,3,0))^(1/12)))</f>
        <v>0</v>
      </c>
      <c r="CH22" s="161">
        <f>IF(CH$1=1,Revenue!$P10*Revenue!$A$23,'Monthly CF'!CG22*((1+HLOOKUP('Monthly CF'!CG$2,Revenue!$S$8:$AC$10,3,0))^(1/12)))</f>
        <v>0</v>
      </c>
      <c r="CI22" s="161">
        <f>IF(CI$1=1,Revenue!$P10*Revenue!$A$23,'Monthly CF'!CH22*((1+HLOOKUP('Monthly CF'!CH$2,Revenue!$S$8:$AC$10,3,0))^(1/12)))</f>
        <v>0</v>
      </c>
      <c r="CJ22" s="161">
        <f>IF(CJ$1=1,Revenue!$P10*Revenue!$A$23,'Monthly CF'!CI22*((1+HLOOKUP('Monthly CF'!CI$2,Revenue!$S$8:$AC$10,3,0))^(1/12)))</f>
        <v>0</v>
      </c>
      <c r="CK22" s="161">
        <f>IF(CK$1=1,Revenue!$P10*Revenue!$A$23,'Monthly CF'!CJ22*((1+HLOOKUP('Monthly CF'!CJ$2,Revenue!$S$8:$AC$10,3,0))^(1/12)))</f>
        <v>0</v>
      </c>
      <c r="CL22" s="161">
        <f>IF(CL$1=1,Revenue!$P10*Revenue!$A$23,'Monthly CF'!CK22*((1+HLOOKUP('Monthly CF'!CK$2,Revenue!$S$8:$AC$10,3,0))^(1/12)))</f>
        <v>0</v>
      </c>
      <c r="CM22" s="161">
        <f>IF(CM$1=1,Revenue!$P10*Revenue!$A$23,'Monthly CF'!CL22*((1+HLOOKUP('Monthly CF'!CL$2,Revenue!$S$8:$AC$10,3,0))^(1/12)))</f>
        <v>0</v>
      </c>
      <c r="CN22" s="161">
        <f>IF(CN$1=1,Revenue!$P10*Revenue!$A$23,'Monthly CF'!CM22*((1+HLOOKUP('Monthly CF'!CM$2,Revenue!$S$8:$AC$10,3,0))^(1/12)))</f>
        <v>0</v>
      </c>
      <c r="CO22" s="161">
        <f>IF(CO$1=1,Revenue!$P10*Revenue!$A$23,'Monthly CF'!CN22*((1+HLOOKUP('Monthly CF'!CN$2,Revenue!$S$8:$AC$10,3,0))^(1/12)))</f>
        <v>0</v>
      </c>
      <c r="CP22" s="161">
        <f>IF(CP$1=1,Revenue!$P10*Revenue!$A$23,'Monthly CF'!CO22*((1+HLOOKUP('Monthly CF'!CO$2,Revenue!$S$8:$AC$10,3,0))^(1/12)))</f>
        <v>0</v>
      </c>
      <c r="CQ22" s="161">
        <f>IF(CQ$1=1,Revenue!$P10*Revenue!$A$23,'Monthly CF'!CP22*((1+HLOOKUP('Monthly CF'!CP$2,Revenue!$S$8:$AC$10,3,0))^(1/12)))</f>
        <v>0</v>
      </c>
      <c r="CR22" s="161">
        <f>IF(CR$1=1,Revenue!$P10*Revenue!$A$23,'Monthly CF'!CQ22*((1+HLOOKUP('Monthly CF'!CQ$2,Revenue!$S$8:$AC$10,3,0))^(1/12)))</f>
        <v>0</v>
      </c>
      <c r="CS22" s="161">
        <f>IF(CS$1=1,Revenue!$P10*Revenue!$A$23,'Monthly CF'!CR22*((1+HLOOKUP('Monthly CF'!CR$2,Revenue!$S$8:$AC$10,3,0))^(1/12)))</f>
        <v>0</v>
      </c>
      <c r="CT22" s="161">
        <f>IF(CT$1=1,Revenue!$P10*Revenue!$A$23,'Monthly CF'!CS22*((1+HLOOKUP('Monthly CF'!CS$2,Revenue!$S$8:$AC$10,3,0))^(1/12)))</f>
        <v>0</v>
      </c>
      <c r="CU22" s="161">
        <f>IF(CU$1=1,Revenue!$P10*Revenue!$A$23,'Monthly CF'!CT22*((1+HLOOKUP('Monthly CF'!CT$2,Revenue!$S$8:$AC$10,3,0))^(1/12)))</f>
        <v>0</v>
      </c>
      <c r="CV22" s="161">
        <f>IF(CV$1=1,Revenue!$P10*Revenue!$A$23,'Monthly CF'!CU22*((1+HLOOKUP('Monthly CF'!CU$2,Revenue!$S$8:$AC$10,3,0))^(1/12)))</f>
        <v>0</v>
      </c>
      <c r="CW22" s="161">
        <f>IF(CW$1=1,Revenue!$P10*Revenue!$A$23,'Monthly CF'!CV22*((1+HLOOKUP('Monthly CF'!CV$2,Revenue!$S$8:$AC$10,3,0))^(1/12)))</f>
        <v>0</v>
      </c>
      <c r="CX22" s="161">
        <f>IF(CX$1=1,Revenue!$P10*Revenue!$A$23,'Monthly CF'!CW22*((1+HLOOKUP('Monthly CF'!CW$2,Revenue!$S$8:$AC$10,3,0))^(1/12)))</f>
        <v>0</v>
      </c>
      <c r="CY22" s="161">
        <f>IF(CY$1=1,Revenue!$P10*Revenue!$A$23,'Monthly CF'!CX22*((1+HLOOKUP('Monthly CF'!CX$2,Revenue!$S$8:$AC$10,3,0))^(1/12)))</f>
        <v>0</v>
      </c>
      <c r="CZ22" s="161">
        <f>IF(CZ$1=1,Revenue!$P10*Revenue!$A$23,'Monthly CF'!CY22*((1+HLOOKUP('Monthly CF'!CY$2,Revenue!$S$8:$AC$10,3,0))^(1/12)))</f>
        <v>0</v>
      </c>
      <c r="DA22" s="161">
        <f>IF(DA$1=1,Revenue!$P10*Revenue!$A$23,'Monthly CF'!CZ22*((1+HLOOKUP('Monthly CF'!CZ$2,Revenue!$S$8:$AC$10,3,0))^(1/12)))</f>
        <v>0</v>
      </c>
      <c r="DB22" s="161">
        <f>IF(DB$1=1,Revenue!$P10*Revenue!$A$23,'Monthly CF'!DA22*((1+HLOOKUP('Monthly CF'!DA$2,Revenue!$S$8:$AC$10,3,0))^(1/12)))</f>
        <v>0</v>
      </c>
      <c r="DC22" s="161">
        <f>IF(DC$1=1,Revenue!$P10*Revenue!$A$23,'Monthly CF'!DB22*((1+HLOOKUP('Monthly CF'!DB$2,Revenue!$S$8:$AC$10,3,0))^(1/12)))</f>
        <v>0</v>
      </c>
      <c r="DD22" s="161">
        <f>IF(DD$1=1,Revenue!$P10*Revenue!$A$23,'Monthly CF'!DC22*((1+HLOOKUP('Monthly CF'!DC$2,Revenue!$S$8:$AC$10,3,0))^(1/12)))</f>
        <v>0</v>
      </c>
      <c r="DE22" s="161">
        <f>IF(DE$1=1,Revenue!$P10*Revenue!$A$23,'Monthly CF'!DD22*((1+HLOOKUP('Monthly CF'!DD$2,Revenue!$S$8:$AC$10,3,0))^(1/12)))</f>
        <v>0</v>
      </c>
      <c r="DF22" s="161">
        <f>IF(DF$1=1,Revenue!$P10*Revenue!$A$23,'Monthly CF'!DE22*((1+HLOOKUP('Monthly CF'!DE$2,Revenue!$S$8:$AC$10,3,0))^(1/12)))</f>
        <v>0</v>
      </c>
      <c r="DG22" s="161">
        <f>IF(DG$1=1,Revenue!$P10*Revenue!$A$23,'Monthly CF'!DF22*((1+HLOOKUP('Monthly CF'!DF$2,Revenue!$S$8:$AC$10,3,0))^(1/12)))</f>
        <v>0</v>
      </c>
      <c r="DH22" s="161">
        <f>IF(DH$1=1,Revenue!$P10*Revenue!$A$23,'Monthly CF'!DG22*((1+HLOOKUP('Monthly CF'!DG$2,Revenue!$S$8:$AC$10,3,0))^(1/12)))</f>
        <v>0</v>
      </c>
      <c r="DI22" s="161">
        <f>IF(DI$1=1,Revenue!$P10*Revenue!$A$23,'Monthly CF'!DH22*((1+HLOOKUP('Monthly CF'!DH$2,Revenue!$S$8:$AC$10,3,0))^(1/12)))</f>
        <v>0</v>
      </c>
      <c r="DJ22" s="161">
        <f>IF(DJ$1=1,Revenue!$P10*Revenue!$A$23,'Monthly CF'!DI22*((1+HLOOKUP('Monthly CF'!DI$2,Revenue!$S$8:$AC$10,3,0))^(1/12)))</f>
        <v>0</v>
      </c>
      <c r="DK22" s="161">
        <f>IF(DK$1=1,Revenue!$P10*Revenue!$A$23,'Monthly CF'!DJ22*((1+HLOOKUP('Monthly CF'!DJ$2,Revenue!$S$8:$AC$10,3,0))^(1/12)))</f>
        <v>0</v>
      </c>
      <c r="DL22" s="161">
        <f>IF(DL$1=1,Revenue!$P10*Revenue!$A$23,'Monthly CF'!DK22*((1+HLOOKUP('Monthly CF'!DK$2,Revenue!$S$8:$AC$10,3,0))^(1/12)))</f>
        <v>0</v>
      </c>
      <c r="DM22" s="161">
        <f>IF(DM$1=1,Revenue!$P10*Revenue!$A$23,'Monthly CF'!DL22*((1+HLOOKUP('Monthly CF'!DL$2,Revenue!$S$8:$AC$10,3,0))^(1/12)))</f>
        <v>0</v>
      </c>
      <c r="DN22" s="161">
        <f>IF(DN$1=1,Revenue!$P10*Revenue!$A$23,'Monthly CF'!DM22*((1+HLOOKUP('Monthly CF'!DM$2,Revenue!$S$8:$AC$10,3,0))^(1/12)))</f>
        <v>0</v>
      </c>
      <c r="DO22" s="161">
        <f>IF(DO$1=1,Revenue!$P10*Revenue!$A$23,'Monthly CF'!DN22*((1+HLOOKUP('Monthly CF'!DN$2,Revenue!$S$8:$AC$10,3,0))^(1/12)))</f>
        <v>0</v>
      </c>
      <c r="DP22" s="161">
        <f>IF(DP$1=1,Revenue!$P10*Revenue!$A$23,'Monthly CF'!DO22*((1+HLOOKUP('Monthly CF'!DO$2,Revenue!$S$8:$AC$10,3,0))^(1/12)))</f>
        <v>0</v>
      </c>
      <c r="DQ22" s="161">
        <f>IF(DQ$1=1,Revenue!$P10*Revenue!$A$23,'Monthly CF'!DP22*((1+HLOOKUP('Monthly CF'!DP$2,Revenue!$S$8:$AC$10,3,0))^(1/12)))</f>
        <v>0</v>
      </c>
      <c r="DR22" s="161">
        <f>IF(DR$1=1,Revenue!$P10*Revenue!$A$23,'Monthly CF'!DQ22*((1+HLOOKUP('Monthly CF'!DQ$2,Revenue!$S$8:$AC$10,3,0))^(1/12)))</f>
        <v>0</v>
      </c>
      <c r="DS22" s="161">
        <f>IF(DS$1=1,Revenue!$P10*Revenue!$A$23,'Monthly CF'!DR22*((1+HLOOKUP('Monthly CF'!DR$2,Revenue!$S$8:$AC$10,3,0))^(1/12)))</f>
        <v>0</v>
      </c>
      <c r="DT22" s="161">
        <f>IF(DT$1=1,Revenue!$P10*Revenue!$A$23,'Monthly CF'!DS22*((1+HLOOKUP('Monthly CF'!DS$2,Revenue!$S$8:$AC$10,3,0))^(1/12)))</f>
        <v>0</v>
      </c>
      <c r="DU22" s="161">
        <f>IF(DU$1=1,Revenue!$P10*Revenue!$A$23,'Monthly CF'!DT22*((1+HLOOKUP('Monthly CF'!DT$2,Revenue!$S$8:$AC$10,3,0))^(1/12)))</f>
        <v>0</v>
      </c>
      <c r="DV22" s="161">
        <f>IF(DV$1=1,Revenue!$P10*Revenue!$A$23,'Monthly CF'!DU22*((1+HLOOKUP('Monthly CF'!DU$2,Revenue!$S$8:$AC$10,3,0))^(1/12)))</f>
        <v>0</v>
      </c>
      <c r="DW22" s="161">
        <f>IF(DW$1=1,Revenue!$P10*Revenue!$A$23,'Monthly CF'!DV22*((1+HLOOKUP('Monthly CF'!DV$2,Revenue!$S$8:$AC$10,3,0))^(1/12)))</f>
        <v>0</v>
      </c>
      <c r="DX22" s="161">
        <f>IF(DX$1=1,Revenue!$P10*Revenue!$A$23,'Monthly CF'!DW22*((1+HLOOKUP('Monthly CF'!DW$2,Revenue!$S$8:$AC$10,3,0))^(1/12)))</f>
        <v>0</v>
      </c>
      <c r="DY22" s="161">
        <f>IF(DY$1=1,Revenue!$P10*Revenue!$A$23,'Monthly CF'!DX22*((1+HLOOKUP('Monthly CF'!DX$2,Revenue!$S$8:$AC$10,3,0))^(1/12)))</f>
        <v>0</v>
      </c>
      <c r="DZ22" s="161">
        <f>IF(DZ$1=1,Revenue!$P10*Revenue!$A$23,'Monthly CF'!DY22*((1+HLOOKUP('Monthly CF'!DY$2,Revenue!$S$8:$AC$10,3,0))^(1/12)))</f>
        <v>0</v>
      </c>
      <c r="EA22" s="161">
        <f>IF(EA$1=1,Revenue!$P10*Revenue!$A$23,'Monthly CF'!DZ22*((1+HLOOKUP('Monthly CF'!DZ$2,Revenue!$S$8:$AC$10,3,0))^(1/12)))</f>
        <v>0</v>
      </c>
      <c r="EB22" s="161">
        <f>IF(EB$1=1,Revenue!$P10*Revenue!$A$23,'Monthly CF'!EA22*((1+HLOOKUP('Monthly CF'!EA$2,Revenue!$S$8:$AC$10,3,0))^(1/12)))</f>
        <v>0</v>
      </c>
      <c r="EC22" s="161">
        <f>IF(EC$1=1,Revenue!$P10*Revenue!$A$23,'Monthly CF'!EB22*((1+HLOOKUP('Monthly CF'!EB$2,Revenue!$S$8:$AC$10,3,0))^(1/12)))</f>
        <v>0</v>
      </c>
      <c r="ED22" s="161">
        <f>IF(ED$1=1,Revenue!$P10*Revenue!$A$23,'Monthly CF'!EC22*((1+HLOOKUP('Monthly CF'!EC$2,Revenue!$S$8:$AC$10,3,0))^(1/12)))</f>
        <v>0</v>
      </c>
      <c r="EE22" s="162">
        <f>IF(EE$1=1,Revenue!$P10*Revenue!$A$23,'Monthly CF'!ED22*((1+HLOOKUP('Monthly CF'!ED$2,Revenue!$S$8:$AC$10,3,0))^(1/12)))</f>
        <v>0</v>
      </c>
    </row>
    <row r="23" spans="1:135" x14ac:dyDescent="0.35">
      <c r="A23" s="168">
        <f>SUMIF($C$1:$EE$1,"&lt;="&amp;Summary!$K$19,'Monthly CF'!C23:EE23)</f>
        <v>0</v>
      </c>
      <c r="B23" s="5" t="str">
        <f>Revenue!O11</f>
        <v>Other Charges</v>
      </c>
      <c r="C23" s="160"/>
      <c r="D23" s="161">
        <f>IF(D$1=1,Revenue!$P11*Revenue!$A$23,'Monthly CF'!C23*((1+HLOOKUP('Monthly CF'!C$2,Revenue!$S$8:$AC$10,3,0))^(1/12)))</f>
        <v>0</v>
      </c>
      <c r="E23" s="161">
        <f>IF(E$1=1,Revenue!$P11*Revenue!$A$23,'Monthly CF'!D23*((1+HLOOKUP('Monthly CF'!D$2,Revenue!$S$8:$AC$10,3,0))^(1/12)))</f>
        <v>0</v>
      </c>
      <c r="F23" s="161">
        <f>IF(F$1=1,Revenue!$P11*Revenue!$A$23,'Monthly CF'!E23*((1+HLOOKUP('Monthly CF'!E$2,Revenue!$S$8:$AC$10,3,0))^(1/12)))</f>
        <v>0</v>
      </c>
      <c r="G23" s="161">
        <f>IF(G$1=1,Revenue!$P11*Revenue!$A$23,'Monthly CF'!F23*((1+HLOOKUP('Monthly CF'!F$2,Revenue!$S$8:$AC$10,3,0))^(1/12)))</f>
        <v>0</v>
      </c>
      <c r="H23" s="161">
        <f>IF(H$1=1,Revenue!$P11*Revenue!$A$23,'Monthly CF'!G23*((1+HLOOKUP('Monthly CF'!G$2,Revenue!$S$8:$AC$10,3,0))^(1/12)))</f>
        <v>0</v>
      </c>
      <c r="I23" s="161">
        <f>IF(I$1=1,Revenue!$P11*Revenue!$A$23,'Monthly CF'!H23*((1+HLOOKUP('Monthly CF'!H$2,Revenue!$S$8:$AC$10,3,0))^(1/12)))</f>
        <v>0</v>
      </c>
      <c r="J23" s="161">
        <f>IF(J$1=1,Revenue!$P11*Revenue!$A$23,'Monthly CF'!I23*((1+HLOOKUP('Monthly CF'!I$2,Revenue!$S$8:$AC$10,3,0))^(1/12)))</f>
        <v>0</v>
      </c>
      <c r="K23" s="161">
        <f>IF(K$1=1,Revenue!$P11*Revenue!$A$23,'Monthly CF'!J23*((1+HLOOKUP('Monthly CF'!J$2,Revenue!$S$8:$AC$10,3,0))^(1/12)))</f>
        <v>0</v>
      </c>
      <c r="L23" s="161">
        <f>IF(L$1=1,Revenue!$P11*Revenue!$A$23,'Monthly CF'!K23*((1+HLOOKUP('Monthly CF'!K$2,Revenue!$S$8:$AC$10,3,0))^(1/12)))</f>
        <v>0</v>
      </c>
      <c r="M23" s="161">
        <f>IF(M$1=1,Revenue!$P11*Revenue!$A$23,'Monthly CF'!L23*((1+HLOOKUP('Monthly CF'!L$2,Revenue!$S$8:$AC$10,3,0))^(1/12)))</f>
        <v>0</v>
      </c>
      <c r="N23" s="161">
        <f>IF(N$1=1,Revenue!$P11*Revenue!$A$23,'Monthly CF'!M23*((1+HLOOKUP('Monthly CF'!M$2,Revenue!$S$8:$AC$10,3,0))^(1/12)))</f>
        <v>0</v>
      </c>
      <c r="O23" s="161">
        <f>IF(O$1=1,Revenue!$P11*Revenue!$A$23,'Monthly CF'!N23*((1+HLOOKUP('Monthly CF'!N$2,Revenue!$S$8:$AC$10,3,0))^(1/12)))</f>
        <v>0</v>
      </c>
      <c r="P23" s="161">
        <f>IF(P$1=1,Revenue!$P11*Revenue!$A$23,'Monthly CF'!O23*((1+HLOOKUP('Monthly CF'!O$2,Revenue!$S$8:$AC$10,3,0))^(1/12)))</f>
        <v>0</v>
      </c>
      <c r="Q23" s="161">
        <f>IF(Q$1=1,Revenue!$P11*Revenue!$A$23,'Monthly CF'!P23*((1+HLOOKUP('Monthly CF'!P$2,Revenue!$S$8:$AC$10,3,0))^(1/12)))</f>
        <v>0</v>
      </c>
      <c r="R23" s="161">
        <f>IF(R$1=1,Revenue!$P11*Revenue!$A$23,'Monthly CF'!Q23*((1+HLOOKUP('Monthly CF'!Q$2,Revenue!$S$8:$AC$10,3,0))^(1/12)))</f>
        <v>0</v>
      </c>
      <c r="S23" s="161">
        <f>IF(S$1=1,Revenue!$P11*Revenue!$A$23,'Monthly CF'!R23*((1+HLOOKUP('Monthly CF'!R$2,Revenue!$S$8:$AC$10,3,0))^(1/12)))</f>
        <v>0</v>
      </c>
      <c r="T23" s="161">
        <f>IF(T$1=1,Revenue!$P11*Revenue!$A$23,'Monthly CF'!S23*((1+HLOOKUP('Monthly CF'!S$2,Revenue!$S$8:$AC$10,3,0))^(1/12)))</f>
        <v>0</v>
      </c>
      <c r="U23" s="161">
        <f>IF(U$1=1,Revenue!$P11*Revenue!$A$23,'Monthly CF'!T23*((1+HLOOKUP('Monthly CF'!T$2,Revenue!$S$8:$AC$10,3,0))^(1/12)))</f>
        <v>0</v>
      </c>
      <c r="V23" s="161">
        <f>IF(V$1=1,Revenue!$P11*Revenue!$A$23,'Monthly CF'!U23*((1+HLOOKUP('Monthly CF'!U$2,Revenue!$S$8:$AC$10,3,0))^(1/12)))</f>
        <v>0</v>
      </c>
      <c r="W23" s="161">
        <f>IF(W$1=1,Revenue!$P11*Revenue!$A$23,'Monthly CF'!V23*((1+HLOOKUP('Monthly CF'!V$2,Revenue!$S$8:$AC$10,3,0))^(1/12)))</f>
        <v>0</v>
      </c>
      <c r="X23" s="161">
        <f>IF(X$1=1,Revenue!$P11*Revenue!$A$23,'Monthly CF'!W23*((1+HLOOKUP('Monthly CF'!W$2,Revenue!$S$8:$AC$10,3,0))^(1/12)))</f>
        <v>0</v>
      </c>
      <c r="Y23" s="161">
        <f>IF(Y$1=1,Revenue!$P11*Revenue!$A$23,'Monthly CF'!X23*((1+HLOOKUP('Monthly CF'!X$2,Revenue!$S$8:$AC$10,3,0))^(1/12)))</f>
        <v>0</v>
      </c>
      <c r="Z23" s="161">
        <f>IF(Z$1=1,Revenue!$P11*Revenue!$A$23,'Monthly CF'!Y23*((1+HLOOKUP('Monthly CF'!Y$2,Revenue!$S$8:$AC$10,3,0))^(1/12)))</f>
        <v>0</v>
      </c>
      <c r="AA23" s="161">
        <f>IF(AA$1=1,Revenue!$P11*Revenue!$A$23,'Monthly CF'!Z23*((1+HLOOKUP('Monthly CF'!Z$2,Revenue!$S$8:$AC$10,3,0))^(1/12)))</f>
        <v>0</v>
      </c>
      <c r="AB23" s="161">
        <f>IF(AB$1=1,Revenue!$P11*Revenue!$A$23,'Monthly CF'!AA23*((1+HLOOKUP('Monthly CF'!AA$2,Revenue!$S$8:$AC$10,3,0))^(1/12)))</f>
        <v>0</v>
      </c>
      <c r="AC23" s="161">
        <f>IF(AC$1=1,Revenue!$P11*Revenue!$A$23,'Monthly CF'!AB23*((1+HLOOKUP('Monthly CF'!AB$2,Revenue!$S$8:$AC$10,3,0))^(1/12)))</f>
        <v>0</v>
      </c>
      <c r="AD23" s="161">
        <f>IF(AD$1=1,Revenue!$P11*Revenue!$A$23,'Monthly CF'!AC23*((1+HLOOKUP('Monthly CF'!AC$2,Revenue!$S$8:$AC$10,3,0))^(1/12)))</f>
        <v>0</v>
      </c>
      <c r="AE23" s="161">
        <f>IF(AE$1=1,Revenue!$P11*Revenue!$A$23,'Monthly CF'!AD23*((1+HLOOKUP('Monthly CF'!AD$2,Revenue!$S$8:$AC$10,3,0))^(1/12)))</f>
        <v>0</v>
      </c>
      <c r="AF23" s="161">
        <f>IF(AF$1=1,Revenue!$P11*Revenue!$A$23,'Monthly CF'!AE23*((1+HLOOKUP('Monthly CF'!AE$2,Revenue!$S$8:$AC$10,3,0))^(1/12)))</f>
        <v>0</v>
      </c>
      <c r="AG23" s="161">
        <f>IF(AG$1=1,Revenue!$P11*Revenue!$A$23,'Monthly CF'!AF23*((1+HLOOKUP('Monthly CF'!AF$2,Revenue!$S$8:$AC$10,3,0))^(1/12)))</f>
        <v>0</v>
      </c>
      <c r="AH23" s="161">
        <f>IF(AH$1=1,Revenue!$P11*Revenue!$A$23,'Monthly CF'!AG23*((1+HLOOKUP('Monthly CF'!AG$2,Revenue!$S$8:$AC$10,3,0))^(1/12)))</f>
        <v>0</v>
      </c>
      <c r="AI23" s="161">
        <f>IF(AI$1=1,Revenue!$P11*Revenue!$A$23,'Monthly CF'!AH23*((1+HLOOKUP('Monthly CF'!AH$2,Revenue!$S$8:$AC$10,3,0))^(1/12)))</f>
        <v>0</v>
      </c>
      <c r="AJ23" s="161">
        <f>IF(AJ$1=1,Revenue!$P11*Revenue!$A$23,'Monthly CF'!AI23*((1+HLOOKUP('Monthly CF'!AI$2,Revenue!$S$8:$AC$10,3,0))^(1/12)))</f>
        <v>0</v>
      </c>
      <c r="AK23" s="161">
        <f>IF(AK$1=1,Revenue!$P11*Revenue!$A$23,'Monthly CF'!AJ23*((1+HLOOKUP('Monthly CF'!AJ$2,Revenue!$S$8:$AC$10,3,0))^(1/12)))</f>
        <v>0</v>
      </c>
      <c r="AL23" s="161">
        <f>IF(AL$1=1,Revenue!$P11*Revenue!$A$23,'Monthly CF'!AK23*((1+HLOOKUP('Monthly CF'!AK$2,Revenue!$S$8:$AC$10,3,0))^(1/12)))</f>
        <v>0</v>
      </c>
      <c r="AM23" s="161">
        <f>IF(AM$1=1,Revenue!$P11*Revenue!$A$23,'Monthly CF'!AL23*((1+HLOOKUP('Monthly CF'!AL$2,Revenue!$S$8:$AC$10,3,0))^(1/12)))</f>
        <v>0</v>
      </c>
      <c r="AN23" s="161">
        <f>IF(AN$1=1,Revenue!$P11*Revenue!$A$23,'Monthly CF'!AM23*((1+HLOOKUP('Monthly CF'!AM$2,Revenue!$S$8:$AC$10,3,0))^(1/12)))</f>
        <v>0</v>
      </c>
      <c r="AO23" s="161">
        <f>IF(AO$1=1,Revenue!$P11*Revenue!$A$23,'Monthly CF'!AN23*((1+HLOOKUP('Monthly CF'!AN$2,Revenue!$S$8:$AC$10,3,0))^(1/12)))</f>
        <v>0</v>
      </c>
      <c r="AP23" s="161">
        <f>IF(AP$1=1,Revenue!$P11*Revenue!$A$23,'Monthly CF'!AO23*((1+HLOOKUP('Monthly CF'!AO$2,Revenue!$S$8:$AC$10,3,0))^(1/12)))</f>
        <v>0</v>
      </c>
      <c r="AQ23" s="161">
        <f>IF(AQ$1=1,Revenue!$P11*Revenue!$A$23,'Monthly CF'!AP23*((1+HLOOKUP('Monthly CF'!AP$2,Revenue!$S$8:$AC$10,3,0))^(1/12)))</f>
        <v>0</v>
      </c>
      <c r="AR23" s="161">
        <f>IF(AR$1=1,Revenue!$P11*Revenue!$A$23,'Monthly CF'!AQ23*((1+HLOOKUP('Monthly CF'!AQ$2,Revenue!$S$8:$AC$10,3,0))^(1/12)))</f>
        <v>0</v>
      </c>
      <c r="AS23" s="161">
        <f>IF(AS$1=1,Revenue!$P11*Revenue!$A$23,'Monthly CF'!AR23*((1+HLOOKUP('Monthly CF'!AR$2,Revenue!$S$8:$AC$10,3,0))^(1/12)))</f>
        <v>0</v>
      </c>
      <c r="AT23" s="161">
        <f>IF(AT$1=1,Revenue!$P11*Revenue!$A$23,'Monthly CF'!AS23*((1+HLOOKUP('Monthly CF'!AS$2,Revenue!$S$8:$AC$10,3,0))^(1/12)))</f>
        <v>0</v>
      </c>
      <c r="AU23" s="161">
        <f>IF(AU$1=1,Revenue!$P11*Revenue!$A$23,'Monthly CF'!AT23*((1+HLOOKUP('Monthly CF'!AT$2,Revenue!$S$8:$AC$10,3,0))^(1/12)))</f>
        <v>0</v>
      </c>
      <c r="AV23" s="161">
        <f>IF(AV$1=1,Revenue!$P11*Revenue!$A$23,'Monthly CF'!AU23*((1+HLOOKUP('Monthly CF'!AU$2,Revenue!$S$8:$AC$10,3,0))^(1/12)))</f>
        <v>0</v>
      </c>
      <c r="AW23" s="161">
        <f>IF(AW$1=1,Revenue!$P11*Revenue!$A$23,'Monthly CF'!AV23*((1+HLOOKUP('Monthly CF'!AV$2,Revenue!$S$8:$AC$10,3,0))^(1/12)))</f>
        <v>0</v>
      </c>
      <c r="AX23" s="161">
        <f>IF(AX$1=1,Revenue!$P11*Revenue!$A$23,'Monthly CF'!AW23*((1+HLOOKUP('Monthly CF'!AW$2,Revenue!$S$8:$AC$10,3,0))^(1/12)))</f>
        <v>0</v>
      </c>
      <c r="AY23" s="161">
        <f>IF(AY$1=1,Revenue!$P11*Revenue!$A$23,'Monthly CF'!AX23*((1+HLOOKUP('Monthly CF'!AX$2,Revenue!$S$8:$AC$10,3,0))^(1/12)))</f>
        <v>0</v>
      </c>
      <c r="AZ23" s="161">
        <f>IF(AZ$1=1,Revenue!$P11*Revenue!$A$23,'Monthly CF'!AY23*((1+HLOOKUP('Monthly CF'!AY$2,Revenue!$S$8:$AC$10,3,0))^(1/12)))</f>
        <v>0</v>
      </c>
      <c r="BA23" s="161">
        <f>IF(BA$1=1,Revenue!$P11*Revenue!$A$23,'Monthly CF'!AZ23*((1+HLOOKUP('Monthly CF'!AZ$2,Revenue!$S$8:$AC$10,3,0))^(1/12)))</f>
        <v>0</v>
      </c>
      <c r="BB23" s="161">
        <f>IF(BB$1=1,Revenue!$P11*Revenue!$A$23,'Monthly CF'!BA23*((1+HLOOKUP('Monthly CF'!BA$2,Revenue!$S$8:$AC$10,3,0))^(1/12)))</f>
        <v>0</v>
      </c>
      <c r="BC23" s="161">
        <f>IF(BC$1=1,Revenue!$P11*Revenue!$A$23,'Monthly CF'!BB23*((1+HLOOKUP('Monthly CF'!BB$2,Revenue!$S$8:$AC$10,3,0))^(1/12)))</f>
        <v>0</v>
      </c>
      <c r="BD23" s="161">
        <f>IF(BD$1=1,Revenue!$P11*Revenue!$A$23,'Monthly CF'!BC23*((1+HLOOKUP('Monthly CF'!BC$2,Revenue!$S$8:$AC$10,3,0))^(1/12)))</f>
        <v>0</v>
      </c>
      <c r="BE23" s="161">
        <f>IF(BE$1=1,Revenue!$P11*Revenue!$A$23,'Monthly CF'!BD23*((1+HLOOKUP('Monthly CF'!BD$2,Revenue!$S$8:$AC$10,3,0))^(1/12)))</f>
        <v>0</v>
      </c>
      <c r="BF23" s="161">
        <f>IF(BF$1=1,Revenue!$P11*Revenue!$A$23,'Monthly CF'!BE23*((1+HLOOKUP('Monthly CF'!BE$2,Revenue!$S$8:$AC$10,3,0))^(1/12)))</f>
        <v>0</v>
      </c>
      <c r="BG23" s="161">
        <f>IF(BG$1=1,Revenue!$P11*Revenue!$A$23,'Monthly CF'!BF23*((1+HLOOKUP('Monthly CF'!BF$2,Revenue!$S$8:$AC$10,3,0))^(1/12)))</f>
        <v>0</v>
      </c>
      <c r="BH23" s="161">
        <f>IF(BH$1=1,Revenue!$P11*Revenue!$A$23,'Monthly CF'!BG23*((1+HLOOKUP('Monthly CF'!BG$2,Revenue!$S$8:$AC$10,3,0))^(1/12)))</f>
        <v>0</v>
      </c>
      <c r="BI23" s="161">
        <f>IF(BI$1=1,Revenue!$P11*Revenue!$A$23,'Monthly CF'!BH23*((1+HLOOKUP('Monthly CF'!BH$2,Revenue!$S$8:$AC$10,3,0))^(1/12)))</f>
        <v>0</v>
      </c>
      <c r="BJ23" s="161">
        <f>IF(BJ$1=1,Revenue!$P11*Revenue!$A$23,'Monthly CF'!BI23*((1+HLOOKUP('Monthly CF'!BI$2,Revenue!$S$8:$AC$10,3,0))^(1/12)))</f>
        <v>0</v>
      </c>
      <c r="BK23" s="161">
        <f>IF(BK$1=1,Revenue!$P11*Revenue!$A$23,'Monthly CF'!BJ23*((1+HLOOKUP('Monthly CF'!BJ$2,Revenue!$S$8:$AC$10,3,0))^(1/12)))</f>
        <v>0</v>
      </c>
      <c r="BL23" s="161">
        <f>IF(BL$1=1,Revenue!$P11*Revenue!$A$23,'Monthly CF'!BK23*((1+HLOOKUP('Monthly CF'!BK$2,Revenue!$S$8:$AC$10,3,0))^(1/12)))</f>
        <v>0</v>
      </c>
      <c r="BM23" s="161">
        <f>IF(BM$1=1,Revenue!$P11*Revenue!$A$23,'Monthly CF'!BL23*((1+HLOOKUP('Monthly CF'!BL$2,Revenue!$S$8:$AC$10,3,0))^(1/12)))</f>
        <v>0</v>
      </c>
      <c r="BN23" s="161">
        <f>IF(BN$1=1,Revenue!$P11*Revenue!$A$23,'Monthly CF'!BM23*((1+HLOOKUP('Monthly CF'!BM$2,Revenue!$S$8:$AC$10,3,0))^(1/12)))</f>
        <v>0</v>
      </c>
      <c r="BO23" s="161">
        <f>IF(BO$1=1,Revenue!$P11*Revenue!$A$23,'Monthly CF'!BN23*((1+HLOOKUP('Monthly CF'!BN$2,Revenue!$S$8:$AC$10,3,0))^(1/12)))</f>
        <v>0</v>
      </c>
      <c r="BP23" s="161">
        <f>IF(BP$1=1,Revenue!$P11*Revenue!$A$23,'Monthly CF'!BO23*((1+HLOOKUP('Monthly CF'!BO$2,Revenue!$S$8:$AC$10,3,0))^(1/12)))</f>
        <v>0</v>
      </c>
      <c r="BQ23" s="161">
        <f>IF(BQ$1=1,Revenue!$P11*Revenue!$A$23,'Monthly CF'!BP23*((1+HLOOKUP('Monthly CF'!BP$2,Revenue!$S$8:$AC$10,3,0))^(1/12)))</f>
        <v>0</v>
      </c>
      <c r="BR23" s="161">
        <f>IF(BR$1=1,Revenue!$P11*Revenue!$A$23,'Monthly CF'!BQ23*((1+HLOOKUP('Monthly CF'!BQ$2,Revenue!$S$8:$AC$10,3,0))^(1/12)))</f>
        <v>0</v>
      </c>
      <c r="BS23" s="161">
        <f>IF(BS$1=1,Revenue!$P11*Revenue!$A$23,'Monthly CF'!BR23*((1+HLOOKUP('Monthly CF'!BR$2,Revenue!$S$8:$AC$10,3,0))^(1/12)))</f>
        <v>0</v>
      </c>
      <c r="BT23" s="161">
        <f>IF(BT$1=1,Revenue!$P11*Revenue!$A$23,'Monthly CF'!BS23*((1+HLOOKUP('Monthly CF'!BS$2,Revenue!$S$8:$AC$10,3,0))^(1/12)))</f>
        <v>0</v>
      </c>
      <c r="BU23" s="161">
        <f>IF(BU$1=1,Revenue!$P11*Revenue!$A$23,'Monthly CF'!BT23*((1+HLOOKUP('Monthly CF'!BT$2,Revenue!$S$8:$AC$10,3,0))^(1/12)))</f>
        <v>0</v>
      </c>
      <c r="BV23" s="161">
        <f>IF(BV$1=1,Revenue!$P11*Revenue!$A$23,'Monthly CF'!BU23*((1+HLOOKUP('Monthly CF'!BU$2,Revenue!$S$8:$AC$10,3,0))^(1/12)))</f>
        <v>0</v>
      </c>
      <c r="BW23" s="161">
        <f>IF(BW$1=1,Revenue!$P11*Revenue!$A$23,'Monthly CF'!BV23*((1+HLOOKUP('Monthly CF'!BV$2,Revenue!$S$8:$AC$10,3,0))^(1/12)))</f>
        <v>0</v>
      </c>
      <c r="BX23" s="161">
        <f>IF(BX$1=1,Revenue!$P11*Revenue!$A$23,'Monthly CF'!BW23*((1+HLOOKUP('Monthly CF'!BW$2,Revenue!$S$8:$AC$10,3,0))^(1/12)))</f>
        <v>0</v>
      </c>
      <c r="BY23" s="161">
        <f>IF(BY$1=1,Revenue!$P11*Revenue!$A$23,'Monthly CF'!BX23*((1+HLOOKUP('Monthly CF'!BX$2,Revenue!$S$8:$AC$10,3,0))^(1/12)))</f>
        <v>0</v>
      </c>
      <c r="BZ23" s="161">
        <f>IF(BZ$1=1,Revenue!$P11*Revenue!$A$23,'Monthly CF'!BY23*((1+HLOOKUP('Monthly CF'!BY$2,Revenue!$S$8:$AC$10,3,0))^(1/12)))</f>
        <v>0</v>
      </c>
      <c r="CA23" s="161">
        <f>IF(CA$1=1,Revenue!$P11*Revenue!$A$23,'Monthly CF'!BZ23*((1+HLOOKUP('Monthly CF'!BZ$2,Revenue!$S$8:$AC$10,3,0))^(1/12)))</f>
        <v>0</v>
      </c>
      <c r="CB23" s="161">
        <f>IF(CB$1=1,Revenue!$P11*Revenue!$A$23,'Monthly CF'!CA23*((1+HLOOKUP('Monthly CF'!CA$2,Revenue!$S$8:$AC$10,3,0))^(1/12)))</f>
        <v>0</v>
      </c>
      <c r="CC23" s="161">
        <f>IF(CC$1=1,Revenue!$P11*Revenue!$A$23,'Monthly CF'!CB23*((1+HLOOKUP('Monthly CF'!CB$2,Revenue!$S$8:$AC$10,3,0))^(1/12)))</f>
        <v>0</v>
      </c>
      <c r="CD23" s="161">
        <f>IF(CD$1=1,Revenue!$P11*Revenue!$A$23,'Monthly CF'!CC23*((1+HLOOKUP('Monthly CF'!CC$2,Revenue!$S$8:$AC$10,3,0))^(1/12)))</f>
        <v>0</v>
      </c>
      <c r="CE23" s="161">
        <f>IF(CE$1=1,Revenue!$P11*Revenue!$A$23,'Monthly CF'!CD23*((1+HLOOKUP('Monthly CF'!CD$2,Revenue!$S$8:$AC$10,3,0))^(1/12)))</f>
        <v>0</v>
      </c>
      <c r="CF23" s="161">
        <f>IF(CF$1=1,Revenue!$P11*Revenue!$A$23,'Monthly CF'!CE23*((1+HLOOKUP('Monthly CF'!CE$2,Revenue!$S$8:$AC$10,3,0))^(1/12)))</f>
        <v>0</v>
      </c>
      <c r="CG23" s="161">
        <f>IF(CG$1=1,Revenue!$P11*Revenue!$A$23,'Monthly CF'!CF23*((1+HLOOKUP('Monthly CF'!CF$2,Revenue!$S$8:$AC$10,3,0))^(1/12)))</f>
        <v>0</v>
      </c>
      <c r="CH23" s="161">
        <f>IF(CH$1=1,Revenue!$P11*Revenue!$A$23,'Monthly CF'!CG23*((1+HLOOKUP('Monthly CF'!CG$2,Revenue!$S$8:$AC$10,3,0))^(1/12)))</f>
        <v>0</v>
      </c>
      <c r="CI23" s="161">
        <f>IF(CI$1=1,Revenue!$P11*Revenue!$A$23,'Monthly CF'!CH23*((1+HLOOKUP('Monthly CF'!CH$2,Revenue!$S$8:$AC$10,3,0))^(1/12)))</f>
        <v>0</v>
      </c>
      <c r="CJ23" s="161">
        <f>IF(CJ$1=1,Revenue!$P11*Revenue!$A$23,'Monthly CF'!CI23*((1+HLOOKUP('Monthly CF'!CI$2,Revenue!$S$8:$AC$10,3,0))^(1/12)))</f>
        <v>0</v>
      </c>
      <c r="CK23" s="161">
        <f>IF(CK$1=1,Revenue!$P11*Revenue!$A$23,'Monthly CF'!CJ23*((1+HLOOKUP('Monthly CF'!CJ$2,Revenue!$S$8:$AC$10,3,0))^(1/12)))</f>
        <v>0</v>
      </c>
      <c r="CL23" s="161">
        <f>IF(CL$1=1,Revenue!$P11*Revenue!$A$23,'Monthly CF'!CK23*((1+HLOOKUP('Monthly CF'!CK$2,Revenue!$S$8:$AC$10,3,0))^(1/12)))</f>
        <v>0</v>
      </c>
      <c r="CM23" s="161">
        <f>IF(CM$1=1,Revenue!$P11*Revenue!$A$23,'Monthly CF'!CL23*((1+HLOOKUP('Monthly CF'!CL$2,Revenue!$S$8:$AC$10,3,0))^(1/12)))</f>
        <v>0</v>
      </c>
      <c r="CN23" s="161">
        <f>IF(CN$1=1,Revenue!$P11*Revenue!$A$23,'Monthly CF'!CM23*((1+HLOOKUP('Monthly CF'!CM$2,Revenue!$S$8:$AC$10,3,0))^(1/12)))</f>
        <v>0</v>
      </c>
      <c r="CO23" s="161">
        <f>IF(CO$1=1,Revenue!$P11*Revenue!$A$23,'Monthly CF'!CN23*((1+HLOOKUP('Monthly CF'!CN$2,Revenue!$S$8:$AC$10,3,0))^(1/12)))</f>
        <v>0</v>
      </c>
      <c r="CP23" s="161">
        <f>IF(CP$1=1,Revenue!$P11*Revenue!$A$23,'Monthly CF'!CO23*((1+HLOOKUP('Monthly CF'!CO$2,Revenue!$S$8:$AC$10,3,0))^(1/12)))</f>
        <v>0</v>
      </c>
      <c r="CQ23" s="161">
        <f>IF(CQ$1=1,Revenue!$P11*Revenue!$A$23,'Monthly CF'!CP23*((1+HLOOKUP('Monthly CF'!CP$2,Revenue!$S$8:$AC$10,3,0))^(1/12)))</f>
        <v>0</v>
      </c>
      <c r="CR23" s="161">
        <f>IF(CR$1=1,Revenue!$P11*Revenue!$A$23,'Monthly CF'!CQ23*((1+HLOOKUP('Monthly CF'!CQ$2,Revenue!$S$8:$AC$10,3,0))^(1/12)))</f>
        <v>0</v>
      </c>
      <c r="CS23" s="161">
        <f>IF(CS$1=1,Revenue!$P11*Revenue!$A$23,'Monthly CF'!CR23*((1+HLOOKUP('Monthly CF'!CR$2,Revenue!$S$8:$AC$10,3,0))^(1/12)))</f>
        <v>0</v>
      </c>
      <c r="CT23" s="161">
        <f>IF(CT$1=1,Revenue!$P11*Revenue!$A$23,'Monthly CF'!CS23*((1+HLOOKUP('Monthly CF'!CS$2,Revenue!$S$8:$AC$10,3,0))^(1/12)))</f>
        <v>0</v>
      </c>
      <c r="CU23" s="161">
        <f>IF(CU$1=1,Revenue!$P11*Revenue!$A$23,'Monthly CF'!CT23*((1+HLOOKUP('Monthly CF'!CT$2,Revenue!$S$8:$AC$10,3,0))^(1/12)))</f>
        <v>0</v>
      </c>
      <c r="CV23" s="161">
        <f>IF(CV$1=1,Revenue!$P11*Revenue!$A$23,'Monthly CF'!CU23*((1+HLOOKUP('Monthly CF'!CU$2,Revenue!$S$8:$AC$10,3,0))^(1/12)))</f>
        <v>0</v>
      </c>
      <c r="CW23" s="161">
        <f>IF(CW$1=1,Revenue!$P11*Revenue!$A$23,'Monthly CF'!CV23*((1+HLOOKUP('Monthly CF'!CV$2,Revenue!$S$8:$AC$10,3,0))^(1/12)))</f>
        <v>0</v>
      </c>
      <c r="CX23" s="161">
        <f>IF(CX$1=1,Revenue!$P11*Revenue!$A$23,'Monthly CF'!CW23*((1+HLOOKUP('Monthly CF'!CW$2,Revenue!$S$8:$AC$10,3,0))^(1/12)))</f>
        <v>0</v>
      </c>
      <c r="CY23" s="161">
        <f>IF(CY$1=1,Revenue!$P11*Revenue!$A$23,'Monthly CF'!CX23*((1+HLOOKUP('Monthly CF'!CX$2,Revenue!$S$8:$AC$10,3,0))^(1/12)))</f>
        <v>0</v>
      </c>
      <c r="CZ23" s="161">
        <f>IF(CZ$1=1,Revenue!$P11*Revenue!$A$23,'Monthly CF'!CY23*((1+HLOOKUP('Monthly CF'!CY$2,Revenue!$S$8:$AC$10,3,0))^(1/12)))</f>
        <v>0</v>
      </c>
      <c r="DA23" s="161">
        <f>IF(DA$1=1,Revenue!$P11*Revenue!$A$23,'Monthly CF'!CZ23*((1+HLOOKUP('Monthly CF'!CZ$2,Revenue!$S$8:$AC$10,3,0))^(1/12)))</f>
        <v>0</v>
      </c>
      <c r="DB23" s="161">
        <f>IF(DB$1=1,Revenue!$P11*Revenue!$A$23,'Monthly CF'!DA23*((1+HLOOKUP('Monthly CF'!DA$2,Revenue!$S$8:$AC$10,3,0))^(1/12)))</f>
        <v>0</v>
      </c>
      <c r="DC23" s="161">
        <f>IF(DC$1=1,Revenue!$P11*Revenue!$A$23,'Monthly CF'!DB23*((1+HLOOKUP('Monthly CF'!DB$2,Revenue!$S$8:$AC$10,3,0))^(1/12)))</f>
        <v>0</v>
      </c>
      <c r="DD23" s="161">
        <f>IF(DD$1=1,Revenue!$P11*Revenue!$A$23,'Monthly CF'!DC23*((1+HLOOKUP('Monthly CF'!DC$2,Revenue!$S$8:$AC$10,3,0))^(1/12)))</f>
        <v>0</v>
      </c>
      <c r="DE23" s="161">
        <f>IF(DE$1=1,Revenue!$P11*Revenue!$A$23,'Monthly CF'!DD23*((1+HLOOKUP('Monthly CF'!DD$2,Revenue!$S$8:$AC$10,3,0))^(1/12)))</f>
        <v>0</v>
      </c>
      <c r="DF23" s="161">
        <f>IF(DF$1=1,Revenue!$P11*Revenue!$A$23,'Monthly CF'!DE23*((1+HLOOKUP('Monthly CF'!DE$2,Revenue!$S$8:$AC$10,3,0))^(1/12)))</f>
        <v>0</v>
      </c>
      <c r="DG23" s="161">
        <f>IF(DG$1=1,Revenue!$P11*Revenue!$A$23,'Monthly CF'!DF23*((1+HLOOKUP('Monthly CF'!DF$2,Revenue!$S$8:$AC$10,3,0))^(1/12)))</f>
        <v>0</v>
      </c>
      <c r="DH23" s="161">
        <f>IF(DH$1=1,Revenue!$P11*Revenue!$A$23,'Monthly CF'!DG23*((1+HLOOKUP('Monthly CF'!DG$2,Revenue!$S$8:$AC$10,3,0))^(1/12)))</f>
        <v>0</v>
      </c>
      <c r="DI23" s="161">
        <f>IF(DI$1=1,Revenue!$P11*Revenue!$A$23,'Monthly CF'!DH23*((1+HLOOKUP('Monthly CF'!DH$2,Revenue!$S$8:$AC$10,3,0))^(1/12)))</f>
        <v>0</v>
      </c>
      <c r="DJ23" s="161">
        <f>IF(DJ$1=1,Revenue!$P11*Revenue!$A$23,'Monthly CF'!DI23*((1+HLOOKUP('Monthly CF'!DI$2,Revenue!$S$8:$AC$10,3,0))^(1/12)))</f>
        <v>0</v>
      </c>
      <c r="DK23" s="161">
        <f>IF(DK$1=1,Revenue!$P11*Revenue!$A$23,'Monthly CF'!DJ23*((1+HLOOKUP('Monthly CF'!DJ$2,Revenue!$S$8:$AC$10,3,0))^(1/12)))</f>
        <v>0</v>
      </c>
      <c r="DL23" s="161">
        <f>IF(DL$1=1,Revenue!$P11*Revenue!$A$23,'Monthly CF'!DK23*((1+HLOOKUP('Monthly CF'!DK$2,Revenue!$S$8:$AC$10,3,0))^(1/12)))</f>
        <v>0</v>
      </c>
      <c r="DM23" s="161">
        <f>IF(DM$1=1,Revenue!$P11*Revenue!$A$23,'Monthly CF'!DL23*((1+HLOOKUP('Monthly CF'!DL$2,Revenue!$S$8:$AC$10,3,0))^(1/12)))</f>
        <v>0</v>
      </c>
      <c r="DN23" s="161">
        <f>IF(DN$1=1,Revenue!$P11*Revenue!$A$23,'Monthly CF'!DM23*((1+HLOOKUP('Monthly CF'!DM$2,Revenue!$S$8:$AC$10,3,0))^(1/12)))</f>
        <v>0</v>
      </c>
      <c r="DO23" s="161">
        <f>IF(DO$1=1,Revenue!$P11*Revenue!$A$23,'Monthly CF'!DN23*((1+HLOOKUP('Monthly CF'!DN$2,Revenue!$S$8:$AC$10,3,0))^(1/12)))</f>
        <v>0</v>
      </c>
      <c r="DP23" s="161">
        <f>IF(DP$1=1,Revenue!$P11*Revenue!$A$23,'Monthly CF'!DO23*((1+HLOOKUP('Monthly CF'!DO$2,Revenue!$S$8:$AC$10,3,0))^(1/12)))</f>
        <v>0</v>
      </c>
      <c r="DQ23" s="161">
        <f>IF(DQ$1=1,Revenue!$P11*Revenue!$A$23,'Monthly CF'!DP23*((1+HLOOKUP('Monthly CF'!DP$2,Revenue!$S$8:$AC$10,3,0))^(1/12)))</f>
        <v>0</v>
      </c>
      <c r="DR23" s="161">
        <f>IF(DR$1=1,Revenue!$P11*Revenue!$A$23,'Monthly CF'!DQ23*((1+HLOOKUP('Monthly CF'!DQ$2,Revenue!$S$8:$AC$10,3,0))^(1/12)))</f>
        <v>0</v>
      </c>
      <c r="DS23" s="161">
        <f>IF(DS$1=1,Revenue!$P11*Revenue!$A$23,'Monthly CF'!DR23*((1+HLOOKUP('Monthly CF'!DR$2,Revenue!$S$8:$AC$10,3,0))^(1/12)))</f>
        <v>0</v>
      </c>
      <c r="DT23" s="161">
        <f>IF(DT$1=1,Revenue!$P11*Revenue!$A$23,'Monthly CF'!DS23*((1+HLOOKUP('Monthly CF'!DS$2,Revenue!$S$8:$AC$10,3,0))^(1/12)))</f>
        <v>0</v>
      </c>
      <c r="DU23" s="161">
        <f>IF(DU$1=1,Revenue!$P11*Revenue!$A$23,'Monthly CF'!DT23*((1+HLOOKUP('Monthly CF'!DT$2,Revenue!$S$8:$AC$10,3,0))^(1/12)))</f>
        <v>0</v>
      </c>
      <c r="DV23" s="161">
        <f>IF(DV$1=1,Revenue!$P11*Revenue!$A$23,'Monthly CF'!DU23*((1+HLOOKUP('Monthly CF'!DU$2,Revenue!$S$8:$AC$10,3,0))^(1/12)))</f>
        <v>0</v>
      </c>
      <c r="DW23" s="161">
        <f>IF(DW$1=1,Revenue!$P11*Revenue!$A$23,'Monthly CF'!DV23*((1+HLOOKUP('Monthly CF'!DV$2,Revenue!$S$8:$AC$10,3,0))^(1/12)))</f>
        <v>0</v>
      </c>
      <c r="DX23" s="161">
        <f>IF(DX$1=1,Revenue!$P11*Revenue!$A$23,'Monthly CF'!DW23*((1+HLOOKUP('Monthly CF'!DW$2,Revenue!$S$8:$AC$10,3,0))^(1/12)))</f>
        <v>0</v>
      </c>
      <c r="DY23" s="161">
        <f>IF(DY$1=1,Revenue!$P11*Revenue!$A$23,'Monthly CF'!DX23*((1+HLOOKUP('Monthly CF'!DX$2,Revenue!$S$8:$AC$10,3,0))^(1/12)))</f>
        <v>0</v>
      </c>
      <c r="DZ23" s="161">
        <f>IF(DZ$1=1,Revenue!$P11*Revenue!$A$23,'Monthly CF'!DY23*((1+HLOOKUP('Monthly CF'!DY$2,Revenue!$S$8:$AC$10,3,0))^(1/12)))</f>
        <v>0</v>
      </c>
      <c r="EA23" s="161">
        <f>IF(EA$1=1,Revenue!$P11*Revenue!$A$23,'Monthly CF'!DZ23*((1+HLOOKUP('Monthly CF'!DZ$2,Revenue!$S$8:$AC$10,3,0))^(1/12)))</f>
        <v>0</v>
      </c>
      <c r="EB23" s="161">
        <f>IF(EB$1=1,Revenue!$P11*Revenue!$A$23,'Monthly CF'!EA23*((1+HLOOKUP('Monthly CF'!EA$2,Revenue!$S$8:$AC$10,3,0))^(1/12)))</f>
        <v>0</v>
      </c>
      <c r="EC23" s="161">
        <f>IF(EC$1=1,Revenue!$P11*Revenue!$A$23,'Monthly CF'!EB23*((1+HLOOKUP('Monthly CF'!EB$2,Revenue!$S$8:$AC$10,3,0))^(1/12)))</f>
        <v>0</v>
      </c>
      <c r="ED23" s="161">
        <f>IF(ED$1=1,Revenue!$P11*Revenue!$A$23,'Monthly CF'!EC23*((1+HLOOKUP('Monthly CF'!EC$2,Revenue!$S$8:$AC$10,3,0))^(1/12)))</f>
        <v>0</v>
      </c>
      <c r="EE23" s="162">
        <f>IF(EE$1=1,Revenue!$P11*Revenue!$A$23,'Monthly CF'!ED23*((1+HLOOKUP('Monthly CF'!ED$2,Revenue!$S$8:$AC$10,3,0))^(1/12)))</f>
        <v>0</v>
      </c>
    </row>
    <row r="24" spans="1:135" x14ac:dyDescent="0.35">
      <c r="A24" s="168">
        <f>SUMIF($C$1:$EE$1,"&lt;="&amp;Summary!$K$19,'Monthly CF'!C24:EE24)</f>
        <v>843660.38070867397</v>
      </c>
      <c r="B24" s="14" t="s">
        <v>175</v>
      </c>
      <c r="C24" s="166"/>
      <c r="D24" s="164">
        <f>SUM(D14:D23)</f>
        <v>6050</v>
      </c>
      <c r="E24" s="164">
        <f t="shared" ref="E24:BP24" si="12">SUM(E14:E23)</f>
        <v>6064.9209321224371</v>
      </c>
      <c r="F24" s="164">
        <f t="shared" si="12"/>
        <v>6079.8786632887441</v>
      </c>
      <c r="G24" s="164">
        <f t="shared" si="12"/>
        <v>6094.8732842552863</v>
      </c>
      <c r="H24" s="164">
        <f t="shared" si="12"/>
        <v>6109.9048860022649</v>
      </c>
      <c r="I24" s="164">
        <f t="shared" si="12"/>
        <v>6124.9735597342642</v>
      </c>
      <c r="J24" s="164">
        <f t="shared" si="12"/>
        <v>6140.0793968807966</v>
      </c>
      <c r="K24" s="164">
        <f t="shared" si="12"/>
        <v>6155.2224890968682</v>
      </c>
      <c r="L24" s="164">
        <f t="shared" si="12"/>
        <v>6170.4029282635329</v>
      </c>
      <c r="M24" s="164">
        <f t="shared" si="12"/>
        <v>6185.6208064884422</v>
      </c>
      <c r="N24" s="164">
        <f t="shared" si="12"/>
        <v>6200.8762161064178</v>
      </c>
      <c r="O24" s="164">
        <f t="shared" si="12"/>
        <v>6216.1692496799969</v>
      </c>
      <c r="P24" s="164">
        <f t="shared" si="12"/>
        <v>6231.5000000000073</v>
      </c>
      <c r="Q24" s="164">
        <f t="shared" si="12"/>
        <v>6246.8685600861172</v>
      </c>
      <c r="R24" s="164">
        <f t="shared" si="12"/>
        <v>6262.2750231874106</v>
      </c>
      <c r="S24" s="164">
        <f t="shared" si="12"/>
        <v>6277.7194827829517</v>
      </c>
      <c r="T24" s="164">
        <f t="shared" si="12"/>
        <v>6293.2020325823414</v>
      </c>
      <c r="U24" s="164">
        <f t="shared" si="12"/>
        <v>6308.7227665262999</v>
      </c>
      <c r="V24" s="164">
        <f t="shared" si="12"/>
        <v>6324.2817787872273</v>
      </c>
      <c r="W24" s="164">
        <f t="shared" si="12"/>
        <v>6339.8791637697814</v>
      </c>
      <c r="X24" s="164">
        <f t="shared" si="12"/>
        <v>6355.5150161114452</v>
      </c>
      <c r="Y24" s="164">
        <f t="shared" si="12"/>
        <v>6371.1894306831036</v>
      </c>
      <c r="Z24" s="164">
        <f t="shared" si="12"/>
        <v>6386.9025025896171</v>
      </c>
      <c r="AA24" s="164">
        <f t="shared" si="12"/>
        <v>6402.6543271704049</v>
      </c>
      <c r="AB24" s="164">
        <f t="shared" si="12"/>
        <v>6418.4450000000152</v>
      </c>
      <c r="AC24" s="164">
        <f t="shared" si="12"/>
        <v>6434.2746168887097</v>
      </c>
      <c r="AD24" s="164">
        <f t="shared" si="12"/>
        <v>6450.1432738830417</v>
      </c>
      <c r="AE24" s="164">
        <f t="shared" si="12"/>
        <v>6466.0510672664477</v>
      </c>
      <c r="AF24" s="164">
        <f t="shared" si="12"/>
        <v>6481.9980935598178</v>
      </c>
      <c r="AG24" s="164">
        <f t="shared" si="12"/>
        <v>6497.984449522095</v>
      </c>
      <c r="AH24" s="164">
        <f t="shared" si="12"/>
        <v>6514.0102321508512</v>
      </c>
      <c r="AI24" s="164">
        <f t="shared" si="12"/>
        <v>6530.0755386828814</v>
      </c>
      <c r="AJ24" s="164">
        <f t="shared" si="12"/>
        <v>6546.1804665947957</v>
      </c>
      <c r="AK24" s="164">
        <f t="shared" si="12"/>
        <v>6562.3251136036033</v>
      </c>
      <c r="AL24" s="164">
        <f t="shared" si="12"/>
        <v>6578.5095776673134</v>
      </c>
      <c r="AM24" s="164">
        <f t="shared" si="12"/>
        <v>6594.733956985523</v>
      </c>
      <c r="AN24" s="164">
        <f t="shared" si="12"/>
        <v>6610.9983500000208</v>
      </c>
      <c r="AO24" s="164">
        <f t="shared" si="12"/>
        <v>6627.3028553953754</v>
      </c>
      <c r="AP24" s="164">
        <f t="shared" si="12"/>
        <v>6643.6475720995395</v>
      </c>
      <c r="AQ24" s="164">
        <f t="shared" si="12"/>
        <v>6660.0325992844464</v>
      </c>
      <c r="AR24" s="164">
        <f t="shared" si="12"/>
        <v>6676.45803636662</v>
      </c>
      <c r="AS24" s="164">
        <f t="shared" si="12"/>
        <v>6692.9239830077659</v>
      </c>
      <c r="AT24" s="164">
        <f t="shared" si="12"/>
        <v>6709.430539115383</v>
      </c>
      <c r="AU24" s="164">
        <f t="shared" si="12"/>
        <v>6725.9778048433745</v>
      </c>
      <c r="AV24" s="164">
        <f t="shared" si="12"/>
        <v>6742.565880592645</v>
      </c>
      <c r="AW24" s="164">
        <f t="shared" si="12"/>
        <v>6759.1948670117172</v>
      </c>
      <c r="AX24" s="164">
        <f t="shared" si="12"/>
        <v>6775.8648649973384</v>
      </c>
      <c r="AY24" s="164">
        <f t="shared" si="12"/>
        <v>6792.5759756950965</v>
      </c>
      <c r="AZ24" s="164">
        <f t="shared" si="12"/>
        <v>6809.3283005000294</v>
      </c>
      <c r="BA24" s="164">
        <f t="shared" si="12"/>
        <v>6826.1219410572448</v>
      </c>
      <c r="BB24" s="164">
        <f t="shared" si="12"/>
        <v>6842.9569992625338</v>
      </c>
      <c r="BC24" s="164">
        <f t="shared" si="12"/>
        <v>6859.8335772629889</v>
      </c>
      <c r="BD24" s="164">
        <f t="shared" si="12"/>
        <v>6876.7517774576263</v>
      </c>
      <c r="BE24" s="164">
        <f t="shared" si="12"/>
        <v>6893.7117024980062</v>
      </c>
      <c r="BF24" s="164">
        <f t="shared" si="12"/>
        <v>6910.7134552888519</v>
      </c>
      <c r="BG24" s="164">
        <f t="shared" si="12"/>
        <v>6927.7571389886834</v>
      </c>
      <c r="BH24" s="164">
        <f t="shared" si="12"/>
        <v>6944.8428570104334</v>
      </c>
      <c r="BI24" s="164">
        <f t="shared" si="12"/>
        <v>6961.9707130220777</v>
      </c>
      <c r="BJ24" s="164">
        <f t="shared" si="12"/>
        <v>6979.1408109472668</v>
      </c>
      <c r="BK24" s="164">
        <f t="shared" si="12"/>
        <v>6996.3532549659576</v>
      </c>
      <c r="BL24" s="164">
        <f t="shared" si="12"/>
        <v>7013.6081495150393</v>
      </c>
      <c r="BM24" s="164">
        <f t="shared" si="12"/>
        <v>7030.9055992889707</v>
      </c>
      <c r="BN24" s="164">
        <f t="shared" si="12"/>
        <v>7048.2457092404175</v>
      </c>
      <c r="BO24" s="164">
        <f t="shared" si="12"/>
        <v>7065.6285845808861</v>
      </c>
      <c r="BP24" s="164">
        <f t="shared" si="12"/>
        <v>7083.0543307813632</v>
      </c>
      <c r="BQ24" s="164">
        <f t="shared" ref="BQ24:EB24" si="13">SUM(BQ14:BQ23)</f>
        <v>7100.5230535729534</v>
      </c>
      <c r="BR24" s="164">
        <f t="shared" si="13"/>
        <v>7118.034858947527</v>
      </c>
      <c r="BS24" s="164">
        <f t="shared" si="13"/>
        <v>7135.5898531583516</v>
      </c>
      <c r="BT24" s="164">
        <f t="shared" si="13"/>
        <v>7153.1881427207536</v>
      </c>
      <c r="BU24" s="164">
        <f t="shared" si="13"/>
        <v>7170.829834412747</v>
      </c>
      <c r="BV24" s="164">
        <f t="shared" si="13"/>
        <v>7188.5150352756918</v>
      </c>
      <c r="BW24" s="164">
        <f t="shared" si="13"/>
        <v>7206.2438526149454</v>
      </c>
      <c r="BX24" s="164">
        <f t="shared" si="13"/>
        <v>7224.0163940004986</v>
      </c>
      <c r="BY24" s="164">
        <f t="shared" si="13"/>
        <v>7241.832767267646</v>
      </c>
      <c r="BZ24" s="164">
        <f t="shared" si="13"/>
        <v>7259.693080517638</v>
      </c>
      <c r="CA24" s="164">
        <f t="shared" si="13"/>
        <v>7277.5974421183219</v>
      </c>
      <c r="CB24" s="164">
        <f t="shared" si="13"/>
        <v>7295.5459607048124</v>
      </c>
      <c r="CC24" s="164">
        <f t="shared" si="13"/>
        <v>7313.5387451801516</v>
      </c>
      <c r="CD24" s="164">
        <f t="shared" si="13"/>
        <v>7331.5759047159609</v>
      </c>
      <c r="CE24" s="164">
        <f t="shared" si="13"/>
        <v>7349.6575487531099</v>
      </c>
      <c r="CF24" s="164">
        <f t="shared" si="13"/>
        <v>7367.783787002385</v>
      </c>
      <c r="CG24" s="164">
        <f t="shared" si="13"/>
        <v>7385.9547294451377</v>
      </c>
      <c r="CH24" s="164">
        <f t="shared" si="13"/>
        <v>7404.1704863339719</v>
      </c>
      <c r="CI24" s="164">
        <f t="shared" si="13"/>
        <v>7422.4311681933996</v>
      </c>
      <c r="CJ24" s="164">
        <f t="shared" si="13"/>
        <v>7440.7368858205209</v>
      </c>
      <c r="CK24" s="164">
        <f t="shared" si="13"/>
        <v>7459.0877502856856</v>
      </c>
      <c r="CL24" s="164">
        <f t="shared" si="13"/>
        <v>7477.483872933175</v>
      </c>
      <c r="CM24" s="164">
        <f t="shared" si="13"/>
        <v>7495.9253653818778</v>
      </c>
      <c r="CN24" s="164">
        <f t="shared" si="13"/>
        <v>7514.4123395259649</v>
      </c>
      <c r="CO24" s="164">
        <f t="shared" si="13"/>
        <v>7532.9449075355642</v>
      </c>
      <c r="CP24" s="164">
        <f t="shared" si="13"/>
        <v>7551.5231818574466</v>
      </c>
      <c r="CQ24" s="164">
        <f t="shared" si="13"/>
        <v>7570.1472752157133</v>
      </c>
      <c r="CR24" s="164">
        <f t="shared" si="13"/>
        <v>7588.8173006124644</v>
      </c>
      <c r="CS24" s="164">
        <f t="shared" si="13"/>
        <v>7607.5333713285017</v>
      </c>
      <c r="CT24" s="164">
        <f t="shared" si="13"/>
        <v>7626.2956009240006</v>
      </c>
      <c r="CU24" s="164">
        <f t="shared" si="13"/>
        <v>7645.1041032392104</v>
      </c>
      <c r="CV24" s="164">
        <f t="shared" si="13"/>
        <v>7663.9589923951462</v>
      </c>
      <c r="CW24" s="164">
        <f t="shared" si="13"/>
        <v>7682.8603827942625</v>
      </c>
      <c r="CX24" s="164">
        <f t="shared" si="13"/>
        <v>7701.8083891211772</v>
      </c>
      <c r="CY24" s="164">
        <f t="shared" si="13"/>
        <v>7720.803126343344</v>
      </c>
      <c r="CZ24" s="164">
        <f t="shared" si="13"/>
        <v>7739.8447097117514</v>
      </c>
      <c r="DA24" s="164">
        <f t="shared" si="13"/>
        <v>7758.9332547616377</v>
      </c>
      <c r="DB24" s="164">
        <f t="shared" si="13"/>
        <v>7778.0688773131778</v>
      </c>
      <c r="DC24" s="164">
        <f t="shared" si="13"/>
        <v>7797.2516934721934</v>
      </c>
      <c r="DD24" s="164">
        <f t="shared" si="13"/>
        <v>7816.4818196308461</v>
      </c>
      <c r="DE24" s="164">
        <f t="shared" si="13"/>
        <v>7835.7593724683638</v>
      </c>
      <c r="DF24" s="164">
        <f t="shared" si="13"/>
        <v>7855.0844689517271</v>
      </c>
      <c r="DG24" s="164">
        <f t="shared" si="13"/>
        <v>7874.4572263363953</v>
      </c>
      <c r="DH24" s="164">
        <f t="shared" si="13"/>
        <v>7893.8777621670069</v>
      </c>
      <c r="DI24" s="164">
        <f t="shared" si="13"/>
        <v>7913.3461942780996</v>
      </c>
      <c r="DJ24" s="164">
        <f t="shared" si="13"/>
        <v>7932.8626407948213</v>
      </c>
      <c r="DK24" s="164">
        <f t="shared" si="13"/>
        <v>7952.4272201336516</v>
      </c>
      <c r="DL24" s="164">
        <f t="shared" si="13"/>
        <v>7972.0400510031122</v>
      </c>
      <c r="DM24" s="164">
        <f t="shared" si="13"/>
        <v>7991.7012524044949</v>
      </c>
      <c r="DN24" s="164">
        <f t="shared" si="13"/>
        <v>8011.4109436325816</v>
      </c>
      <c r="DO24" s="164">
        <f t="shared" si="13"/>
        <v>8031.1692442763651</v>
      </c>
      <c r="DP24" s="164">
        <f t="shared" si="13"/>
        <v>8050.97627421978</v>
      </c>
      <c r="DQ24" s="164">
        <f t="shared" si="13"/>
        <v>8070.8321536424228</v>
      </c>
      <c r="DR24" s="164">
        <f t="shared" si="13"/>
        <v>8090.7370030202856</v>
      </c>
      <c r="DS24" s="164">
        <f t="shared" si="13"/>
        <v>8110.6909431264949</v>
      </c>
      <c r="DT24" s="164">
        <f t="shared" si="13"/>
        <v>8130.6940950320241</v>
      </c>
      <c r="DU24" s="164">
        <f t="shared" si="13"/>
        <v>8150.74658010645</v>
      </c>
      <c r="DV24" s="164">
        <f t="shared" si="13"/>
        <v>8170.8485200186733</v>
      </c>
      <c r="DW24" s="164">
        <f t="shared" si="13"/>
        <v>8191.0000367376688</v>
      </c>
      <c r="DX24" s="164">
        <f t="shared" si="13"/>
        <v>8211.201252533212</v>
      </c>
      <c r="DY24" s="164">
        <f t="shared" si="13"/>
        <v>8231.4522899766362</v>
      </c>
      <c r="DZ24" s="164">
        <f t="shared" si="13"/>
        <v>8251.7532719415667</v>
      </c>
      <c r="EA24" s="164">
        <f t="shared" si="13"/>
        <v>8272.1043216046637</v>
      </c>
      <c r="EB24" s="164">
        <f t="shared" si="13"/>
        <v>8292.5055624463803</v>
      </c>
      <c r="EC24" s="164">
        <f t="shared" ref="EC24:EE24" si="14">SUM(EC14:EC23)</f>
        <v>8312.9571182517011</v>
      </c>
      <c r="ED24" s="164">
        <f t="shared" si="14"/>
        <v>8333.4591131109028</v>
      </c>
      <c r="EE24" s="165">
        <f t="shared" si="14"/>
        <v>8354.0116714202977</v>
      </c>
    </row>
    <row r="25" spans="1:135" x14ac:dyDescent="0.35">
      <c r="B25" s="5"/>
      <c r="C25" s="160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1"/>
      <c r="CH25" s="161"/>
      <c r="CI25" s="161"/>
      <c r="CJ25" s="161"/>
      <c r="CK25" s="161"/>
      <c r="CL25" s="161"/>
      <c r="CM25" s="161"/>
      <c r="CN25" s="161"/>
      <c r="CO25" s="161"/>
      <c r="CP25" s="161"/>
      <c r="CQ25" s="161"/>
      <c r="CR25" s="161"/>
      <c r="CS25" s="161"/>
      <c r="CT25" s="161"/>
      <c r="CU25" s="161"/>
      <c r="CV25" s="161"/>
      <c r="CW25" s="161"/>
      <c r="CX25" s="161"/>
      <c r="CY25" s="161"/>
      <c r="CZ25" s="161"/>
      <c r="DA25" s="161"/>
      <c r="DB25" s="161"/>
      <c r="DC25" s="161"/>
      <c r="DD25" s="161"/>
      <c r="DE25" s="161"/>
      <c r="DF25" s="161"/>
      <c r="DG25" s="161"/>
      <c r="DH25" s="161"/>
      <c r="DI25" s="161"/>
      <c r="DJ25" s="161"/>
      <c r="DK25" s="161"/>
      <c r="DL25" s="161"/>
      <c r="DM25" s="161"/>
      <c r="DN25" s="161"/>
      <c r="DO25" s="161"/>
      <c r="DP25" s="161"/>
      <c r="DQ25" s="161"/>
      <c r="DR25" s="161"/>
      <c r="DS25" s="161"/>
      <c r="DT25" s="161"/>
      <c r="DU25" s="161"/>
      <c r="DV25" s="161"/>
      <c r="DW25" s="161"/>
      <c r="DX25" s="161"/>
      <c r="DY25" s="161"/>
      <c r="DZ25" s="161"/>
      <c r="EA25" s="161"/>
      <c r="EB25" s="161"/>
      <c r="EC25" s="161"/>
      <c r="ED25" s="161"/>
      <c r="EE25" s="162"/>
    </row>
    <row r="26" spans="1:135" x14ac:dyDescent="0.35">
      <c r="A26" s="168">
        <f>SUMIF($C$1:$EE$1,"&lt;="&amp;Summary!$K$19,'Monthly CF'!C26:EE26)</f>
        <v>35279203.756708205</v>
      </c>
      <c r="B26" s="14" t="s">
        <v>176</v>
      </c>
      <c r="C26" s="166"/>
      <c r="D26" s="164">
        <f>SUM(D11,D24)</f>
        <v>231450.00000000003</v>
      </c>
      <c r="E26" s="164">
        <f t="shared" ref="E26:BP26" si="15">SUM(E11,E24)</f>
        <v>232383.22843295682</v>
      </c>
      <c r="F26" s="164">
        <f t="shared" si="15"/>
        <v>233320.23496338731</v>
      </c>
      <c r="G26" s="164">
        <f t="shared" si="15"/>
        <v>234261.03492456078</v>
      </c>
      <c r="H26" s="164">
        <f t="shared" si="15"/>
        <v>236140.72836033997</v>
      </c>
      <c r="I26" s="164">
        <f t="shared" si="15"/>
        <v>238031.8653818359</v>
      </c>
      <c r="J26" s="164">
        <f t="shared" si="15"/>
        <v>239934.50807301508</v>
      </c>
      <c r="K26" s="164">
        <f t="shared" si="15"/>
        <v>241848.71883386932</v>
      </c>
      <c r="L26" s="164">
        <f t="shared" si="15"/>
        <v>243774.56038196018</v>
      </c>
      <c r="M26" s="164">
        <f t="shared" si="15"/>
        <v>245712.09575397166</v>
      </c>
      <c r="N26" s="164">
        <f t="shared" si="15"/>
        <v>247661.38830726899</v>
      </c>
      <c r="O26" s="164">
        <f t="shared" si="15"/>
        <v>249622.50172146628</v>
      </c>
      <c r="P26" s="164">
        <f t="shared" si="15"/>
        <v>254929.25000000023</v>
      </c>
      <c r="Q26" s="164">
        <f t="shared" si="15"/>
        <v>256741.1206784689</v>
      </c>
      <c r="R26" s="164">
        <f t="shared" si="15"/>
        <v>258562.12643451782</v>
      </c>
      <c r="S26" s="164">
        <f t="shared" si="15"/>
        <v>259403.53495472152</v>
      </c>
      <c r="T26" s="164">
        <f t="shared" si="15"/>
        <v>260247.68555653296</v>
      </c>
      <c r="U26" s="164">
        <f t="shared" si="15"/>
        <v>261094.58718605709</v>
      </c>
      <c r="V26" s="164">
        <f t="shared" si="15"/>
        <v>261944.24881861015</v>
      </c>
      <c r="W26" s="164">
        <f t="shared" si="15"/>
        <v>262796.67945881531</v>
      </c>
      <c r="X26" s="164">
        <f t="shared" si="15"/>
        <v>263651.88814069831</v>
      </c>
      <c r="Y26" s="164">
        <f t="shared" si="15"/>
        <v>264509.88392778346</v>
      </c>
      <c r="Z26" s="164">
        <f t="shared" si="15"/>
        <v>265370.67591319006</v>
      </c>
      <c r="AA26" s="164">
        <f t="shared" si="15"/>
        <v>266234.27321972908</v>
      </c>
      <c r="AB26" s="164">
        <f t="shared" si="15"/>
        <v>270595.08500000037</v>
      </c>
      <c r="AC26" s="164">
        <f t="shared" si="15"/>
        <v>271262.44547866983</v>
      </c>
      <c r="AD26" s="164">
        <f t="shared" si="15"/>
        <v>271931.45184831508</v>
      </c>
      <c r="AE26" s="164">
        <f t="shared" si="15"/>
        <v>272602.10816814721</v>
      </c>
      <c r="AF26" s="164">
        <f t="shared" si="15"/>
        <v>273274.41850738856</v>
      </c>
      <c r="AG26" s="164">
        <f t="shared" si="15"/>
        <v>273948.38694529718</v>
      </c>
      <c r="AH26" s="164">
        <f t="shared" si="15"/>
        <v>274624.01757119171</v>
      </c>
      <c r="AI26" s="164">
        <f t="shared" si="15"/>
        <v>275301.31448447611</v>
      </c>
      <c r="AJ26" s="164">
        <f t="shared" si="15"/>
        <v>275980.28179466468</v>
      </c>
      <c r="AK26" s="164">
        <f t="shared" si="15"/>
        <v>276660.92362140672</v>
      </c>
      <c r="AL26" s="164">
        <f t="shared" si="15"/>
        <v>277343.24409451184</v>
      </c>
      <c r="AM26" s="164">
        <f t="shared" si="15"/>
        <v>278027.24735397473</v>
      </c>
      <c r="AN26" s="164">
        <f t="shared" si="15"/>
        <v>278712.93755000061</v>
      </c>
      <c r="AO26" s="164">
        <f t="shared" si="15"/>
        <v>279400.31884303014</v>
      </c>
      <c r="AP26" s="164">
        <f t="shared" si="15"/>
        <v>280089.39540376468</v>
      </c>
      <c r="AQ26" s="164">
        <f t="shared" si="15"/>
        <v>280780.17141319183</v>
      </c>
      <c r="AR26" s="164">
        <f t="shared" si="15"/>
        <v>281472.65106261044</v>
      </c>
      <c r="AS26" s="164">
        <f t="shared" si="15"/>
        <v>282166.83855365636</v>
      </c>
      <c r="AT26" s="164">
        <f t="shared" si="15"/>
        <v>282862.73809832771</v>
      </c>
      <c r="AU26" s="164">
        <f t="shared" si="15"/>
        <v>283560.35391901067</v>
      </c>
      <c r="AV26" s="164">
        <f t="shared" si="15"/>
        <v>284259.6902485048</v>
      </c>
      <c r="AW26" s="164">
        <f t="shared" si="15"/>
        <v>284960.75133004913</v>
      </c>
      <c r="AX26" s="164">
        <f t="shared" si="15"/>
        <v>285663.54141734733</v>
      </c>
      <c r="AY26" s="164">
        <f t="shared" si="15"/>
        <v>286368.06477459421</v>
      </c>
      <c r="AZ26" s="164">
        <f t="shared" si="15"/>
        <v>287074.32567650086</v>
      </c>
      <c r="BA26" s="164">
        <f t="shared" si="15"/>
        <v>287782.32840832125</v>
      </c>
      <c r="BB26" s="164">
        <f t="shared" si="15"/>
        <v>288492.07726587786</v>
      </c>
      <c r="BC26" s="164">
        <f t="shared" si="15"/>
        <v>289203.57655558782</v>
      </c>
      <c r="BD26" s="164">
        <f t="shared" si="15"/>
        <v>289916.830594489</v>
      </c>
      <c r="BE26" s="164">
        <f t="shared" si="15"/>
        <v>290631.84371026629</v>
      </c>
      <c r="BF26" s="164">
        <f t="shared" si="15"/>
        <v>291348.62024127773</v>
      </c>
      <c r="BG26" s="164">
        <f t="shared" si="15"/>
        <v>292067.16453658126</v>
      </c>
      <c r="BH26" s="164">
        <f t="shared" si="15"/>
        <v>292787.48095596017</v>
      </c>
      <c r="BI26" s="164">
        <f t="shared" si="15"/>
        <v>293509.57386995084</v>
      </c>
      <c r="BJ26" s="164">
        <f t="shared" si="15"/>
        <v>294233.44765986805</v>
      </c>
      <c r="BK26" s="164">
        <f t="shared" si="15"/>
        <v>294959.10671783227</v>
      </c>
      <c r="BL26" s="164">
        <f t="shared" si="15"/>
        <v>295686.55544679618</v>
      </c>
      <c r="BM26" s="164">
        <f t="shared" si="15"/>
        <v>296415.7982605712</v>
      </c>
      <c r="BN26" s="164">
        <f t="shared" si="15"/>
        <v>297146.83958385454</v>
      </c>
      <c r="BO26" s="164">
        <f t="shared" si="15"/>
        <v>297879.68385225581</v>
      </c>
      <c r="BP26" s="164">
        <f t="shared" si="15"/>
        <v>298614.33551232389</v>
      </c>
      <c r="BQ26" s="164">
        <f t="shared" ref="BQ26:EB26" si="16">SUM(BQ11,BQ24)</f>
        <v>299350.79902157455</v>
      </c>
      <c r="BR26" s="164">
        <f t="shared" si="16"/>
        <v>300089.07884851634</v>
      </c>
      <c r="BS26" s="164">
        <f t="shared" si="16"/>
        <v>300829.17947267886</v>
      </c>
      <c r="BT26" s="164">
        <f t="shared" si="16"/>
        <v>301571.10538463929</v>
      </c>
      <c r="BU26" s="164">
        <f t="shared" si="16"/>
        <v>302314.86108604964</v>
      </c>
      <c r="BV26" s="164">
        <f t="shared" si="16"/>
        <v>303060.45108966442</v>
      </c>
      <c r="BW26" s="164">
        <f t="shared" si="16"/>
        <v>303807.87991936755</v>
      </c>
      <c r="BX26" s="164">
        <f t="shared" si="16"/>
        <v>304557.15211020032</v>
      </c>
      <c r="BY26" s="164">
        <f t="shared" si="16"/>
        <v>305308.2722083886</v>
      </c>
      <c r="BZ26" s="164">
        <f t="shared" si="16"/>
        <v>306061.24477137037</v>
      </c>
      <c r="CA26" s="164">
        <f t="shared" si="16"/>
        <v>306816.07436782366</v>
      </c>
      <c r="CB26" s="164">
        <f t="shared" si="16"/>
        <v>307572.76557769394</v>
      </c>
      <c r="CC26" s="164">
        <f t="shared" si="16"/>
        <v>308331.32299222203</v>
      </c>
      <c r="CD26" s="164">
        <f t="shared" si="16"/>
        <v>309091.75121397222</v>
      </c>
      <c r="CE26" s="164">
        <f t="shared" si="16"/>
        <v>309854.05485685961</v>
      </c>
      <c r="CF26" s="164">
        <f t="shared" si="16"/>
        <v>310618.23854617879</v>
      </c>
      <c r="CG26" s="164">
        <f t="shared" si="16"/>
        <v>311384.30691863148</v>
      </c>
      <c r="CH26" s="164">
        <f t="shared" si="16"/>
        <v>312152.26462235465</v>
      </c>
      <c r="CI26" s="164">
        <f t="shared" si="16"/>
        <v>312922.1163169489</v>
      </c>
      <c r="CJ26" s="164">
        <f t="shared" si="16"/>
        <v>313693.86667350668</v>
      </c>
      <c r="CK26" s="164">
        <f t="shared" si="16"/>
        <v>314467.52037464059</v>
      </c>
      <c r="CL26" s="164">
        <f t="shared" si="16"/>
        <v>315243.08211451187</v>
      </c>
      <c r="CM26" s="164">
        <f t="shared" si="16"/>
        <v>316020.55659885873</v>
      </c>
      <c r="CN26" s="164">
        <f t="shared" si="16"/>
        <v>316799.94854502508</v>
      </c>
      <c r="CO26" s="164">
        <f t="shared" si="16"/>
        <v>317581.26268198906</v>
      </c>
      <c r="CP26" s="164">
        <f t="shared" si="16"/>
        <v>318364.50375039171</v>
      </c>
      <c r="CQ26" s="164">
        <f t="shared" si="16"/>
        <v>319149.6765025658</v>
      </c>
      <c r="CR26" s="164">
        <f t="shared" si="16"/>
        <v>319936.78570256458</v>
      </c>
      <c r="CS26" s="164">
        <f t="shared" si="16"/>
        <v>320725.83612619084</v>
      </c>
      <c r="CT26" s="164">
        <f t="shared" si="16"/>
        <v>321516.83256102569</v>
      </c>
      <c r="CU26" s="164">
        <f t="shared" si="16"/>
        <v>322309.77980645775</v>
      </c>
      <c r="CV26" s="164">
        <f t="shared" si="16"/>
        <v>323104.68267371232</v>
      </c>
      <c r="CW26" s="164">
        <f t="shared" si="16"/>
        <v>323901.54598588031</v>
      </c>
      <c r="CX26" s="164">
        <f t="shared" si="16"/>
        <v>324700.37457794766</v>
      </c>
      <c r="CY26" s="164">
        <f t="shared" si="16"/>
        <v>325501.17329682497</v>
      </c>
      <c r="CZ26" s="164">
        <f t="shared" si="16"/>
        <v>326303.94700137619</v>
      </c>
      <c r="DA26" s="164">
        <f t="shared" si="16"/>
        <v>327108.70056244911</v>
      </c>
      <c r="DB26" s="164">
        <f t="shared" si="16"/>
        <v>327915.4388629038</v>
      </c>
      <c r="DC26" s="164">
        <f t="shared" si="16"/>
        <v>328724.16679764312</v>
      </c>
      <c r="DD26" s="164">
        <f t="shared" si="16"/>
        <v>329534.88927364186</v>
      </c>
      <c r="DE26" s="164">
        <f t="shared" si="16"/>
        <v>330347.61120997689</v>
      </c>
      <c r="DF26" s="164">
        <f t="shared" si="16"/>
        <v>331162.33753785689</v>
      </c>
      <c r="DG26" s="164">
        <f t="shared" si="16"/>
        <v>331979.07320065191</v>
      </c>
      <c r="DH26" s="164">
        <f t="shared" si="16"/>
        <v>332797.82315392408</v>
      </c>
      <c r="DI26" s="164">
        <f t="shared" si="16"/>
        <v>333618.59236545709</v>
      </c>
      <c r="DJ26" s="164">
        <f t="shared" si="16"/>
        <v>334441.38581528654</v>
      </c>
      <c r="DK26" s="164">
        <f t="shared" si="16"/>
        <v>335266.20849573013</v>
      </c>
      <c r="DL26" s="164">
        <f t="shared" si="16"/>
        <v>336093.06541141798</v>
      </c>
      <c r="DM26" s="164">
        <f t="shared" si="16"/>
        <v>336921.96157932299</v>
      </c>
      <c r="DN26" s="164">
        <f t="shared" si="16"/>
        <v>337752.90202879143</v>
      </c>
      <c r="DO26" s="164">
        <f t="shared" si="16"/>
        <v>338585.89180157281</v>
      </c>
      <c r="DP26" s="164">
        <f t="shared" si="16"/>
        <v>339420.9359518516</v>
      </c>
      <c r="DQ26" s="164">
        <f t="shared" si="16"/>
        <v>340258.03954627668</v>
      </c>
      <c r="DR26" s="164">
        <f t="shared" si="16"/>
        <v>341097.20766399294</v>
      </c>
      <c r="DS26" s="164">
        <f t="shared" si="16"/>
        <v>341938.44539667183</v>
      </c>
      <c r="DT26" s="164">
        <f t="shared" si="16"/>
        <v>342781.75784854213</v>
      </c>
      <c r="DU26" s="164">
        <f t="shared" si="16"/>
        <v>343627.15013642109</v>
      </c>
      <c r="DV26" s="164">
        <f t="shared" si="16"/>
        <v>344474.62738974538</v>
      </c>
      <c r="DW26" s="164">
        <f t="shared" si="16"/>
        <v>345324.1947506023</v>
      </c>
      <c r="DX26" s="164">
        <f t="shared" si="16"/>
        <v>346175.8573737609</v>
      </c>
      <c r="DY26" s="164">
        <f t="shared" si="16"/>
        <v>347029.62042670307</v>
      </c>
      <c r="DZ26" s="164">
        <f t="shared" si="16"/>
        <v>347885.4890896554</v>
      </c>
      <c r="EA26" s="164">
        <f t="shared" si="16"/>
        <v>348743.46855562035</v>
      </c>
      <c r="EB26" s="164">
        <f t="shared" si="16"/>
        <v>349603.5640304074</v>
      </c>
      <c r="EC26" s="164">
        <f t="shared" ref="EC26:EE26" si="17">SUM(EC11,EC24)</f>
        <v>350465.78073266527</v>
      </c>
      <c r="ED26" s="164">
        <f t="shared" si="17"/>
        <v>351330.123893913</v>
      </c>
      <c r="EE26" s="165">
        <f t="shared" si="17"/>
        <v>352196.59875857231</v>
      </c>
    </row>
    <row r="27" spans="1:135" x14ac:dyDescent="0.35">
      <c r="B27" s="5"/>
      <c r="C27" s="160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161"/>
      <c r="CG27" s="161"/>
      <c r="CH27" s="161"/>
      <c r="CI27" s="161"/>
      <c r="CJ27" s="161"/>
      <c r="CK27" s="161"/>
      <c r="CL27" s="161"/>
      <c r="CM27" s="161"/>
      <c r="CN27" s="161"/>
      <c r="CO27" s="161"/>
      <c r="CP27" s="161"/>
      <c r="CQ27" s="161"/>
      <c r="CR27" s="161"/>
      <c r="CS27" s="161"/>
      <c r="CT27" s="161"/>
      <c r="CU27" s="161"/>
      <c r="CV27" s="161"/>
      <c r="CW27" s="161"/>
      <c r="CX27" s="161"/>
      <c r="CY27" s="161"/>
      <c r="CZ27" s="161"/>
      <c r="DA27" s="161"/>
      <c r="DB27" s="161"/>
      <c r="DC27" s="161"/>
      <c r="DD27" s="161"/>
      <c r="DE27" s="161"/>
      <c r="DF27" s="161"/>
      <c r="DG27" s="161"/>
      <c r="DH27" s="161"/>
      <c r="DI27" s="161"/>
      <c r="DJ27" s="161"/>
      <c r="DK27" s="161"/>
      <c r="DL27" s="161"/>
      <c r="DM27" s="161"/>
      <c r="DN27" s="161"/>
      <c r="DO27" s="161"/>
      <c r="DP27" s="161"/>
      <c r="DQ27" s="161"/>
      <c r="DR27" s="161"/>
      <c r="DS27" s="161"/>
      <c r="DT27" s="161"/>
      <c r="DU27" s="161"/>
      <c r="DV27" s="161"/>
      <c r="DW27" s="161"/>
      <c r="DX27" s="161"/>
      <c r="DY27" s="161"/>
      <c r="DZ27" s="161"/>
      <c r="EA27" s="161"/>
      <c r="EB27" s="161"/>
      <c r="EC27" s="161"/>
      <c r="ED27" s="161"/>
      <c r="EE27" s="162"/>
    </row>
    <row r="28" spans="1:135" x14ac:dyDescent="0.35">
      <c r="B28" s="156" t="s">
        <v>177</v>
      </c>
      <c r="C28" s="160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  <c r="CH28" s="161"/>
      <c r="CI28" s="161"/>
      <c r="CJ28" s="161"/>
      <c r="CK28" s="161"/>
      <c r="CL28" s="161"/>
      <c r="CM28" s="161"/>
      <c r="CN28" s="161"/>
      <c r="CO28" s="161"/>
      <c r="CP28" s="161"/>
      <c r="CQ28" s="161"/>
      <c r="CR28" s="161"/>
      <c r="CS28" s="161"/>
      <c r="CT28" s="161"/>
      <c r="CU28" s="161"/>
      <c r="CV28" s="161"/>
      <c r="CW28" s="161"/>
      <c r="CX28" s="161"/>
      <c r="CY28" s="161"/>
      <c r="CZ28" s="161"/>
      <c r="DA28" s="161"/>
      <c r="DB28" s="161"/>
      <c r="DC28" s="161"/>
      <c r="DD28" s="161"/>
      <c r="DE28" s="161"/>
      <c r="DF28" s="161"/>
      <c r="DG28" s="161"/>
      <c r="DH28" s="161"/>
      <c r="DI28" s="161"/>
      <c r="DJ28" s="161"/>
      <c r="DK28" s="161"/>
      <c r="DL28" s="161"/>
      <c r="DM28" s="161"/>
      <c r="DN28" s="161"/>
      <c r="DO28" s="161"/>
      <c r="DP28" s="161"/>
      <c r="DQ28" s="161"/>
      <c r="DR28" s="161"/>
      <c r="DS28" s="161"/>
      <c r="DT28" s="161"/>
      <c r="DU28" s="161"/>
      <c r="DV28" s="161"/>
      <c r="DW28" s="161"/>
      <c r="DX28" s="161"/>
      <c r="DY28" s="161"/>
      <c r="DZ28" s="161"/>
      <c r="EA28" s="161"/>
      <c r="EB28" s="161"/>
      <c r="EC28" s="161"/>
      <c r="ED28" s="161"/>
      <c r="EE28" s="162"/>
    </row>
    <row r="29" spans="1:135" x14ac:dyDescent="0.35">
      <c r="A29" s="168">
        <f>SUMIF($C$1:$EE$1,"&lt;="&amp;Summary!$K$19,'Monthly CF'!C29:EE29)</f>
        <v>-2300891.9473872785</v>
      </c>
      <c r="B29" s="5" t="str">
        <f>Expenses!E3</f>
        <v>Payroll</v>
      </c>
      <c r="C29" s="160"/>
      <c r="D29" s="161">
        <f>-Expenses!$F3/12*(1+Expenses!$F$17)^((D$1-1)/12)</f>
        <v>-16500</v>
      </c>
      <c r="E29" s="161">
        <f>-Expenses!$F3/12*(1+Expenses!$F$17)^((E$1-1)/12)</f>
        <v>-16540.693451243013</v>
      </c>
      <c r="F29" s="161">
        <f>-Expenses!$F3/12*(1+Expenses!$F$17)^((F$1-1)/12)</f>
        <v>-16581.487263514748</v>
      </c>
      <c r="G29" s="161">
        <f>-Expenses!$F3/12*(1+Expenses!$F$17)^((G$1-1)/12)</f>
        <v>-16622.381684332591</v>
      </c>
      <c r="H29" s="161">
        <f>-Expenses!$F3/12*(1+Expenses!$F$17)^((H$1-1)/12)</f>
        <v>-16663.376961824357</v>
      </c>
      <c r="I29" s="161">
        <f>-Expenses!$F3/12*(1+Expenses!$F$17)^((I$1-1)/12)</f>
        <v>-16704.473344729802</v>
      </c>
      <c r="J29" s="161">
        <f>-Expenses!$F3/12*(1+Expenses!$F$17)^((J$1-1)/12)</f>
        <v>-16745.671082402161</v>
      </c>
      <c r="K29" s="161">
        <f>-Expenses!$F3/12*(1+Expenses!$F$17)^((K$1-1)/12)</f>
        <v>-16786.970424809628</v>
      </c>
      <c r="L29" s="161">
        <f>-Expenses!$F3/12*(1+Expenses!$F$17)^((L$1-1)/12)</f>
        <v>-16828.371622536892</v>
      </c>
      <c r="M29" s="161">
        <f>-Expenses!$F3/12*(1+Expenses!$F$17)^((M$1-1)/12)</f>
        <v>-16869.874926786644</v>
      </c>
      <c r="N29" s="161">
        <f>-Expenses!$F3/12*(1+Expenses!$F$17)^((N$1-1)/12)</f>
        <v>-16911.480589381121</v>
      </c>
      <c r="O29" s="161">
        <f>-Expenses!$F3/12*(1+Expenses!$F$17)^((O$1-1)/12)</f>
        <v>-16953.188862763611</v>
      </c>
      <c r="P29" s="161">
        <f>-Expenses!$F3/12*(1+Expenses!$F$17)^((P$1-1)/12)</f>
        <v>-16995</v>
      </c>
      <c r="Q29" s="161">
        <f>-Expenses!$F3/12*(1+Expenses!$F$17)^((Q$1-1)/12)</f>
        <v>-17036.914254780302</v>
      </c>
      <c r="R29" s="161">
        <f>-Expenses!$F3/12*(1+Expenses!$F$17)^((R$1-1)/12)</f>
        <v>-17078.931881420194</v>
      </c>
      <c r="S29" s="161">
        <f>-Expenses!$F3/12*(1+Expenses!$F$17)^((S$1-1)/12)</f>
        <v>-17121.053134862574</v>
      </c>
      <c r="T29" s="161">
        <f>-Expenses!$F3/12*(1+Expenses!$F$17)^((T$1-1)/12)</f>
        <v>-17163.278270679086</v>
      </c>
      <c r="U29" s="161">
        <f>-Expenses!$F3/12*(1+Expenses!$F$17)^((U$1-1)/12)</f>
        <v>-17205.6075450717</v>
      </c>
      <c r="V29" s="161">
        <f>-Expenses!$F3/12*(1+Expenses!$F$17)^((V$1-1)/12)</f>
        <v>-17248.041214874229</v>
      </c>
      <c r="W29" s="161">
        <f>-Expenses!$F3/12*(1+Expenses!$F$17)^((W$1-1)/12)</f>
        <v>-17290.57953755392</v>
      </c>
      <c r="X29" s="161">
        <f>-Expenses!$F3/12*(1+Expenses!$F$17)^((X$1-1)/12)</f>
        <v>-17333.222771212997</v>
      </c>
      <c r="Y29" s="161">
        <f>-Expenses!$F3/12*(1+Expenses!$F$17)^((Y$1-1)/12)</f>
        <v>-17375.971174590246</v>
      </c>
      <c r="Z29" s="161">
        <f>-Expenses!$F3/12*(1+Expenses!$F$17)^((Z$1-1)/12)</f>
        <v>-17418.825007062558</v>
      </c>
      <c r="AA29" s="161">
        <f>-Expenses!$F3/12*(1+Expenses!$F$17)^((AA$1-1)/12)</f>
        <v>-17461.78452864652</v>
      </c>
      <c r="AB29" s="161">
        <f>-Expenses!$F3/12*(1+Expenses!$F$17)^((AB$1-1)/12)</f>
        <v>-17504.849999999999</v>
      </c>
      <c r="AC29" s="161">
        <f>-Expenses!$F3/12*(1+Expenses!$F$17)^((AC$1-1)/12)</f>
        <v>-17548.021682423707</v>
      </c>
      <c r="AD29" s="161">
        <f>-Expenses!$F3/12*(1+Expenses!$F$17)^((AD$1-1)/12)</f>
        <v>-17591.2998378628</v>
      </c>
      <c r="AE29" s="161">
        <f>-Expenses!$F3/12*(1+Expenses!$F$17)^((AE$1-1)/12)</f>
        <v>-17634.684728908447</v>
      </c>
      <c r="AF29" s="161">
        <f>-Expenses!$F3/12*(1+Expenses!$F$17)^((AF$1-1)/12)</f>
        <v>-17678.176618799462</v>
      </c>
      <c r="AG29" s="161">
        <f>-Expenses!$F3/12*(1+Expenses!$F$17)^((AG$1-1)/12)</f>
        <v>-17721.775771423851</v>
      </c>
      <c r="AH29" s="161">
        <f>-Expenses!$F3/12*(1+Expenses!$F$17)^((AH$1-1)/12)</f>
        <v>-17765.482451320455</v>
      </c>
      <c r="AI29" s="161">
        <f>-Expenses!$F3/12*(1+Expenses!$F$17)^((AI$1-1)/12)</f>
        <v>-17809.296923680537</v>
      </c>
      <c r="AJ29" s="161">
        <f>-Expenses!$F3/12*(1+Expenses!$F$17)^((AJ$1-1)/12)</f>
        <v>-17853.21945434939</v>
      </c>
      <c r="AK29" s="161">
        <f>-Expenses!$F3/12*(1+Expenses!$F$17)^((AK$1-1)/12)</f>
        <v>-17897.250309827952</v>
      </c>
      <c r="AL29" s="161">
        <f>-Expenses!$F3/12*(1+Expenses!$F$17)^((AL$1-1)/12)</f>
        <v>-17941.389757274435</v>
      </c>
      <c r="AM29" s="161">
        <f>-Expenses!$F3/12*(1+Expenses!$F$17)^((AM$1-1)/12)</f>
        <v>-17985.638064505918</v>
      </c>
      <c r="AN29" s="161">
        <f>-Expenses!$F3/12*(1+Expenses!$F$17)^((AN$1-1)/12)</f>
        <v>-18029.995500000001</v>
      </c>
      <c r="AO29" s="161">
        <f>-Expenses!$F3/12*(1+Expenses!$F$17)^((AO$1-1)/12)</f>
        <v>-18074.462332896423</v>
      </c>
      <c r="AP29" s="161">
        <f>-Expenses!$F3/12*(1+Expenses!$F$17)^((AP$1-1)/12)</f>
        <v>-18119.038832998682</v>
      </c>
      <c r="AQ29" s="161">
        <f>-Expenses!$F3/12*(1+Expenses!$F$17)^((AQ$1-1)/12)</f>
        <v>-18163.725270775703</v>
      </c>
      <c r="AR29" s="161">
        <f>-Expenses!$F3/12*(1+Expenses!$F$17)^((AR$1-1)/12)</f>
        <v>-18208.521917363447</v>
      </c>
      <c r="AS29" s="161">
        <f>-Expenses!$F3/12*(1+Expenses!$F$17)^((AS$1-1)/12)</f>
        <v>-18253.429044566565</v>
      </c>
      <c r="AT29" s="161">
        <f>-Expenses!$F3/12*(1+Expenses!$F$17)^((AT$1-1)/12)</f>
        <v>-18298.446924860069</v>
      </c>
      <c r="AU29" s="161">
        <f>-Expenses!$F3/12*(1+Expenses!$F$17)^((AU$1-1)/12)</f>
        <v>-18343.575831390954</v>
      </c>
      <c r="AV29" s="161">
        <f>-Expenses!$F3/12*(1+Expenses!$F$17)^((AV$1-1)/12)</f>
        <v>-18388.816037979872</v>
      </c>
      <c r="AW29" s="161">
        <f>-Expenses!$F3/12*(1+Expenses!$F$17)^((AW$1-1)/12)</f>
        <v>-18434.167819122795</v>
      </c>
      <c r="AX29" s="161">
        <f>-Expenses!$F3/12*(1+Expenses!$F$17)^((AX$1-1)/12)</f>
        <v>-18479.63144999267</v>
      </c>
      <c r="AY29" s="161">
        <f>-Expenses!$F3/12*(1+Expenses!$F$17)^((AY$1-1)/12)</f>
        <v>-18525.207206441097</v>
      </c>
      <c r="AZ29" s="161">
        <f>-Expenses!$F3/12*(1+Expenses!$F$17)^((AZ$1-1)/12)</f>
        <v>-18570.895365</v>
      </c>
      <c r="BA29" s="161">
        <f>-Expenses!$F3/12*(1+Expenses!$F$17)^((BA$1-1)/12)</f>
        <v>-18616.696202883315</v>
      </c>
      <c r="BB29" s="161">
        <f>-Expenses!$F3/12*(1+Expenses!$F$17)^((BB$1-1)/12)</f>
        <v>-18662.609997988642</v>
      </c>
      <c r="BC29" s="161">
        <f>-Expenses!$F3/12*(1+Expenses!$F$17)^((BC$1-1)/12)</f>
        <v>-18708.637028898975</v>
      </c>
      <c r="BD29" s="161">
        <f>-Expenses!$F3/12*(1+Expenses!$F$17)^((BD$1-1)/12)</f>
        <v>-18754.777574884349</v>
      </c>
      <c r="BE29" s="161">
        <f>-Expenses!$F3/12*(1+Expenses!$F$17)^((BE$1-1)/12)</f>
        <v>-18801.031915903561</v>
      </c>
      <c r="BF29" s="161">
        <f>-Expenses!$F3/12*(1+Expenses!$F$17)^((BF$1-1)/12)</f>
        <v>-18847.400332605874</v>
      </c>
      <c r="BG29" s="161">
        <f>-Expenses!$F3/12*(1+Expenses!$F$17)^((BG$1-1)/12)</f>
        <v>-18893.883106332683</v>
      </c>
      <c r="BH29" s="161">
        <f>-Expenses!$F3/12*(1+Expenses!$F$17)^((BH$1-1)/12)</f>
        <v>-18940.480519119268</v>
      </c>
      <c r="BI29" s="161">
        <f>-Expenses!$F3/12*(1+Expenses!$F$17)^((BI$1-1)/12)</f>
        <v>-18987.192853696477</v>
      </c>
      <c r="BJ29" s="161">
        <f>-Expenses!$F3/12*(1+Expenses!$F$17)^((BJ$1-1)/12)</f>
        <v>-19034.02039349245</v>
      </c>
      <c r="BK29" s="161">
        <f>-Expenses!$F3/12*(1+Expenses!$F$17)^((BK$1-1)/12)</f>
        <v>-19080.96342263433</v>
      </c>
      <c r="BL29" s="161">
        <f>-Expenses!$F3/12*(1+Expenses!$F$17)^((BL$1-1)/12)</f>
        <v>-19128.022225949997</v>
      </c>
      <c r="BM29" s="161">
        <f>-Expenses!$F3/12*(1+Expenses!$F$17)^((BM$1-1)/12)</f>
        <v>-19175.197088969813</v>
      </c>
      <c r="BN29" s="161">
        <f>-Expenses!$F3/12*(1+Expenses!$F$17)^((BN$1-1)/12)</f>
        <v>-19222.488297928303</v>
      </c>
      <c r="BO29" s="161">
        <f>-Expenses!$F3/12*(1+Expenses!$F$17)^((BO$1-1)/12)</f>
        <v>-19269.896139765944</v>
      </c>
      <c r="BP29" s="161">
        <f>-Expenses!$F3/12*(1+Expenses!$F$17)^((BP$1-1)/12)</f>
        <v>-19317.420902130878</v>
      </c>
      <c r="BQ29" s="161">
        <f>-Expenses!$F3/12*(1+Expenses!$F$17)^((BQ$1-1)/12)</f>
        <v>-19365.06287338067</v>
      </c>
      <c r="BR29" s="161">
        <f>-Expenses!$F3/12*(1+Expenses!$F$17)^((BR$1-1)/12)</f>
        <v>-19412.822342584048</v>
      </c>
      <c r="BS29" s="161">
        <f>-Expenses!$F3/12*(1+Expenses!$F$17)^((BS$1-1)/12)</f>
        <v>-19460.699599522661</v>
      </c>
      <c r="BT29" s="161">
        <f>-Expenses!$F3/12*(1+Expenses!$F$17)^((BT$1-1)/12)</f>
        <v>-19508.694934692849</v>
      </c>
      <c r="BU29" s="161">
        <f>-Expenses!$F3/12*(1+Expenses!$F$17)^((BU$1-1)/12)</f>
        <v>-19556.808639307372</v>
      </c>
      <c r="BV29" s="161">
        <f>-Expenses!$F3/12*(1+Expenses!$F$17)^((BV$1-1)/12)</f>
        <v>-19605.041005297222</v>
      </c>
      <c r="BW29" s="161">
        <f>-Expenses!$F3/12*(1+Expenses!$F$17)^((BW$1-1)/12)</f>
        <v>-19653.392325313358</v>
      </c>
      <c r="BX29" s="161">
        <f>-Expenses!$F3/12*(1+Expenses!$F$17)^((BX$1-1)/12)</f>
        <v>-19701.862892728499</v>
      </c>
      <c r="BY29" s="161">
        <f>-Expenses!$F3/12*(1+Expenses!$F$17)^((BY$1-1)/12)</f>
        <v>-19750.453001638907</v>
      </c>
      <c r="BZ29" s="161">
        <f>-Expenses!$F3/12*(1+Expenses!$F$17)^((BZ$1-1)/12)</f>
        <v>-19799.162946866156</v>
      </c>
      <c r="CA29" s="161">
        <f>-Expenses!$F3/12*(1+Expenses!$F$17)^((CA$1-1)/12)</f>
        <v>-19847.993023958923</v>
      </c>
      <c r="CB29" s="161">
        <f>-Expenses!$F3/12*(1+Expenses!$F$17)^((CB$1-1)/12)</f>
        <v>-19896.943529194807</v>
      </c>
      <c r="CC29" s="161">
        <f>-Expenses!$F3/12*(1+Expenses!$F$17)^((CC$1-1)/12)</f>
        <v>-19946.014759582093</v>
      </c>
      <c r="CD29" s="161">
        <f>-Expenses!$F3/12*(1+Expenses!$F$17)^((CD$1-1)/12)</f>
        <v>-19995.207012861571</v>
      </c>
      <c r="CE29" s="161">
        <f>-Expenses!$F3/12*(1+Expenses!$F$17)^((CE$1-1)/12)</f>
        <v>-20044.520587508345</v>
      </c>
      <c r="CF29" s="161">
        <f>-Expenses!$F3/12*(1+Expenses!$F$17)^((CF$1-1)/12)</f>
        <v>-20093.955782733632</v>
      </c>
      <c r="CG29" s="161">
        <f>-Expenses!$F3/12*(1+Expenses!$F$17)^((CG$1-1)/12)</f>
        <v>-20143.512898486595</v>
      </c>
      <c r="CH29" s="161">
        <f>-Expenses!$F3/12*(1+Expenses!$F$17)^((CH$1-1)/12)</f>
        <v>-20193.192235456139</v>
      </c>
      <c r="CI29" s="161">
        <f>-Expenses!$F3/12*(1+Expenses!$F$17)^((CI$1-1)/12)</f>
        <v>-20242.994095072761</v>
      </c>
      <c r="CJ29" s="161">
        <f>-Expenses!$F3/12*(1+Expenses!$F$17)^((CJ$1-1)/12)</f>
        <v>-20292.918779510353</v>
      </c>
      <c r="CK29" s="161">
        <f>-Expenses!$F3/12*(1+Expenses!$F$17)^((CK$1-1)/12)</f>
        <v>-20342.966591688077</v>
      </c>
      <c r="CL29" s="161">
        <f>-Expenses!$F3/12*(1+Expenses!$F$17)^((CL$1-1)/12)</f>
        <v>-20393.13783527214</v>
      </c>
      <c r="CM29" s="161">
        <f>-Expenses!$F3/12*(1+Expenses!$F$17)^((CM$1-1)/12)</f>
        <v>-20443.432814677693</v>
      </c>
      <c r="CN29" s="161">
        <f>-Expenses!$F3/12*(1+Expenses!$F$17)^((CN$1-1)/12)</f>
        <v>-20493.851835070651</v>
      </c>
      <c r="CO29" s="161">
        <f>-Expenses!$F3/12*(1+Expenses!$F$17)^((CO$1-1)/12)</f>
        <v>-20544.395202369557</v>
      </c>
      <c r="CP29" s="161">
        <f>-Expenses!$F3/12*(1+Expenses!$F$17)^((CP$1-1)/12)</f>
        <v>-20595.063223247416</v>
      </c>
      <c r="CQ29" s="161">
        <f>-Expenses!$F3/12*(1+Expenses!$F$17)^((CQ$1-1)/12)</f>
        <v>-20645.856205133594</v>
      </c>
      <c r="CR29" s="161">
        <f>-Expenses!$F3/12*(1+Expenses!$F$17)^((CR$1-1)/12)</f>
        <v>-20696.77445621564</v>
      </c>
      <c r="CS29" s="161">
        <f>-Expenses!$F3/12*(1+Expenses!$F$17)^((CS$1-1)/12)</f>
        <v>-20747.818285441193</v>
      </c>
      <c r="CT29" s="161">
        <f>-Expenses!$F3/12*(1+Expenses!$F$17)^((CT$1-1)/12)</f>
        <v>-20798.988002519822</v>
      </c>
      <c r="CU29" s="161">
        <f>-Expenses!$F3/12*(1+Expenses!$F$17)^((CU$1-1)/12)</f>
        <v>-20850.283917924942</v>
      </c>
      <c r="CV29" s="161">
        <f>-Expenses!$F3/12*(1+Expenses!$F$17)^((CV$1-1)/12)</f>
        <v>-20901.706342895664</v>
      </c>
      <c r="CW29" s="161">
        <f>-Expenses!$F3/12*(1+Expenses!$F$17)^((CW$1-1)/12)</f>
        <v>-20953.255589438722</v>
      </c>
      <c r="CX29" s="161">
        <f>-Expenses!$F3/12*(1+Expenses!$F$17)^((CX$1-1)/12)</f>
        <v>-21004.931970330304</v>
      </c>
      <c r="CY29" s="161">
        <f>-Expenses!$F3/12*(1+Expenses!$F$17)^((CY$1-1)/12)</f>
        <v>-21056.735799118025</v>
      </c>
      <c r="CZ29" s="161">
        <f>-Expenses!$F3/12*(1+Expenses!$F$17)^((CZ$1-1)/12)</f>
        <v>-21108.667390122773</v>
      </c>
      <c r="DA29" s="161">
        <f>-Expenses!$F3/12*(1+Expenses!$F$17)^((DA$1-1)/12)</f>
        <v>-21160.72705844064</v>
      </c>
      <c r="DB29" s="161">
        <f>-Expenses!$F3/12*(1+Expenses!$F$17)^((DB$1-1)/12)</f>
        <v>-21212.915119944842</v>
      </c>
      <c r="DC29" s="161">
        <f>-Expenses!$F3/12*(1+Expenses!$F$17)^((DC$1-1)/12)</f>
        <v>-21265.231891287604</v>
      </c>
      <c r="DD29" s="161">
        <f>-Expenses!$F3/12*(1+Expenses!$F$17)^((DD$1-1)/12)</f>
        <v>-21317.677689902113</v>
      </c>
      <c r="DE29" s="161">
        <f>-Expenses!$F3/12*(1+Expenses!$F$17)^((DE$1-1)/12)</f>
        <v>-21370.25283400443</v>
      </c>
      <c r="DF29" s="161">
        <f>-Expenses!$F3/12*(1+Expenses!$F$17)^((DF$1-1)/12)</f>
        <v>-21422.957642595418</v>
      </c>
      <c r="DG29" s="161">
        <f>-Expenses!$F3/12*(1+Expenses!$F$17)^((DG$1-1)/12)</f>
        <v>-21475.792435462692</v>
      </c>
      <c r="DH29" s="161">
        <f>-Expenses!$F3/12*(1+Expenses!$F$17)^((DH$1-1)/12)</f>
        <v>-21528.757533182532</v>
      </c>
      <c r="DI29" s="161">
        <f>-Expenses!$F3/12*(1+Expenses!$F$17)^((DI$1-1)/12)</f>
        <v>-21581.853257121882</v>
      </c>
      <c r="DJ29" s="161">
        <f>-Expenses!$F3/12*(1+Expenses!$F$17)^((DJ$1-1)/12)</f>
        <v>-21635.079929440213</v>
      </c>
      <c r="DK29" s="161">
        <f>-Expenses!$F3/12*(1+Expenses!$F$17)^((DK$1-1)/12)</f>
        <v>-21688.437873091563</v>
      </c>
      <c r="DL29" s="161">
        <f>-Expenses!$F3/12*(1+Expenses!$F$17)^((DL$1-1)/12)</f>
        <v>-21741.927411826455</v>
      </c>
      <c r="DM29" s="161">
        <f>-Expenses!$F3/12*(1+Expenses!$F$17)^((DM$1-1)/12)</f>
        <v>-21795.548870193863</v>
      </c>
      <c r="DN29" s="161">
        <f>-Expenses!$F3/12*(1+Expenses!$F$17)^((DN$1-1)/12)</f>
        <v>-21849.302573543187</v>
      </c>
      <c r="DO29" s="161">
        <f>-Expenses!$F3/12*(1+Expenses!$F$17)^((DO$1-1)/12)</f>
        <v>-21903.188848026231</v>
      </c>
      <c r="DP29" s="161">
        <f>-Expenses!$F3/12*(1+Expenses!$F$17)^((DP$1-1)/12)</f>
        <v>-21957.208020599177</v>
      </c>
      <c r="DQ29" s="161">
        <f>-Expenses!$F3/12*(1+Expenses!$F$17)^((DQ$1-1)/12)</f>
        <v>-22011.360419024561</v>
      </c>
      <c r="DR29" s="161">
        <f>-Expenses!$F3/12*(1+Expenses!$F$17)^((DR$1-1)/12)</f>
        <v>-22065.646371873285</v>
      </c>
      <c r="DS29" s="161">
        <f>-Expenses!$F3/12*(1+Expenses!$F$17)^((DS$1-1)/12)</f>
        <v>-22120.066208526572</v>
      </c>
      <c r="DT29" s="161">
        <f>-Expenses!$F3/12*(1+Expenses!$F$17)^((DT$1-1)/12)</f>
        <v>-22174.620259178009</v>
      </c>
      <c r="DU29" s="161">
        <f>-Expenses!$F3/12*(1+Expenses!$F$17)^((DU$1-1)/12)</f>
        <v>-22229.308854835541</v>
      </c>
      <c r="DV29" s="161">
        <f>-Expenses!$F3/12*(1+Expenses!$F$17)^((DV$1-1)/12)</f>
        <v>-22284.132327323423</v>
      </c>
      <c r="DW29" s="161">
        <f>-Expenses!$F3/12*(1+Expenses!$F$17)^((DW$1-1)/12)</f>
        <v>-22339.091009284311</v>
      </c>
      <c r="DX29" s="161">
        <f>-Expenses!$F3/12*(1+Expenses!$F$17)^((DX$1-1)/12)</f>
        <v>-22394.185234181252</v>
      </c>
      <c r="DY29" s="161">
        <f>-Expenses!$F3/12*(1+Expenses!$F$17)^((DY$1-1)/12)</f>
        <v>-22449.415336299677</v>
      </c>
      <c r="DZ29" s="161">
        <f>-Expenses!$F3/12*(1+Expenses!$F$17)^((DZ$1-1)/12)</f>
        <v>-22504.781650749483</v>
      </c>
      <c r="EA29" s="161">
        <f>-Expenses!$F3/12*(1+Expenses!$F$17)^((EA$1-1)/12)</f>
        <v>-22560.284513467021</v>
      </c>
      <c r="EB29" s="161">
        <f>-Expenses!$F3/12*(1+Expenses!$F$17)^((EB$1-1)/12)</f>
        <v>-22615.924261217151</v>
      </c>
      <c r="EC29" s="161">
        <f>-Expenses!$F3/12*(1+Expenses!$F$17)^((EC$1-1)/12)</f>
        <v>-22671.7012315953</v>
      </c>
      <c r="ED29" s="161">
        <f>-Expenses!$F3/12*(1+Expenses!$F$17)^((ED$1-1)/12)</f>
        <v>-22727.61576302948</v>
      </c>
      <c r="EE29" s="162">
        <f>-Expenses!$F3/12*(1+Expenses!$F$17)^((EE$1-1)/12)</f>
        <v>-22783.668194782374</v>
      </c>
    </row>
    <row r="30" spans="1:135" x14ac:dyDescent="0.35">
      <c r="A30" s="168">
        <f>SUMIF($C$1:$EE$1,"&lt;="&amp;Summary!$K$19,'Monthly CF'!C30:EE30)</f>
        <v>-351525.15862861212</v>
      </c>
      <c r="B30" s="5" t="str">
        <f>Expenses!E4</f>
        <v>General &amp; Administrative</v>
      </c>
      <c r="C30" s="160"/>
      <c r="D30" s="161">
        <f>-Expenses!$F4/12*(1+Expenses!$F$17)^((D$1-1)/12)</f>
        <v>-2520.8333333333335</v>
      </c>
      <c r="E30" s="161">
        <f>-Expenses!$F4/12*(1+Expenses!$F$17)^((E$1-1)/12)</f>
        <v>-2527.0503883843489</v>
      </c>
      <c r="F30" s="161">
        <f>-Expenses!$F4/12*(1+Expenses!$F$17)^((F$1-1)/12)</f>
        <v>-2533.282776370309</v>
      </c>
      <c r="G30" s="161">
        <f>-Expenses!$F4/12*(1+Expenses!$F$17)^((G$1-1)/12)</f>
        <v>-2539.5305351063685</v>
      </c>
      <c r="H30" s="161">
        <f>-Expenses!$F4/12*(1+Expenses!$F$17)^((H$1-1)/12)</f>
        <v>-2545.7937025009433</v>
      </c>
      <c r="I30" s="161">
        <f>-Expenses!$F4/12*(1+Expenses!$F$17)^((I$1-1)/12)</f>
        <v>-2552.0723165559425</v>
      </c>
      <c r="J30" s="161">
        <f>-Expenses!$F4/12*(1+Expenses!$F$17)^((J$1-1)/12)</f>
        <v>-2558.366415366997</v>
      </c>
      <c r="K30" s="161">
        <f>-Expenses!$F4/12*(1+Expenses!$F$17)^((K$1-1)/12)</f>
        <v>-2564.6760371236933</v>
      </c>
      <c r="L30" s="161">
        <f>-Expenses!$F4/12*(1+Expenses!$F$17)^((L$1-1)/12)</f>
        <v>-2571.0012201098029</v>
      </c>
      <c r="M30" s="161">
        <f>-Expenses!$F4/12*(1+Expenses!$F$17)^((M$1-1)/12)</f>
        <v>-2577.3420027035154</v>
      </c>
      <c r="N30" s="161">
        <f>-Expenses!$F4/12*(1+Expenses!$F$17)^((N$1-1)/12)</f>
        <v>-2583.6984233776716</v>
      </c>
      <c r="O30" s="161">
        <f>-Expenses!$F4/12*(1+Expenses!$F$17)^((O$1-1)/12)</f>
        <v>-2590.0705206999965</v>
      </c>
      <c r="P30" s="161">
        <f>-Expenses!$F4/12*(1+Expenses!$F$17)^((P$1-1)/12)</f>
        <v>-2596.4583333333335</v>
      </c>
      <c r="Q30" s="161">
        <f>-Expenses!$F4/12*(1+Expenses!$F$17)^((Q$1-1)/12)</f>
        <v>-2602.8619000358794</v>
      </c>
      <c r="R30" s="161">
        <f>-Expenses!$F4/12*(1+Expenses!$F$17)^((R$1-1)/12)</f>
        <v>-2609.2812596614185</v>
      </c>
      <c r="S30" s="161">
        <f>-Expenses!$F4/12*(1+Expenses!$F$17)^((S$1-1)/12)</f>
        <v>-2615.7164511595597</v>
      </c>
      <c r="T30" s="161">
        <f>-Expenses!$F4/12*(1+Expenses!$F$17)^((T$1-1)/12)</f>
        <v>-2622.167513575972</v>
      </c>
      <c r="U30" s="161">
        <f>-Expenses!$F4/12*(1+Expenses!$F$17)^((U$1-1)/12)</f>
        <v>-2628.6344860526206</v>
      </c>
      <c r="V30" s="161">
        <f>-Expenses!$F4/12*(1+Expenses!$F$17)^((V$1-1)/12)</f>
        <v>-2635.1174078280073</v>
      </c>
      <c r="W30" s="161">
        <f>-Expenses!$F4/12*(1+Expenses!$F$17)^((W$1-1)/12)</f>
        <v>-2641.6163182374048</v>
      </c>
      <c r="X30" s="161">
        <f>-Expenses!$F4/12*(1+Expenses!$F$17)^((X$1-1)/12)</f>
        <v>-2648.1312567130972</v>
      </c>
      <c r="Y30" s="161">
        <f>-Expenses!$F4/12*(1+Expenses!$F$17)^((Y$1-1)/12)</f>
        <v>-2654.6622627846209</v>
      </c>
      <c r="Z30" s="161">
        <f>-Expenses!$F4/12*(1+Expenses!$F$17)^((Z$1-1)/12)</f>
        <v>-2661.2093760790021</v>
      </c>
      <c r="AA30" s="161">
        <f>-Expenses!$F4/12*(1+Expenses!$F$17)^((AA$1-1)/12)</f>
        <v>-2667.7726363209963</v>
      </c>
      <c r="AB30" s="161">
        <f>-Expenses!$F4/12*(1+Expenses!$F$17)^((AB$1-1)/12)</f>
        <v>-2674.3520833333332</v>
      </c>
      <c r="AC30" s="161">
        <f>-Expenses!$F4/12*(1+Expenses!$F$17)^((AC$1-1)/12)</f>
        <v>-2680.9477570369554</v>
      </c>
      <c r="AD30" s="161">
        <f>-Expenses!$F4/12*(1+Expenses!$F$17)^((AD$1-1)/12)</f>
        <v>-2687.5596974512614</v>
      </c>
      <c r="AE30" s="161">
        <f>-Expenses!$F4/12*(1+Expenses!$F$17)^((AE$1-1)/12)</f>
        <v>-2694.1879446943462</v>
      </c>
      <c r="AF30" s="161">
        <f>-Expenses!$F4/12*(1+Expenses!$F$17)^((AF$1-1)/12)</f>
        <v>-2700.8325389832512</v>
      </c>
      <c r="AG30" s="161">
        <f>-Expenses!$F4/12*(1+Expenses!$F$17)^((AG$1-1)/12)</f>
        <v>-2707.4935206341993</v>
      </c>
      <c r="AH30" s="161">
        <f>-Expenses!$F4/12*(1+Expenses!$F$17)^((AH$1-1)/12)</f>
        <v>-2714.1709300628472</v>
      </c>
      <c r="AI30" s="161">
        <f>-Expenses!$F4/12*(1+Expenses!$F$17)^((AI$1-1)/12)</f>
        <v>-2720.8648077845264</v>
      </c>
      <c r="AJ30" s="161">
        <f>-Expenses!$F4/12*(1+Expenses!$F$17)^((AJ$1-1)/12)</f>
        <v>-2727.5751944144904</v>
      </c>
      <c r="AK30" s="161">
        <f>-Expenses!$F4/12*(1+Expenses!$F$17)^((AK$1-1)/12)</f>
        <v>-2734.3021306681599</v>
      </c>
      <c r="AL30" s="161">
        <f>-Expenses!$F4/12*(1+Expenses!$F$17)^((AL$1-1)/12)</f>
        <v>-2741.0456573613719</v>
      </c>
      <c r="AM30" s="161">
        <f>-Expenses!$F4/12*(1+Expenses!$F$17)^((AM$1-1)/12)</f>
        <v>-2747.8058154106266</v>
      </c>
      <c r="AN30" s="161">
        <f>-Expenses!$F4/12*(1+Expenses!$F$17)^((AN$1-1)/12)</f>
        <v>-2754.5826458333336</v>
      </c>
      <c r="AO30" s="161">
        <f>-Expenses!$F4/12*(1+Expenses!$F$17)^((AO$1-1)/12)</f>
        <v>-2761.3761897480645</v>
      </c>
      <c r="AP30" s="161">
        <f>-Expenses!$F4/12*(1+Expenses!$F$17)^((AP$1-1)/12)</f>
        <v>-2768.186488374799</v>
      </c>
      <c r="AQ30" s="161">
        <f>-Expenses!$F4/12*(1+Expenses!$F$17)^((AQ$1-1)/12)</f>
        <v>-2775.0135830351769</v>
      </c>
      <c r="AR30" s="161">
        <f>-Expenses!$F4/12*(1+Expenses!$F$17)^((AR$1-1)/12)</f>
        <v>-2781.8575151527489</v>
      </c>
      <c r="AS30" s="161">
        <f>-Expenses!$F4/12*(1+Expenses!$F$17)^((AS$1-1)/12)</f>
        <v>-2788.7183262532253</v>
      </c>
      <c r="AT30" s="161">
        <f>-Expenses!$F4/12*(1+Expenses!$F$17)^((AT$1-1)/12)</f>
        <v>-2795.5960579647331</v>
      </c>
      <c r="AU30" s="161">
        <f>-Expenses!$F4/12*(1+Expenses!$F$17)^((AU$1-1)/12)</f>
        <v>-2802.4907520180623</v>
      </c>
      <c r="AV30" s="161">
        <f>-Expenses!$F4/12*(1+Expenses!$F$17)^((AV$1-1)/12)</f>
        <v>-2809.4024502469251</v>
      </c>
      <c r="AW30" s="161">
        <f>-Expenses!$F4/12*(1+Expenses!$F$17)^((AW$1-1)/12)</f>
        <v>-2816.3311945882047</v>
      </c>
      <c r="AX30" s="161">
        <f>-Expenses!$F4/12*(1+Expenses!$F$17)^((AX$1-1)/12)</f>
        <v>-2823.2770270822134</v>
      </c>
      <c r="AY30" s="161">
        <f>-Expenses!$F4/12*(1+Expenses!$F$17)^((AY$1-1)/12)</f>
        <v>-2830.2399898729454</v>
      </c>
      <c r="AZ30" s="161">
        <f>-Expenses!$F4/12*(1+Expenses!$F$17)^((AZ$1-1)/12)</f>
        <v>-2837.2201252083332</v>
      </c>
      <c r="BA30" s="161">
        <f>-Expenses!$F4/12*(1+Expenses!$F$17)^((BA$1-1)/12)</f>
        <v>-2844.2174754405064</v>
      </c>
      <c r="BB30" s="161">
        <f>-Expenses!$F4/12*(1+Expenses!$F$17)^((BB$1-1)/12)</f>
        <v>-2851.2320830260428</v>
      </c>
      <c r="BC30" s="161">
        <f>-Expenses!$F4/12*(1+Expenses!$F$17)^((BC$1-1)/12)</f>
        <v>-2858.2639905262326</v>
      </c>
      <c r="BD30" s="161">
        <f>-Expenses!$F4/12*(1+Expenses!$F$17)^((BD$1-1)/12)</f>
        <v>-2865.313240607331</v>
      </c>
      <c r="BE30" s="161">
        <f>-Expenses!$F4/12*(1+Expenses!$F$17)^((BE$1-1)/12)</f>
        <v>-2872.3798760408222</v>
      </c>
      <c r="BF30" s="161">
        <f>-Expenses!$F4/12*(1+Expenses!$F$17)^((BF$1-1)/12)</f>
        <v>-2879.4639397036749</v>
      </c>
      <c r="BG30" s="161">
        <f>-Expenses!$F4/12*(1+Expenses!$F$17)^((BG$1-1)/12)</f>
        <v>-2886.5654745786046</v>
      </c>
      <c r="BH30" s="161">
        <f>-Expenses!$F4/12*(1+Expenses!$F$17)^((BH$1-1)/12)</f>
        <v>-2893.6845237543325</v>
      </c>
      <c r="BI30" s="161">
        <f>-Expenses!$F4/12*(1+Expenses!$F$17)^((BI$1-1)/12)</f>
        <v>-2900.8211304258507</v>
      </c>
      <c r="BJ30" s="161">
        <f>-Expenses!$F4/12*(1+Expenses!$F$17)^((BJ$1-1)/12)</f>
        <v>-2907.9753378946798</v>
      </c>
      <c r="BK30" s="161">
        <f>-Expenses!$F4/12*(1+Expenses!$F$17)^((BK$1-1)/12)</f>
        <v>-2915.1471895691338</v>
      </c>
      <c r="BL30" s="161">
        <f>-Expenses!$F4/12*(1+Expenses!$F$17)^((BL$1-1)/12)</f>
        <v>-2922.336728964583</v>
      </c>
      <c r="BM30" s="161">
        <f>-Expenses!$F4/12*(1+Expenses!$F$17)^((BM$1-1)/12)</f>
        <v>-2929.543999703722</v>
      </c>
      <c r="BN30" s="161">
        <f>-Expenses!$F4/12*(1+Expenses!$F$17)^((BN$1-1)/12)</f>
        <v>-2936.7690455168245</v>
      </c>
      <c r="BO30" s="161">
        <f>-Expenses!$F4/12*(1+Expenses!$F$17)^((BO$1-1)/12)</f>
        <v>-2944.0119102420194</v>
      </c>
      <c r="BP30" s="161">
        <f>-Expenses!$F4/12*(1+Expenses!$F$17)^((BP$1-1)/12)</f>
        <v>-2951.2726378255511</v>
      </c>
      <c r="BQ30" s="161">
        <f>-Expenses!$F4/12*(1+Expenses!$F$17)^((BQ$1-1)/12)</f>
        <v>-2958.5512723220468</v>
      </c>
      <c r="BR30" s="161">
        <f>-Expenses!$F4/12*(1+Expenses!$F$17)^((BR$1-1)/12)</f>
        <v>-2965.8478578947856</v>
      </c>
      <c r="BS30" s="161">
        <f>-Expenses!$F4/12*(1+Expenses!$F$17)^((BS$1-1)/12)</f>
        <v>-2973.1624388159626</v>
      </c>
      <c r="BT30" s="161">
        <f>-Expenses!$F4/12*(1+Expenses!$F$17)^((BT$1-1)/12)</f>
        <v>-2980.4950594669631</v>
      </c>
      <c r="BU30" s="161">
        <f>-Expenses!$F4/12*(1+Expenses!$F$17)^((BU$1-1)/12)</f>
        <v>-2987.8457643386264</v>
      </c>
      <c r="BV30" s="161">
        <f>-Expenses!$F4/12*(1+Expenses!$F$17)^((BV$1-1)/12)</f>
        <v>-2995.2145980315204</v>
      </c>
      <c r="BW30" s="161">
        <f>-Expenses!$F4/12*(1+Expenses!$F$17)^((BW$1-1)/12)</f>
        <v>-3002.6016052562077</v>
      </c>
      <c r="BX30" s="161">
        <f>-Expenses!$F4/12*(1+Expenses!$F$17)^((BX$1-1)/12)</f>
        <v>-3010.0068308335208</v>
      </c>
      <c r="BY30" s="161">
        <f>-Expenses!$F4/12*(1+Expenses!$F$17)^((BY$1-1)/12)</f>
        <v>-3017.4303196948335</v>
      </c>
      <c r="BZ30" s="161">
        <f>-Expenses!$F4/12*(1+Expenses!$F$17)^((BZ$1-1)/12)</f>
        <v>-3024.8721168823295</v>
      </c>
      <c r="CA30" s="161">
        <f>-Expenses!$F4/12*(1+Expenses!$F$17)^((CA$1-1)/12)</f>
        <v>-3032.33226754928</v>
      </c>
      <c r="CB30" s="161">
        <f>-Expenses!$F4/12*(1+Expenses!$F$17)^((CB$1-1)/12)</f>
        <v>-3039.8108169603179</v>
      </c>
      <c r="CC30" s="161">
        <f>-Expenses!$F4/12*(1+Expenses!$F$17)^((CC$1-1)/12)</f>
        <v>-3047.307810491709</v>
      </c>
      <c r="CD30" s="161">
        <f>-Expenses!$F4/12*(1+Expenses!$F$17)^((CD$1-1)/12)</f>
        <v>-3054.8232936316294</v>
      </c>
      <c r="CE30" s="161">
        <f>-Expenses!$F4/12*(1+Expenses!$F$17)^((CE$1-1)/12)</f>
        <v>-3062.3573119804414</v>
      </c>
      <c r="CF30" s="161">
        <f>-Expenses!$F4/12*(1+Expenses!$F$17)^((CF$1-1)/12)</f>
        <v>-3069.9099112509721</v>
      </c>
      <c r="CG30" s="161">
        <f>-Expenses!$F4/12*(1+Expenses!$F$17)^((CG$1-1)/12)</f>
        <v>-3077.4811372687855</v>
      </c>
      <c r="CH30" s="161">
        <f>-Expenses!$F4/12*(1+Expenses!$F$17)^((CH$1-1)/12)</f>
        <v>-3085.0710359724658</v>
      </c>
      <c r="CI30" s="161">
        <f>-Expenses!$F4/12*(1+Expenses!$F$17)^((CI$1-1)/12)</f>
        <v>-3092.6796534138944</v>
      </c>
      <c r="CJ30" s="161">
        <f>-Expenses!$F4/12*(1+Expenses!$F$17)^((CJ$1-1)/12)</f>
        <v>-3100.3070357585266</v>
      </c>
      <c r="CK30" s="161">
        <f>-Expenses!$F4/12*(1+Expenses!$F$17)^((CK$1-1)/12)</f>
        <v>-3107.9532292856788</v>
      </c>
      <c r="CL30" s="161">
        <f>-Expenses!$F4/12*(1+Expenses!$F$17)^((CL$1-1)/12)</f>
        <v>-3115.6182803887991</v>
      </c>
      <c r="CM30" s="161">
        <f>-Expenses!$F4/12*(1+Expenses!$F$17)^((CM$1-1)/12)</f>
        <v>-3123.3022355757589</v>
      </c>
      <c r="CN30" s="161">
        <f>-Expenses!$F4/12*(1+Expenses!$F$17)^((CN$1-1)/12)</f>
        <v>-3131.0051414691275</v>
      </c>
      <c r="CO30" s="161">
        <f>-Expenses!$F4/12*(1+Expenses!$F$17)^((CO$1-1)/12)</f>
        <v>-3138.7270448064601</v>
      </c>
      <c r="CP30" s="161">
        <f>-Expenses!$F4/12*(1+Expenses!$F$17)^((CP$1-1)/12)</f>
        <v>-3146.4679924405777</v>
      </c>
      <c r="CQ30" s="161">
        <f>-Expenses!$F4/12*(1+Expenses!$F$17)^((CQ$1-1)/12)</f>
        <v>-3154.2280313398551</v>
      </c>
      <c r="CR30" s="161">
        <f>-Expenses!$F4/12*(1+Expenses!$F$17)^((CR$1-1)/12)</f>
        <v>-3162.0072085885008</v>
      </c>
      <c r="CS30" s="161">
        <f>-Expenses!$F4/12*(1+Expenses!$F$17)^((CS$1-1)/12)</f>
        <v>-3169.8055713868489</v>
      </c>
      <c r="CT30" s="161">
        <f>-Expenses!$F4/12*(1+Expenses!$F$17)^((CT$1-1)/12)</f>
        <v>-3177.6231670516395</v>
      </c>
      <c r="CU30" s="161">
        <f>-Expenses!$F4/12*(1+Expenses!$F$17)^((CU$1-1)/12)</f>
        <v>-3185.4600430163109</v>
      </c>
      <c r="CV30" s="161">
        <f>-Expenses!$F4/12*(1+Expenses!$F$17)^((CV$1-1)/12)</f>
        <v>-3193.3162468312821</v>
      </c>
      <c r="CW30" s="161">
        <f>-Expenses!$F4/12*(1+Expenses!$F$17)^((CW$1-1)/12)</f>
        <v>-3201.1918261642495</v>
      </c>
      <c r="CX30" s="161">
        <f>-Expenses!$F4/12*(1+Expenses!$F$17)^((CX$1-1)/12)</f>
        <v>-3209.0868288004635</v>
      </c>
      <c r="CY30" s="161">
        <f>-Expenses!$F4/12*(1+Expenses!$F$17)^((CY$1-1)/12)</f>
        <v>-3217.001302643032</v>
      </c>
      <c r="CZ30" s="161">
        <f>-Expenses!$F4/12*(1+Expenses!$F$17)^((CZ$1-1)/12)</f>
        <v>-3224.9352957132014</v>
      </c>
      <c r="DA30" s="161">
        <f>-Expenses!$F4/12*(1+Expenses!$F$17)^((DA$1-1)/12)</f>
        <v>-3232.8888561506537</v>
      </c>
      <c r="DB30" s="161">
        <f>-Expenses!$F4/12*(1+Expenses!$F$17)^((DB$1-1)/12)</f>
        <v>-3240.8620322137958</v>
      </c>
      <c r="DC30" s="161">
        <f>-Expenses!$F4/12*(1+Expenses!$F$17)^((DC$1-1)/12)</f>
        <v>-3248.8548722800506</v>
      </c>
      <c r="DD30" s="161">
        <f>-Expenses!$F4/12*(1+Expenses!$F$17)^((DD$1-1)/12)</f>
        <v>-3256.8674248461562</v>
      </c>
      <c r="DE30" s="161">
        <f>-Expenses!$F4/12*(1+Expenses!$F$17)^((DE$1-1)/12)</f>
        <v>-3264.8997385284551</v>
      </c>
      <c r="DF30" s="161">
        <f>-Expenses!$F4/12*(1+Expenses!$F$17)^((DF$1-1)/12)</f>
        <v>-3272.9518620631893</v>
      </c>
      <c r="DG30" s="161">
        <f>-Expenses!$F4/12*(1+Expenses!$F$17)^((DG$1-1)/12)</f>
        <v>-3281.0238443068001</v>
      </c>
      <c r="DH30" s="161">
        <f>-Expenses!$F4/12*(1+Expenses!$F$17)^((DH$1-1)/12)</f>
        <v>-3289.1157342362208</v>
      </c>
      <c r="DI30" s="161">
        <f>-Expenses!$F4/12*(1+Expenses!$F$17)^((DI$1-1)/12)</f>
        <v>-3297.2275809491771</v>
      </c>
      <c r="DJ30" s="161">
        <f>-Expenses!$F4/12*(1+Expenses!$F$17)^((DJ$1-1)/12)</f>
        <v>-3305.3594336644769</v>
      </c>
      <c r="DK30" s="161">
        <f>-Expenses!$F4/12*(1+Expenses!$F$17)^((DK$1-1)/12)</f>
        <v>-3313.5113417223224</v>
      </c>
      <c r="DL30" s="161">
        <f>-Expenses!$F4/12*(1+Expenses!$F$17)^((DL$1-1)/12)</f>
        <v>-3321.6833545845975</v>
      </c>
      <c r="DM30" s="161">
        <f>-Expenses!$F4/12*(1+Expenses!$F$17)^((DM$1-1)/12)</f>
        <v>-3329.8755218351735</v>
      </c>
      <c r="DN30" s="161">
        <f>-Expenses!$F4/12*(1+Expenses!$F$17)^((DN$1-1)/12)</f>
        <v>-3338.0878931802094</v>
      </c>
      <c r="DO30" s="161">
        <f>-Expenses!$F4/12*(1+Expenses!$F$17)^((DO$1-1)/12)</f>
        <v>-3346.3205184484523</v>
      </c>
      <c r="DP30" s="161">
        <f>-Expenses!$F4/12*(1+Expenses!$F$17)^((DP$1-1)/12)</f>
        <v>-3354.573447591541</v>
      </c>
      <c r="DQ30" s="161">
        <f>-Expenses!$F4/12*(1+Expenses!$F$17)^((DQ$1-1)/12)</f>
        <v>-3362.8467306843081</v>
      </c>
      <c r="DR30" s="161">
        <f>-Expenses!$F4/12*(1+Expenses!$F$17)^((DR$1-1)/12)</f>
        <v>-3371.1404179250853</v>
      </c>
      <c r="DS30" s="161">
        <f>-Expenses!$F4/12*(1+Expenses!$F$17)^((DS$1-1)/12)</f>
        <v>-3379.4545596360044</v>
      </c>
      <c r="DT30" s="161">
        <f>-Expenses!$F4/12*(1+Expenses!$F$17)^((DT$1-1)/12)</f>
        <v>-3387.7892062633073</v>
      </c>
      <c r="DU30" s="161">
        <f>-Expenses!$F4/12*(1+Expenses!$F$17)^((DU$1-1)/12)</f>
        <v>-3396.1444083776523</v>
      </c>
      <c r="DV30" s="161">
        <f>-Expenses!$F4/12*(1+Expenses!$F$17)^((DV$1-1)/12)</f>
        <v>-3404.520216674412</v>
      </c>
      <c r="DW30" s="161">
        <f>-Expenses!$F4/12*(1+Expenses!$F$17)^((DW$1-1)/12)</f>
        <v>-3412.9166819739921</v>
      </c>
      <c r="DX30" s="161">
        <f>-Expenses!$F4/12*(1+Expenses!$F$17)^((DX$1-1)/12)</f>
        <v>-3421.3338552221358</v>
      </c>
      <c r="DY30" s="161">
        <f>-Expenses!$F4/12*(1+Expenses!$F$17)^((DY$1-1)/12)</f>
        <v>-3429.7717874902287</v>
      </c>
      <c r="DZ30" s="161">
        <f>-Expenses!$F4/12*(1+Expenses!$F$17)^((DZ$1-1)/12)</f>
        <v>-3438.2305299756158</v>
      </c>
      <c r="EA30" s="161">
        <f>-Expenses!$F4/12*(1+Expenses!$F$17)^((EA$1-1)/12)</f>
        <v>-3446.7101340019058</v>
      </c>
      <c r="EB30" s="161">
        <f>-Expenses!$F4/12*(1+Expenses!$F$17)^((EB$1-1)/12)</f>
        <v>-3455.2106510192871</v>
      </c>
      <c r="EC30" s="161">
        <f>-Expenses!$F4/12*(1+Expenses!$F$17)^((EC$1-1)/12)</f>
        <v>-3463.7321326048377</v>
      </c>
      <c r="ED30" s="161">
        <f>-Expenses!$F4/12*(1+Expenses!$F$17)^((ED$1-1)/12)</f>
        <v>-3472.2746304628376</v>
      </c>
      <c r="EE30" s="162">
        <f>-Expenses!$F4/12*(1+Expenses!$F$17)^((EE$1-1)/12)</f>
        <v>-3480.8381964250848</v>
      </c>
    </row>
    <row r="31" spans="1:135" x14ac:dyDescent="0.35">
      <c r="A31" s="168">
        <f>SUMIF($C$1:$EE$1,"&lt;="&amp;Summary!$K$19,'Monthly CF'!C31:EE31)</f>
        <v>-287611.49342340982</v>
      </c>
      <c r="B31" s="5" t="str">
        <f>Expenses!E5</f>
        <v>Marketing</v>
      </c>
      <c r="C31" s="160"/>
      <c r="D31" s="161">
        <f>-Expenses!$F5/12*(1+Expenses!$F$17)^((D$1-1)/12)</f>
        <v>-2062.5</v>
      </c>
      <c r="E31" s="161">
        <f>-Expenses!$F5/12*(1+Expenses!$F$17)^((E$1-1)/12)</f>
        <v>-2067.5866814053766</v>
      </c>
      <c r="F31" s="161">
        <f>-Expenses!$F5/12*(1+Expenses!$F$17)^((F$1-1)/12)</f>
        <v>-2072.6859079393435</v>
      </c>
      <c r="G31" s="161">
        <f>-Expenses!$F5/12*(1+Expenses!$F$17)^((G$1-1)/12)</f>
        <v>-2077.7977105415739</v>
      </c>
      <c r="H31" s="161">
        <f>-Expenses!$F5/12*(1+Expenses!$F$17)^((H$1-1)/12)</f>
        <v>-2082.9221202280446</v>
      </c>
      <c r="I31" s="161">
        <f>-Expenses!$F5/12*(1+Expenses!$F$17)^((I$1-1)/12)</f>
        <v>-2088.0591680912253</v>
      </c>
      <c r="J31" s="161">
        <f>-Expenses!$F5/12*(1+Expenses!$F$17)^((J$1-1)/12)</f>
        <v>-2093.2088853002701</v>
      </c>
      <c r="K31" s="161">
        <f>-Expenses!$F5/12*(1+Expenses!$F$17)^((K$1-1)/12)</f>
        <v>-2098.3713031012035</v>
      </c>
      <c r="L31" s="161">
        <f>-Expenses!$F5/12*(1+Expenses!$F$17)^((L$1-1)/12)</f>
        <v>-2103.5464528171115</v>
      </c>
      <c r="M31" s="161">
        <f>-Expenses!$F5/12*(1+Expenses!$F$17)^((M$1-1)/12)</f>
        <v>-2108.7343658483305</v>
      </c>
      <c r="N31" s="161">
        <f>-Expenses!$F5/12*(1+Expenses!$F$17)^((N$1-1)/12)</f>
        <v>-2113.9350736726401</v>
      </c>
      <c r="O31" s="161">
        <f>-Expenses!$F5/12*(1+Expenses!$F$17)^((O$1-1)/12)</f>
        <v>-2119.1486078454514</v>
      </c>
      <c r="P31" s="161">
        <f>-Expenses!$F5/12*(1+Expenses!$F$17)^((P$1-1)/12)</f>
        <v>-2124.375</v>
      </c>
      <c r="Q31" s="161">
        <f>-Expenses!$F5/12*(1+Expenses!$F$17)^((Q$1-1)/12)</f>
        <v>-2129.6142818475378</v>
      </c>
      <c r="R31" s="161">
        <f>-Expenses!$F5/12*(1+Expenses!$F$17)^((R$1-1)/12)</f>
        <v>-2134.8664851775243</v>
      </c>
      <c r="S31" s="161">
        <f>-Expenses!$F5/12*(1+Expenses!$F$17)^((S$1-1)/12)</f>
        <v>-2140.1316418578217</v>
      </c>
      <c r="T31" s="161">
        <f>-Expenses!$F5/12*(1+Expenses!$F$17)^((T$1-1)/12)</f>
        <v>-2145.4097838348857</v>
      </c>
      <c r="U31" s="161">
        <f>-Expenses!$F5/12*(1+Expenses!$F$17)^((U$1-1)/12)</f>
        <v>-2150.7009431339625</v>
      </c>
      <c r="V31" s="161">
        <f>-Expenses!$F5/12*(1+Expenses!$F$17)^((V$1-1)/12)</f>
        <v>-2156.0051518592786</v>
      </c>
      <c r="W31" s="161">
        <f>-Expenses!$F5/12*(1+Expenses!$F$17)^((W$1-1)/12)</f>
        <v>-2161.32244219424</v>
      </c>
      <c r="X31" s="161">
        <f>-Expenses!$F5/12*(1+Expenses!$F$17)^((X$1-1)/12)</f>
        <v>-2166.6528464016246</v>
      </c>
      <c r="Y31" s="161">
        <f>-Expenses!$F5/12*(1+Expenses!$F$17)^((Y$1-1)/12)</f>
        <v>-2171.9963968237807</v>
      </c>
      <c r="Z31" s="161">
        <f>-Expenses!$F5/12*(1+Expenses!$F$17)^((Z$1-1)/12)</f>
        <v>-2177.3531258828198</v>
      </c>
      <c r="AA31" s="161">
        <f>-Expenses!$F5/12*(1+Expenses!$F$17)^((AA$1-1)/12)</f>
        <v>-2182.723066080815</v>
      </c>
      <c r="AB31" s="161">
        <f>-Expenses!$F5/12*(1+Expenses!$F$17)^((AB$1-1)/12)</f>
        <v>-2188.1062499999998</v>
      </c>
      <c r="AC31" s="161">
        <f>-Expenses!$F5/12*(1+Expenses!$F$17)^((AC$1-1)/12)</f>
        <v>-2193.5027103029634</v>
      </c>
      <c r="AD31" s="161">
        <f>-Expenses!$F5/12*(1+Expenses!$F$17)^((AD$1-1)/12)</f>
        <v>-2198.91247973285</v>
      </c>
      <c r="AE31" s="161">
        <f>-Expenses!$F5/12*(1+Expenses!$F$17)^((AE$1-1)/12)</f>
        <v>-2204.3355911135559</v>
      </c>
      <c r="AF31" s="161">
        <f>-Expenses!$F5/12*(1+Expenses!$F$17)^((AF$1-1)/12)</f>
        <v>-2209.7720773499327</v>
      </c>
      <c r="AG31" s="161">
        <f>-Expenses!$F5/12*(1+Expenses!$F$17)^((AG$1-1)/12)</f>
        <v>-2215.2219714279813</v>
      </c>
      <c r="AH31" s="161">
        <f>-Expenses!$F5/12*(1+Expenses!$F$17)^((AH$1-1)/12)</f>
        <v>-2220.6853064150569</v>
      </c>
      <c r="AI31" s="161">
        <f>-Expenses!$F5/12*(1+Expenses!$F$17)^((AI$1-1)/12)</f>
        <v>-2226.1621154600671</v>
      </c>
      <c r="AJ31" s="161">
        <f>-Expenses!$F5/12*(1+Expenses!$F$17)^((AJ$1-1)/12)</f>
        <v>-2231.6524317936737</v>
      </c>
      <c r="AK31" s="161">
        <f>-Expenses!$F5/12*(1+Expenses!$F$17)^((AK$1-1)/12)</f>
        <v>-2237.156288728494</v>
      </c>
      <c r="AL31" s="161">
        <f>-Expenses!$F5/12*(1+Expenses!$F$17)^((AL$1-1)/12)</f>
        <v>-2242.6737196593044</v>
      </c>
      <c r="AM31" s="161">
        <f>-Expenses!$F5/12*(1+Expenses!$F$17)^((AM$1-1)/12)</f>
        <v>-2248.2047580632398</v>
      </c>
      <c r="AN31" s="161">
        <f>-Expenses!$F5/12*(1+Expenses!$F$17)^((AN$1-1)/12)</f>
        <v>-2253.7494375000001</v>
      </c>
      <c r="AO31" s="161">
        <f>-Expenses!$F5/12*(1+Expenses!$F$17)^((AO$1-1)/12)</f>
        <v>-2259.3077916120528</v>
      </c>
      <c r="AP31" s="161">
        <f>-Expenses!$F5/12*(1+Expenses!$F$17)^((AP$1-1)/12)</f>
        <v>-2264.8798541248352</v>
      </c>
      <c r="AQ31" s="161">
        <f>-Expenses!$F5/12*(1+Expenses!$F$17)^((AQ$1-1)/12)</f>
        <v>-2270.4656588469629</v>
      </c>
      <c r="AR31" s="161">
        <f>-Expenses!$F5/12*(1+Expenses!$F$17)^((AR$1-1)/12)</f>
        <v>-2276.0652396704309</v>
      </c>
      <c r="AS31" s="161">
        <f>-Expenses!$F5/12*(1+Expenses!$F$17)^((AS$1-1)/12)</f>
        <v>-2281.6786305708206</v>
      </c>
      <c r="AT31" s="161">
        <f>-Expenses!$F5/12*(1+Expenses!$F$17)^((AT$1-1)/12)</f>
        <v>-2287.3058656075086</v>
      </c>
      <c r="AU31" s="161">
        <f>-Expenses!$F5/12*(1+Expenses!$F$17)^((AU$1-1)/12)</f>
        <v>-2292.9469789238692</v>
      </c>
      <c r="AV31" s="161">
        <f>-Expenses!$F5/12*(1+Expenses!$F$17)^((AV$1-1)/12)</f>
        <v>-2298.602004747484</v>
      </c>
      <c r="AW31" s="161">
        <f>-Expenses!$F5/12*(1+Expenses!$F$17)^((AW$1-1)/12)</f>
        <v>-2304.2709773903493</v>
      </c>
      <c r="AX31" s="161">
        <f>-Expenses!$F5/12*(1+Expenses!$F$17)^((AX$1-1)/12)</f>
        <v>-2309.9539312490838</v>
      </c>
      <c r="AY31" s="161">
        <f>-Expenses!$F5/12*(1+Expenses!$F$17)^((AY$1-1)/12)</f>
        <v>-2315.6509008051371</v>
      </c>
      <c r="AZ31" s="161">
        <f>-Expenses!$F5/12*(1+Expenses!$F$17)^((AZ$1-1)/12)</f>
        <v>-2321.361920625</v>
      </c>
      <c r="BA31" s="161">
        <f>-Expenses!$F5/12*(1+Expenses!$F$17)^((BA$1-1)/12)</f>
        <v>-2327.0870253604144</v>
      </c>
      <c r="BB31" s="161">
        <f>-Expenses!$F5/12*(1+Expenses!$F$17)^((BB$1-1)/12)</f>
        <v>-2332.8262497485803</v>
      </c>
      <c r="BC31" s="161">
        <f>-Expenses!$F5/12*(1+Expenses!$F$17)^((BC$1-1)/12)</f>
        <v>-2338.5796286123718</v>
      </c>
      <c r="BD31" s="161">
        <f>-Expenses!$F5/12*(1+Expenses!$F$17)^((BD$1-1)/12)</f>
        <v>-2344.3471968605436</v>
      </c>
      <c r="BE31" s="161">
        <f>-Expenses!$F5/12*(1+Expenses!$F$17)^((BE$1-1)/12)</f>
        <v>-2350.1289894879451</v>
      </c>
      <c r="BF31" s="161">
        <f>-Expenses!$F5/12*(1+Expenses!$F$17)^((BF$1-1)/12)</f>
        <v>-2355.9250415757342</v>
      </c>
      <c r="BG31" s="161">
        <f>-Expenses!$F5/12*(1+Expenses!$F$17)^((BG$1-1)/12)</f>
        <v>-2361.7353882915854</v>
      </c>
      <c r="BH31" s="161">
        <f>-Expenses!$F5/12*(1+Expenses!$F$17)^((BH$1-1)/12)</f>
        <v>-2367.5600648899085</v>
      </c>
      <c r="BI31" s="161">
        <f>-Expenses!$F5/12*(1+Expenses!$F$17)^((BI$1-1)/12)</f>
        <v>-2373.3991067120596</v>
      </c>
      <c r="BJ31" s="161">
        <f>-Expenses!$F5/12*(1+Expenses!$F$17)^((BJ$1-1)/12)</f>
        <v>-2379.2525491865563</v>
      </c>
      <c r="BK31" s="161">
        <f>-Expenses!$F5/12*(1+Expenses!$F$17)^((BK$1-1)/12)</f>
        <v>-2385.1204278292912</v>
      </c>
      <c r="BL31" s="161">
        <f>-Expenses!$F5/12*(1+Expenses!$F$17)^((BL$1-1)/12)</f>
        <v>-2391.0027782437496</v>
      </c>
      <c r="BM31" s="161">
        <f>-Expenses!$F5/12*(1+Expenses!$F$17)^((BM$1-1)/12)</f>
        <v>-2396.8996361212266</v>
      </c>
      <c r="BN31" s="161">
        <f>-Expenses!$F5/12*(1+Expenses!$F$17)^((BN$1-1)/12)</f>
        <v>-2402.8110372410379</v>
      </c>
      <c r="BO31" s="161">
        <f>-Expenses!$F5/12*(1+Expenses!$F$17)^((BO$1-1)/12)</f>
        <v>-2408.737017470743</v>
      </c>
      <c r="BP31" s="161">
        <f>-Expenses!$F5/12*(1+Expenses!$F$17)^((BP$1-1)/12)</f>
        <v>-2414.6776127663597</v>
      </c>
      <c r="BQ31" s="161">
        <f>-Expenses!$F5/12*(1+Expenses!$F$17)^((BQ$1-1)/12)</f>
        <v>-2420.6328591725837</v>
      </c>
      <c r="BR31" s="161">
        <f>-Expenses!$F5/12*(1+Expenses!$F$17)^((BR$1-1)/12)</f>
        <v>-2426.602792823006</v>
      </c>
      <c r="BS31" s="161">
        <f>-Expenses!$F5/12*(1+Expenses!$F$17)^((BS$1-1)/12)</f>
        <v>-2432.5874499403326</v>
      </c>
      <c r="BT31" s="161">
        <f>-Expenses!$F5/12*(1+Expenses!$F$17)^((BT$1-1)/12)</f>
        <v>-2438.5868668366061</v>
      </c>
      <c r="BU31" s="161">
        <f>-Expenses!$F5/12*(1+Expenses!$F$17)^((BU$1-1)/12)</f>
        <v>-2444.6010799134215</v>
      </c>
      <c r="BV31" s="161">
        <f>-Expenses!$F5/12*(1+Expenses!$F$17)^((BV$1-1)/12)</f>
        <v>-2450.6301256621528</v>
      </c>
      <c r="BW31" s="161">
        <f>-Expenses!$F5/12*(1+Expenses!$F$17)^((BW$1-1)/12)</f>
        <v>-2456.6740406641698</v>
      </c>
      <c r="BX31" s="161">
        <f>-Expenses!$F5/12*(1+Expenses!$F$17)^((BX$1-1)/12)</f>
        <v>-2462.7328615910624</v>
      </c>
      <c r="BY31" s="161">
        <f>-Expenses!$F5/12*(1+Expenses!$F$17)^((BY$1-1)/12)</f>
        <v>-2468.8066252048634</v>
      </c>
      <c r="BZ31" s="161">
        <f>-Expenses!$F5/12*(1+Expenses!$F$17)^((BZ$1-1)/12)</f>
        <v>-2474.8953683582695</v>
      </c>
      <c r="CA31" s="161">
        <f>-Expenses!$F5/12*(1+Expenses!$F$17)^((CA$1-1)/12)</f>
        <v>-2480.9991279948654</v>
      </c>
      <c r="CB31" s="161">
        <f>-Expenses!$F5/12*(1+Expenses!$F$17)^((CB$1-1)/12)</f>
        <v>-2487.1179411493508</v>
      </c>
      <c r="CC31" s="161">
        <f>-Expenses!$F5/12*(1+Expenses!$F$17)^((CC$1-1)/12)</f>
        <v>-2493.2518449477616</v>
      </c>
      <c r="CD31" s="161">
        <f>-Expenses!$F5/12*(1+Expenses!$F$17)^((CD$1-1)/12)</f>
        <v>-2499.4008766076963</v>
      </c>
      <c r="CE31" s="161">
        <f>-Expenses!$F5/12*(1+Expenses!$F$17)^((CE$1-1)/12)</f>
        <v>-2505.5650734385431</v>
      </c>
      <c r="CF31" s="161">
        <f>-Expenses!$F5/12*(1+Expenses!$F$17)^((CF$1-1)/12)</f>
        <v>-2511.744472841704</v>
      </c>
      <c r="CG31" s="161">
        <f>-Expenses!$F5/12*(1+Expenses!$F$17)^((CG$1-1)/12)</f>
        <v>-2517.9391123108244</v>
      </c>
      <c r="CH31" s="161">
        <f>-Expenses!$F5/12*(1+Expenses!$F$17)^((CH$1-1)/12)</f>
        <v>-2524.1490294320174</v>
      </c>
      <c r="CI31" s="161">
        <f>-Expenses!$F5/12*(1+Expenses!$F$17)^((CI$1-1)/12)</f>
        <v>-2530.3742618840952</v>
      </c>
      <c r="CJ31" s="161">
        <f>-Expenses!$F5/12*(1+Expenses!$F$17)^((CJ$1-1)/12)</f>
        <v>-2536.6148474387942</v>
      </c>
      <c r="CK31" s="161">
        <f>-Expenses!$F5/12*(1+Expenses!$F$17)^((CK$1-1)/12)</f>
        <v>-2542.8708239610096</v>
      </c>
      <c r="CL31" s="161">
        <f>-Expenses!$F5/12*(1+Expenses!$F$17)^((CL$1-1)/12)</f>
        <v>-2549.1422294090175</v>
      </c>
      <c r="CM31" s="161">
        <f>-Expenses!$F5/12*(1+Expenses!$F$17)^((CM$1-1)/12)</f>
        <v>-2555.4291018347117</v>
      </c>
      <c r="CN31" s="161">
        <f>-Expenses!$F5/12*(1+Expenses!$F$17)^((CN$1-1)/12)</f>
        <v>-2561.7314793838314</v>
      </c>
      <c r="CO31" s="161">
        <f>-Expenses!$F5/12*(1+Expenses!$F$17)^((CO$1-1)/12)</f>
        <v>-2568.0494002961946</v>
      </c>
      <c r="CP31" s="161">
        <f>-Expenses!$F5/12*(1+Expenses!$F$17)^((CP$1-1)/12)</f>
        <v>-2574.382902905927</v>
      </c>
      <c r="CQ31" s="161">
        <f>-Expenses!$F5/12*(1+Expenses!$F$17)^((CQ$1-1)/12)</f>
        <v>-2580.7320256416992</v>
      </c>
      <c r="CR31" s="161">
        <f>-Expenses!$F5/12*(1+Expenses!$F$17)^((CR$1-1)/12)</f>
        <v>-2587.096807026955</v>
      </c>
      <c r="CS31" s="161">
        <f>-Expenses!$F5/12*(1+Expenses!$F$17)^((CS$1-1)/12)</f>
        <v>-2593.4772856801492</v>
      </c>
      <c r="CT31" s="161">
        <f>-Expenses!$F5/12*(1+Expenses!$F$17)^((CT$1-1)/12)</f>
        <v>-2599.8735003149777</v>
      </c>
      <c r="CU31" s="161">
        <f>-Expenses!$F5/12*(1+Expenses!$F$17)^((CU$1-1)/12)</f>
        <v>-2606.2854897406178</v>
      </c>
      <c r="CV31" s="161">
        <f>-Expenses!$F5/12*(1+Expenses!$F$17)^((CV$1-1)/12)</f>
        <v>-2612.7132928619581</v>
      </c>
      <c r="CW31" s="161">
        <f>-Expenses!$F5/12*(1+Expenses!$F$17)^((CW$1-1)/12)</f>
        <v>-2619.1569486798403</v>
      </c>
      <c r="CX31" s="161">
        <f>-Expenses!$F5/12*(1+Expenses!$F$17)^((CX$1-1)/12)</f>
        <v>-2625.6164962912881</v>
      </c>
      <c r="CY31" s="161">
        <f>-Expenses!$F5/12*(1+Expenses!$F$17)^((CY$1-1)/12)</f>
        <v>-2632.0919748897531</v>
      </c>
      <c r="CZ31" s="161">
        <f>-Expenses!$F5/12*(1+Expenses!$F$17)^((CZ$1-1)/12)</f>
        <v>-2638.5834237653467</v>
      </c>
      <c r="DA31" s="161">
        <f>-Expenses!$F5/12*(1+Expenses!$F$17)^((DA$1-1)/12)</f>
        <v>-2645.09088230508</v>
      </c>
      <c r="DB31" s="161">
        <f>-Expenses!$F5/12*(1+Expenses!$F$17)^((DB$1-1)/12)</f>
        <v>-2651.6143899931053</v>
      </c>
      <c r="DC31" s="161">
        <f>-Expenses!$F5/12*(1+Expenses!$F$17)^((DC$1-1)/12)</f>
        <v>-2658.1539864109504</v>
      </c>
      <c r="DD31" s="161">
        <f>-Expenses!$F5/12*(1+Expenses!$F$17)^((DD$1-1)/12)</f>
        <v>-2664.7097112377642</v>
      </c>
      <c r="DE31" s="161">
        <f>-Expenses!$F5/12*(1+Expenses!$F$17)^((DE$1-1)/12)</f>
        <v>-2671.2816042505538</v>
      </c>
      <c r="DF31" s="161">
        <f>-Expenses!$F5/12*(1+Expenses!$F$17)^((DF$1-1)/12)</f>
        <v>-2677.8697053244273</v>
      </c>
      <c r="DG31" s="161">
        <f>-Expenses!$F5/12*(1+Expenses!$F$17)^((DG$1-1)/12)</f>
        <v>-2684.4740544328365</v>
      </c>
      <c r="DH31" s="161">
        <f>-Expenses!$F5/12*(1+Expenses!$F$17)^((DH$1-1)/12)</f>
        <v>-2691.0946916478165</v>
      </c>
      <c r="DI31" s="161">
        <f>-Expenses!$F5/12*(1+Expenses!$F$17)^((DI$1-1)/12)</f>
        <v>-2697.7316571402353</v>
      </c>
      <c r="DJ31" s="161">
        <f>-Expenses!$F5/12*(1+Expenses!$F$17)^((DJ$1-1)/12)</f>
        <v>-2704.3849911800266</v>
      </c>
      <c r="DK31" s="161">
        <f>-Expenses!$F5/12*(1+Expenses!$F$17)^((DK$1-1)/12)</f>
        <v>-2711.0547341364454</v>
      </c>
      <c r="DL31" s="161">
        <f>-Expenses!$F5/12*(1+Expenses!$F$17)^((DL$1-1)/12)</f>
        <v>-2717.7409264783068</v>
      </c>
      <c r="DM31" s="161">
        <f>-Expenses!$F5/12*(1+Expenses!$F$17)^((DM$1-1)/12)</f>
        <v>-2724.4436087742329</v>
      </c>
      <c r="DN31" s="161">
        <f>-Expenses!$F5/12*(1+Expenses!$F$17)^((DN$1-1)/12)</f>
        <v>-2731.1628216928984</v>
      </c>
      <c r="DO31" s="161">
        <f>-Expenses!$F5/12*(1+Expenses!$F$17)^((DO$1-1)/12)</f>
        <v>-2737.8986060032789</v>
      </c>
      <c r="DP31" s="161">
        <f>-Expenses!$F5/12*(1+Expenses!$F$17)^((DP$1-1)/12)</f>
        <v>-2744.6510025748971</v>
      </c>
      <c r="DQ31" s="161">
        <f>-Expenses!$F5/12*(1+Expenses!$F$17)^((DQ$1-1)/12)</f>
        <v>-2751.4200523780701</v>
      </c>
      <c r="DR31" s="161">
        <f>-Expenses!$F5/12*(1+Expenses!$F$17)^((DR$1-1)/12)</f>
        <v>-2758.2057964841606</v>
      </c>
      <c r="DS31" s="161">
        <f>-Expenses!$F5/12*(1+Expenses!$F$17)^((DS$1-1)/12)</f>
        <v>-2765.0082760658215</v>
      </c>
      <c r="DT31" s="161">
        <f>-Expenses!$F5/12*(1+Expenses!$F$17)^((DT$1-1)/12)</f>
        <v>-2771.8275323972512</v>
      </c>
      <c r="DU31" s="161">
        <f>-Expenses!$F5/12*(1+Expenses!$F$17)^((DU$1-1)/12)</f>
        <v>-2778.6636068544426</v>
      </c>
      <c r="DV31" s="161">
        <f>-Expenses!$F5/12*(1+Expenses!$F$17)^((DV$1-1)/12)</f>
        <v>-2785.5165409154279</v>
      </c>
      <c r="DW31" s="161">
        <f>-Expenses!$F5/12*(1+Expenses!$F$17)^((DW$1-1)/12)</f>
        <v>-2792.3863761605389</v>
      </c>
      <c r="DX31" s="161">
        <f>-Expenses!$F5/12*(1+Expenses!$F$17)^((DX$1-1)/12)</f>
        <v>-2799.2731542726565</v>
      </c>
      <c r="DY31" s="161">
        <f>-Expenses!$F5/12*(1+Expenses!$F$17)^((DY$1-1)/12)</f>
        <v>-2806.1769170374596</v>
      </c>
      <c r="DZ31" s="161">
        <f>-Expenses!$F5/12*(1+Expenses!$F$17)^((DZ$1-1)/12)</f>
        <v>-2813.0977063436853</v>
      </c>
      <c r="EA31" s="161">
        <f>-Expenses!$F5/12*(1+Expenses!$F$17)^((EA$1-1)/12)</f>
        <v>-2820.0355641833776</v>
      </c>
      <c r="EB31" s="161">
        <f>-Expenses!$F5/12*(1+Expenses!$F$17)^((EB$1-1)/12)</f>
        <v>-2826.9905326521439</v>
      </c>
      <c r="EC31" s="161">
        <f>-Expenses!$F5/12*(1+Expenses!$F$17)^((EC$1-1)/12)</f>
        <v>-2833.9626539494125</v>
      </c>
      <c r="ED31" s="161">
        <f>-Expenses!$F5/12*(1+Expenses!$F$17)^((ED$1-1)/12)</f>
        <v>-2840.951970378685</v>
      </c>
      <c r="EE31" s="162">
        <f>-Expenses!$F5/12*(1+Expenses!$F$17)^((EE$1-1)/12)</f>
        <v>-2847.9585243477968</v>
      </c>
    </row>
    <row r="32" spans="1:135" x14ac:dyDescent="0.35">
      <c r="A32" s="168">
        <f>SUMIF($C$1:$EE$1,"&lt;="&amp;Summary!$K$19,'Monthly CF'!C32:EE32)</f>
        <v>-703050.31725722423</v>
      </c>
      <c r="B32" s="5" t="str">
        <f>Expenses!E6</f>
        <v>Repairs &amp; Maintenance</v>
      </c>
      <c r="C32" s="160"/>
      <c r="D32" s="161">
        <f>-Expenses!$F6/12*(1+Expenses!$F$17)^((D$1-1)/12)</f>
        <v>-5041.666666666667</v>
      </c>
      <c r="E32" s="161">
        <f>-Expenses!$F6/12*(1+Expenses!$F$17)^((E$1-1)/12)</f>
        <v>-5054.1007767686979</v>
      </c>
      <c r="F32" s="161">
        <f>-Expenses!$F6/12*(1+Expenses!$F$17)^((F$1-1)/12)</f>
        <v>-5066.5655527406179</v>
      </c>
      <c r="G32" s="161">
        <f>-Expenses!$F6/12*(1+Expenses!$F$17)^((G$1-1)/12)</f>
        <v>-5079.0610702127369</v>
      </c>
      <c r="H32" s="161">
        <f>-Expenses!$F6/12*(1+Expenses!$F$17)^((H$1-1)/12)</f>
        <v>-5091.5874050018865</v>
      </c>
      <c r="I32" s="161">
        <f>-Expenses!$F6/12*(1+Expenses!$F$17)^((I$1-1)/12)</f>
        <v>-5104.144633111885</v>
      </c>
      <c r="J32" s="161">
        <f>-Expenses!$F6/12*(1+Expenses!$F$17)^((J$1-1)/12)</f>
        <v>-5116.732830733994</v>
      </c>
      <c r="K32" s="161">
        <f>-Expenses!$F6/12*(1+Expenses!$F$17)^((K$1-1)/12)</f>
        <v>-5129.3520742473866</v>
      </c>
      <c r="L32" s="161">
        <f>-Expenses!$F6/12*(1+Expenses!$F$17)^((L$1-1)/12)</f>
        <v>-5142.0024402196059</v>
      </c>
      <c r="M32" s="161">
        <f>-Expenses!$F6/12*(1+Expenses!$F$17)^((M$1-1)/12)</f>
        <v>-5154.6840054070308</v>
      </c>
      <c r="N32" s="161">
        <f>-Expenses!$F6/12*(1+Expenses!$F$17)^((N$1-1)/12)</f>
        <v>-5167.3968467553432</v>
      </c>
      <c r="O32" s="161">
        <f>-Expenses!$F6/12*(1+Expenses!$F$17)^((O$1-1)/12)</f>
        <v>-5180.1410413999929</v>
      </c>
      <c r="P32" s="161">
        <f>-Expenses!$F6/12*(1+Expenses!$F$17)^((P$1-1)/12)</f>
        <v>-5192.916666666667</v>
      </c>
      <c r="Q32" s="161">
        <f>-Expenses!$F6/12*(1+Expenses!$F$17)^((Q$1-1)/12)</f>
        <v>-5205.7238000717589</v>
      </c>
      <c r="R32" s="161">
        <f>-Expenses!$F6/12*(1+Expenses!$F$17)^((R$1-1)/12)</f>
        <v>-5218.562519322837</v>
      </c>
      <c r="S32" s="161">
        <f>-Expenses!$F6/12*(1+Expenses!$F$17)^((S$1-1)/12)</f>
        <v>-5231.4329023191194</v>
      </c>
      <c r="T32" s="161">
        <f>-Expenses!$F6/12*(1+Expenses!$F$17)^((T$1-1)/12)</f>
        <v>-5244.3350271519439</v>
      </c>
      <c r="U32" s="161">
        <f>-Expenses!$F6/12*(1+Expenses!$F$17)^((U$1-1)/12)</f>
        <v>-5257.2689721052411</v>
      </c>
      <c r="V32" s="161">
        <f>-Expenses!$F6/12*(1+Expenses!$F$17)^((V$1-1)/12)</f>
        <v>-5270.2348156560147</v>
      </c>
      <c r="W32" s="161">
        <f>-Expenses!$F6/12*(1+Expenses!$F$17)^((W$1-1)/12)</f>
        <v>-5283.2326364748096</v>
      </c>
      <c r="X32" s="161">
        <f>-Expenses!$F6/12*(1+Expenses!$F$17)^((X$1-1)/12)</f>
        <v>-5296.2625134261943</v>
      </c>
      <c r="Y32" s="161">
        <f>-Expenses!$F6/12*(1+Expenses!$F$17)^((Y$1-1)/12)</f>
        <v>-5309.3245255692418</v>
      </c>
      <c r="Z32" s="161">
        <f>-Expenses!$F6/12*(1+Expenses!$F$17)^((Z$1-1)/12)</f>
        <v>-5322.4187521580043</v>
      </c>
      <c r="AA32" s="161">
        <f>-Expenses!$F6/12*(1+Expenses!$F$17)^((AA$1-1)/12)</f>
        <v>-5335.5452726419926</v>
      </c>
      <c r="AB32" s="161">
        <f>-Expenses!$F6/12*(1+Expenses!$F$17)^((AB$1-1)/12)</f>
        <v>-5348.7041666666664</v>
      </c>
      <c r="AC32" s="161">
        <f>-Expenses!$F6/12*(1+Expenses!$F$17)^((AC$1-1)/12)</f>
        <v>-5361.8955140739108</v>
      </c>
      <c r="AD32" s="161">
        <f>-Expenses!$F6/12*(1+Expenses!$F$17)^((AD$1-1)/12)</f>
        <v>-5375.1193949025228</v>
      </c>
      <c r="AE32" s="161">
        <f>-Expenses!$F6/12*(1+Expenses!$F$17)^((AE$1-1)/12)</f>
        <v>-5388.3758893886925</v>
      </c>
      <c r="AF32" s="161">
        <f>-Expenses!$F6/12*(1+Expenses!$F$17)^((AF$1-1)/12)</f>
        <v>-5401.6650779665024</v>
      </c>
      <c r="AG32" s="161">
        <f>-Expenses!$F6/12*(1+Expenses!$F$17)^((AG$1-1)/12)</f>
        <v>-5414.9870412683986</v>
      </c>
      <c r="AH32" s="161">
        <f>-Expenses!$F6/12*(1+Expenses!$F$17)^((AH$1-1)/12)</f>
        <v>-5428.3418601256944</v>
      </c>
      <c r="AI32" s="161">
        <f>-Expenses!$F6/12*(1+Expenses!$F$17)^((AI$1-1)/12)</f>
        <v>-5441.7296155690528</v>
      </c>
      <c r="AJ32" s="161">
        <f>-Expenses!$F6/12*(1+Expenses!$F$17)^((AJ$1-1)/12)</f>
        <v>-5455.1503888289808</v>
      </c>
      <c r="AK32" s="161">
        <f>-Expenses!$F6/12*(1+Expenses!$F$17)^((AK$1-1)/12)</f>
        <v>-5468.6042613363197</v>
      </c>
      <c r="AL32" s="161">
        <f>-Expenses!$F6/12*(1+Expenses!$F$17)^((AL$1-1)/12)</f>
        <v>-5482.0913147227438</v>
      </c>
      <c r="AM32" s="161">
        <f>-Expenses!$F6/12*(1+Expenses!$F$17)^((AM$1-1)/12)</f>
        <v>-5495.6116308212531</v>
      </c>
      <c r="AN32" s="161">
        <f>-Expenses!$F6/12*(1+Expenses!$F$17)^((AN$1-1)/12)</f>
        <v>-5509.1652916666671</v>
      </c>
      <c r="AO32" s="161">
        <f>-Expenses!$F6/12*(1+Expenses!$F$17)^((AO$1-1)/12)</f>
        <v>-5522.7523794961289</v>
      </c>
      <c r="AP32" s="161">
        <f>-Expenses!$F6/12*(1+Expenses!$F$17)^((AP$1-1)/12)</f>
        <v>-5536.3729767495979</v>
      </c>
      <c r="AQ32" s="161">
        <f>-Expenses!$F6/12*(1+Expenses!$F$17)^((AQ$1-1)/12)</f>
        <v>-5550.0271660703538</v>
      </c>
      <c r="AR32" s="161">
        <f>-Expenses!$F6/12*(1+Expenses!$F$17)^((AR$1-1)/12)</f>
        <v>-5563.7150303054977</v>
      </c>
      <c r="AS32" s="161">
        <f>-Expenses!$F6/12*(1+Expenses!$F$17)^((AS$1-1)/12)</f>
        <v>-5577.4366525064506</v>
      </c>
      <c r="AT32" s="161">
        <f>-Expenses!$F6/12*(1+Expenses!$F$17)^((AT$1-1)/12)</f>
        <v>-5591.1921159294661</v>
      </c>
      <c r="AU32" s="161">
        <f>-Expenses!$F6/12*(1+Expenses!$F$17)^((AU$1-1)/12)</f>
        <v>-5604.9815040361245</v>
      </c>
      <c r="AV32" s="161">
        <f>-Expenses!$F6/12*(1+Expenses!$F$17)^((AV$1-1)/12)</f>
        <v>-5618.8049004938503</v>
      </c>
      <c r="AW32" s="161">
        <f>-Expenses!$F6/12*(1+Expenses!$F$17)^((AW$1-1)/12)</f>
        <v>-5632.6623891764093</v>
      </c>
      <c r="AX32" s="161">
        <f>-Expenses!$F6/12*(1+Expenses!$F$17)^((AX$1-1)/12)</f>
        <v>-5646.5540541644268</v>
      </c>
      <c r="AY32" s="161">
        <f>-Expenses!$F6/12*(1+Expenses!$F$17)^((AY$1-1)/12)</f>
        <v>-5660.4799797458909</v>
      </c>
      <c r="AZ32" s="161">
        <f>-Expenses!$F6/12*(1+Expenses!$F$17)^((AZ$1-1)/12)</f>
        <v>-5674.4402504166665</v>
      </c>
      <c r="BA32" s="161">
        <f>-Expenses!$F6/12*(1+Expenses!$F$17)^((BA$1-1)/12)</f>
        <v>-5688.4349508810128</v>
      </c>
      <c r="BB32" s="161">
        <f>-Expenses!$F6/12*(1+Expenses!$F$17)^((BB$1-1)/12)</f>
        <v>-5702.4641660520856</v>
      </c>
      <c r="BC32" s="161">
        <f>-Expenses!$F6/12*(1+Expenses!$F$17)^((BC$1-1)/12)</f>
        <v>-5716.5279810524653</v>
      </c>
      <c r="BD32" s="161">
        <f>-Expenses!$F6/12*(1+Expenses!$F$17)^((BD$1-1)/12)</f>
        <v>-5730.6264812146619</v>
      </c>
      <c r="BE32" s="161">
        <f>-Expenses!$F6/12*(1+Expenses!$F$17)^((BE$1-1)/12)</f>
        <v>-5744.7597520816444</v>
      </c>
      <c r="BF32" s="161">
        <f>-Expenses!$F6/12*(1+Expenses!$F$17)^((BF$1-1)/12)</f>
        <v>-5758.9278794073498</v>
      </c>
      <c r="BG32" s="161">
        <f>-Expenses!$F6/12*(1+Expenses!$F$17)^((BG$1-1)/12)</f>
        <v>-5773.1309491572092</v>
      </c>
      <c r="BH32" s="161">
        <f>-Expenses!$F6/12*(1+Expenses!$F$17)^((BH$1-1)/12)</f>
        <v>-5787.3690475086651</v>
      </c>
      <c r="BI32" s="161">
        <f>-Expenses!$F6/12*(1+Expenses!$F$17)^((BI$1-1)/12)</f>
        <v>-5801.6422608517014</v>
      </c>
      <c r="BJ32" s="161">
        <f>-Expenses!$F6/12*(1+Expenses!$F$17)^((BJ$1-1)/12)</f>
        <v>-5815.9506757893596</v>
      </c>
      <c r="BK32" s="161">
        <f>-Expenses!$F6/12*(1+Expenses!$F$17)^((BK$1-1)/12)</f>
        <v>-5830.2943791382677</v>
      </c>
      <c r="BL32" s="161">
        <f>-Expenses!$F6/12*(1+Expenses!$F$17)^((BL$1-1)/12)</f>
        <v>-5844.673457929166</v>
      </c>
      <c r="BM32" s="161">
        <f>-Expenses!$F6/12*(1+Expenses!$F$17)^((BM$1-1)/12)</f>
        <v>-5859.0879994074439</v>
      </c>
      <c r="BN32" s="161">
        <f>-Expenses!$F6/12*(1+Expenses!$F$17)^((BN$1-1)/12)</f>
        <v>-5873.5380910336489</v>
      </c>
      <c r="BO32" s="161">
        <f>-Expenses!$F6/12*(1+Expenses!$F$17)^((BO$1-1)/12)</f>
        <v>-5888.0238204840389</v>
      </c>
      <c r="BP32" s="161">
        <f>-Expenses!$F6/12*(1+Expenses!$F$17)^((BP$1-1)/12)</f>
        <v>-5902.5452756511022</v>
      </c>
      <c r="BQ32" s="161">
        <f>-Expenses!$F6/12*(1+Expenses!$F$17)^((BQ$1-1)/12)</f>
        <v>-5917.1025446440935</v>
      </c>
      <c r="BR32" s="161">
        <f>-Expenses!$F6/12*(1+Expenses!$F$17)^((BR$1-1)/12)</f>
        <v>-5931.6957157895713</v>
      </c>
      <c r="BS32" s="161">
        <f>-Expenses!$F6/12*(1+Expenses!$F$17)^((BS$1-1)/12)</f>
        <v>-5946.3248776319251</v>
      </c>
      <c r="BT32" s="161">
        <f>-Expenses!$F6/12*(1+Expenses!$F$17)^((BT$1-1)/12)</f>
        <v>-5960.9901189339262</v>
      </c>
      <c r="BU32" s="161">
        <f>-Expenses!$F6/12*(1+Expenses!$F$17)^((BU$1-1)/12)</f>
        <v>-5975.6915286772528</v>
      </c>
      <c r="BV32" s="161">
        <f>-Expenses!$F6/12*(1+Expenses!$F$17)^((BV$1-1)/12)</f>
        <v>-5990.4291960630408</v>
      </c>
      <c r="BW32" s="161">
        <f>-Expenses!$F6/12*(1+Expenses!$F$17)^((BW$1-1)/12)</f>
        <v>-6005.2032105124154</v>
      </c>
      <c r="BX32" s="161">
        <f>-Expenses!$F6/12*(1+Expenses!$F$17)^((BX$1-1)/12)</f>
        <v>-6020.0136616670416</v>
      </c>
      <c r="BY32" s="161">
        <f>-Expenses!$F6/12*(1+Expenses!$F$17)^((BY$1-1)/12)</f>
        <v>-6034.8606393896671</v>
      </c>
      <c r="BZ32" s="161">
        <f>-Expenses!$F6/12*(1+Expenses!$F$17)^((BZ$1-1)/12)</f>
        <v>-6049.7442337646589</v>
      </c>
      <c r="CA32" s="161">
        <f>-Expenses!$F6/12*(1+Expenses!$F$17)^((CA$1-1)/12)</f>
        <v>-6064.66453509856</v>
      </c>
      <c r="CB32" s="161">
        <f>-Expenses!$F6/12*(1+Expenses!$F$17)^((CB$1-1)/12)</f>
        <v>-6079.6216339206358</v>
      </c>
      <c r="CC32" s="161">
        <f>-Expenses!$F6/12*(1+Expenses!$F$17)^((CC$1-1)/12)</f>
        <v>-6094.615620983418</v>
      </c>
      <c r="CD32" s="161">
        <f>-Expenses!$F6/12*(1+Expenses!$F$17)^((CD$1-1)/12)</f>
        <v>-6109.6465872632589</v>
      </c>
      <c r="CE32" s="161">
        <f>-Expenses!$F6/12*(1+Expenses!$F$17)^((CE$1-1)/12)</f>
        <v>-6124.7146239608828</v>
      </c>
      <c r="CF32" s="161">
        <f>-Expenses!$F6/12*(1+Expenses!$F$17)^((CF$1-1)/12)</f>
        <v>-6139.8198225019441</v>
      </c>
      <c r="CG32" s="161">
        <f>-Expenses!$F6/12*(1+Expenses!$F$17)^((CG$1-1)/12)</f>
        <v>-6154.9622745375709</v>
      </c>
      <c r="CH32" s="161">
        <f>-Expenses!$F6/12*(1+Expenses!$F$17)^((CH$1-1)/12)</f>
        <v>-6170.1420719449316</v>
      </c>
      <c r="CI32" s="161">
        <f>-Expenses!$F6/12*(1+Expenses!$F$17)^((CI$1-1)/12)</f>
        <v>-6185.3593068277887</v>
      </c>
      <c r="CJ32" s="161">
        <f>-Expenses!$F6/12*(1+Expenses!$F$17)^((CJ$1-1)/12)</f>
        <v>-6200.6140715170532</v>
      </c>
      <c r="CK32" s="161">
        <f>-Expenses!$F6/12*(1+Expenses!$F$17)^((CK$1-1)/12)</f>
        <v>-6215.9064585713577</v>
      </c>
      <c r="CL32" s="161">
        <f>-Expenses!$F6/12*(1+Expenses!$F$17)^((CL$1-1)/12)</f>
        <v>-6231.2365607775982</v>
      </c>
      <c r="CM32" s="161">
        <f>-Expenses!$F6/12*(1+Expenses!$F$17)^((CM$1-1)/12)</f>
        <v>-6246.6044711515178</v>
      </c>
      <c r="CN32" s="161">
        <f>-Expenses!$F6/12*(1+Expenses!$F$17)^((CN$1-1)/12)</f>
        <v>-6262.0102829382549</v>
      </c>
      <c r="CO32" s="161">
        <f>-Expenses!$F6/12*(1+Expenses!$F$17)^((CO$1-1)/12)</f>
        <v>-6277.4540896129201</v>
      </c>
      <c r="CP32" s="161">
        <f>-Expenses!$F6/12*(1+Expenses!$F$17)^((CP$1-1)/12)</f>
        <v>-6292.9359848811555</v>
      </c>
      <c r="CQ32" s="161">
        <f>-Expenses!$F6/12*(1+Expenses!$F$17)^((CQ$1-1)/12)</f>
        <v>-6308.4560626797102</v>
      </c>
      <c r="CR32" s="161">
        <f>-Expenses!$F6/12*(1+Expenses!$F$17)^((CR$1-1)/12)</f>
        <v>-6324.0144171770016</v>
      </c>
      <c r="CS32" s="161">
        <f>-Expenses!$F6/12*(1+Expenses!$F$17)^((CS$1-1)/12)</f>
        <v>-6339.6111427736978</v>
      </c>
      <c r="CT32" s="161">
        <f>-Expenses!$F6/12*(1+Expenses!$F$17)^((CT$1-1)/12)</f>
        <v>-6355.246334103279</v>
      </c>
      <c r="CU32" s="161">
        <f>-Expenses!$F6/12*(1+Expenses!$F$17)^((CU$1-1)/12)</f>
        <v>-6370.9200860326218</v>
      </c>
      <c r="CV32" s="161">
        <f>-Expenses!$F6/12*(1+Expenses!$F$17)^((CV$1-1)/12)</f>
        <v>-6386.6324936625642</v>
      </c>
      <c r="CW32" s="161">
        <f>-Expenses!$F6/12*(1+Expenses!$F$17)^((CW$1-1)/12)</f>
        <v>-6402.383652328499</v>
      </c>
      <c r="CX32" s="161">
        <f>-Expenses!$F6/12*(1+Expenses!$F$17)^((CX$1-1)/12)</f>
        <v>-6418.1736576009271</v>
      </c>
      <c r="CY32" s="161">
        <f>-Expenses!$F6/12*(1+Expenses!$F$17)^((CY$1-1)/12)</f>
        <v>-6434.002605286064</v>
      </c>
      <c r="CZ32" s="161">
        <f>-Expenses!$F6/12*(1+Expenses!$F$17)^((CZ$1-1)/12)</f>
        <v>-6449.8705914264028</v>
      </c>
      <c r="DA32" s="161">
        <f>-Expenses!$F6/12*(1+Expenses!$F$17)^((DA$1-1)/12)</f>
        <v>-6465.7777123013075</v>
      </c>
      <c r="DB32" s="161">
        <f>-Expenses!$F6/12*(1+Expenses!$F$17)^((DB$1-1)/12)</f>
        <v>-6481.7240644275917</v>
      </c>
      <c r="DC32" s="161">
        <f>-Expenses!$F6/12*(1+Expenses!$F$17)^((DC$1-1)/12)</f>
        <v>-6497.7097445601012</v>
      </c>
      <c r="DD32" s="161">
        <f>-Expenses!$F6/12*(1+Expenses!$F$17)^((DD$1-1)/12)</f>
        <v>-6513.7348496923123</v>
      </c>
      <c r="DE32" s="161">
        <f>-Expenses!$F6/12*(1+Expenses!$F$17)^((DE$1-1)/12)</f>
        <v>-6529.7994770569103</v>
      </c>
      <c r="DF32" s="161">
        <f>-Expenses!$F6/12*(1+Expenses!$F$17)^((DF$1-1)/12)</f>
        <v>-6545.9037241263786</v>
      </c>
      <c r="DG32" s="161">
        <f>-Expenses!$F6/12*(1+Expenses!$F$17)^((DG$1-1)/12)</f>
        <v>-6562.0476886136003</v>
      </c>
      <c r="DH32" s="161">
        <f>-Expenses!$F6/12*(1+Expenses!$F$17)^((DH$1-1)/12)</f>
        <v>-6578.2314684724415</v>
      </c>
      <c r="DI32" s="161">
        <f>-Expenses!$F6/12*(1+Expenses!$F$17)^((DI$1-1)/12)</f>
        <v>-6594.4551618983542</v>
      </c>
      <c r="DJ32" s="161">
        <f>-Expenses!$F6/12*(1+Expenses!$F$17)^((DJ$1-1)/12)</f>
        <v>-6610.7188673289538</v>
      </c>
      <c r="DK32" s="161">
        <f>-Expenses!$F6/12*(1+Expenses!$F$17)^((DK$1-1)/12)</f>
        <v>-6627.0226834446448</v>
      </c>
      <c r="DL32" s="161">
        <f>-Expenses!$F6/12*(1+Expenses!$F$17)^((DL$1-1)/12)</f>
        <v>-6643.366709169195</v>
      </c>
      <c r="DM32" s="161">
        <f>-Expenses!$F6/12*(1+Expenses!$F$17)^((DM$1-1)/12)</f>
        <v>-6659.7510436703469</v>
      </c>
      <c r="DN32" s="161">
        <f>-Expenses!$F6/12*(1+Expenses!$F$17)^((DN$1-1)/12)</f>
        <v>-6676.1757863604189</v>
      </c>
      <c r="DO32" s="161">
        <f>-Expenses!$F6/12*(1+Expenses!$F$17)^((DO$1-1)/12)</f>
        <v>-6692.6410368969046</v>
      </c>
      <c r="DP32" s="161">
        <f>-Expenses!$F6/12*(1+Expenses!$F$17)^((DP$1-1)/12)</f>
        <v>-6709.1468951830821</v>
      </c>
      <c r="DQ32" s="161">
        <f>-Expenses!$F6/12*(1+Expenses!$F$17)^((DQ$1-1)/12)</f>
        <v>-6725.6934613686162</v>
      </c>
      <c r="DR32" s="161">
        <f>-Expenses!$F6/12*(1+Expenses!$F$17)^((DR$1-1)/12)</f>
        <v>-6742.2808358501707</v>
      </c>
      <c r="DS32" s="161">
        <f>-Expenses!$F6/12*(1+Expenses!$F$17)^((DS$1-1)/12)</f>
        <v>-6758.9091192720089</v>
      </c>
      <c r="DT32" s="161">
        <f>-Expenses!$F6/12*(1+Expenses!$F$17)^((DT$1-1)/12)</f>
        <v>-6775.5784125266146</v>
      </c>
      <c r="DU32" s="161">
        <f>-Expenses!$F6/12*(1+Expenses!$F$17)^((DU$1-1)/12)</f>
        <v>-6792.2888167553047</v>
      </c>
      <c r="DV32" s="161">
        <f>-Expenses!$F6/12*(1+Expenses!$F$17)^((DV$1-1)/12)</f>
        <v>-6809.0404333488241</v>
      </c>
      <c r="DW32" s="161">
        <f>-Expenses!$F6/12*(1+Expenses!$F$17)^((DW$1-1)/12)</f>
        <v>-6825.8333639479843</v>
      </c>
      <c r="DX32" s="161">
        <f>-Expenses!$F6/12*(1+Expenses!$F$17)^((DX$1-1)/12)</f>
        <v>-6842.6677104442715</v>
      </c>
      <c r="DY32" s="161">
        <f>-Expenses!$F6/12*(1+Expenses!$F$17)^((DY$1-1)/12)</f>
        <v>-6859.5435749804574</v>
      </c>
      <c r="DZ32" s="161">
        <f>-Expenses!$F6/12*(1+Expenses!$F$17)^((DZ$1-1)/12)</f>
        <v>-6876.4610599512316</v>
      </c>
      <c r="EA32" s="161">
        <f>-Expenses!$F6/12*(1+Expenses!$F$17)^((EA$1-1)/12)</f>
        <v>-6893.4202680038115</v>
      </c>
      <c r="EB32" s="161">
        <f>-Expenses!$F6/12*(1+Expenses!$F$17)^((EB$1-1)/12)</f>
        <v>-6910.4213020385741</v>
      </c>
      <c r="EC32" s="161">
        <f>-Expenses!$F6/12*(1+Expenses!$F$17)^((EC$1-1)/12)</f>
        <v>-6927.4642652096754</v>
      </c>
      <c r="ED32" s="161">
        <f>-Expenses!$F6/12*(1+Expenses!$F$17)^((ED$1-1)/12)</f>
        <v>-6944.5492609256753</v>
      </c>
      <c r="EE32" s="162">
        <f>-Expenses!$F6/12*(1+Expenses!$F$17)^((EE$1-1)/12)</f>
        <v>-6961.6763928501696</v>
      </c>
    </row>
    <row r="33" spans="1:135" x14ac:dyDescent="0.35">
      <c r="A33" s="168">
        <f>SUMIF($C$1:$EE$1,"&lt;="&amp;Summary!$K$19,'Monthly CF'!C33:EE33)</f>
        <v>-479352.48903901654</v>
      </c>
      <c r="B33" s="5" t="str">
        <f>Expenses!E7</f>
        <v>Turnover Costs</v>
      </c>
      <c r="C33" s="160"/>
      <c r="D33" s="161">
        <f>-Expenses!$F7/12*(1+Expenses!$F$17)^((D$1-1)/12)</f>
        <v>-3437.5</v>
      </c>
      <c r="E33" s="161">
        <f>-Expenses!$F7/12*(1+Expenses!$F$17)^((E$1-1)/12)</f>
        <v>-3445.9778023422941</v>
      </c>
      <c r="F33" s="161">
        <f>-Expenses!$F7/12*(1+Expenses!$F$17)^((F$1-1)/12)</f>
        <v>-3454.4765132322391</v>
      </c>
      <c r="G33" s="161">
        <f>-Expenses!$F7/12*(1+Expenses!$F$17)^((G$1-1)/12)</f>
        <v>-3462.9961842359567</v>
      </c>
      <c r="H33" s="161">
        <f>-Expenses!$F7/12*(1+Expenses!$F$17)^((H$1-1)/12)</f>
        <v>-3471.5368670467406</v>
      </c>
      <c r="I33" s="161">
        <f>-Expenses!$F7/12*(1+Expenses!$F$17)^((I$1-1)/12)</f>
        <v>-3480.0986134853756</v>
      </c>
      <c r="J33" s="161">
        <f>-Expenses!$F7/12*(1+Expenses!$F$17)^((J$1-1)/12)</f>
        <v>-3488.6814755004507</v>
      </c>
      <c r="K33" s="161">
        <f>-Expenses!$F7/12*(1+Expenses!$F$17)^((K$1-1)/12)</f>
        <v>-3497.2855051686724</v>
      </c>
      <c r="L33" s="161">
        <f>-Expenses!$F7/12*(1+Expenses!$F$17)^((L$1-1)/12)</f>
        <v>-3505.9107546951859</v>
      </c>
      <c r="M33" s="161">
        <f>-Expenses!$F7/12*(1+Expenses!$F$17)^((M$1-1)/12)</f>
        <v>-3514.5572764138847</v>
      </c>
      <c r="N33" s="161">
        <f>-Expenses!$F7/12*(1+Expenses!$F$17)^((N$1-1)/12)</f>
        <v>-3523.2251227877337</v>
      </c>
      <c r="O33" s="161">
        <f>-Expenses!$F7/12*(1+Expenses!$F$17)^((O$1-1)/12)</f>
        <v>-3531.9143464090857</v>
      </c>
      <c r="P33" s="161">
        <f>-Expenses!$F7/12*(1+Expenses!$F$17)^((P$1-1)/12)</f>
        <v>-3540.625</v>
      </c>
      <c r="Q33" s="161">
        <f>-Expenses!$F7/12*(1+Expenses!$F$17)^((Q$1-1)/12)</f>
        <v>-3549.3571364125628</v>
      </c>
      <c r="R33" s="161">
        <f>-Expenses!$F7/12*(1+Expenses!$F$17)^((R$1-1)/12)</f>
        <v>-3558.110808629207</v>
      </c>
      <c r="S33" s="161">
        <f>-Expenses!$F7/12*(1+Expenses!$F$17)^((S$1-1)/12)</f>
        <v>-3566.8860697630362</v>
      </c>
      <c r="T33" s="161">
        <f>-Expenses!$F7/12*(1+Expenses!$F$17)^((T$1-1)/12)</f>
        <v>-3575.682973058143</v>
      </c>
      <c r="U33" s="161">
        <f>-Expenses!$F7/12*(1+Expenses!$F$17)^((U$1-1)/12)</f>
        <v>-3584.5015718899372</v>
      </c>
      <c r="V33" s="161">
        <f>-Expenses!$F7/12*(1+Expenses!$F$17)^((V$1-1)/12)</f>
        <v>-3593.3419197654644</v>
      </c>
      <c r="W33" s="161">
        <f>-Expenses!$F7/12*(1+Expenses!$F$17)^((W$1-1)/12)</f>
        <v>-3602.2040703237335</v>
      </c>
      <c r="X33" s="161">
        <f>-Expenses!$F7/12*(1+Expenses!$F$17)^((X$1-1)/12)</f>
        <v>-3611.0880773360414</v>
      </c>
      <c r="Y33" s="161">
        <f>-Expenses!$F7/12*(1+Expenses!$F$17)^((Y$1-1)/12)</f>
        <v>-3619.9939947063012</v>
      </c>
      <c r="Z33" s="161">
        <f>-Expenses!$F7/12*(1+Expenses!$F$17)^((Z$1-1)/12)</f>
        <v>-3628.921876471366</v>
      </c>
      <c r="AA33" s="161">
        <f>-Expenses!$F7/12*(1+Expenses!$F$17)^((AA$1-1)/12)</f>
        <v>-3637.8717768013585</v>
      </c>
      <c r="AB33" s="161">
        <f>-Expenses!$F7/12*(1+Expenses!$F$17)^((AB$1-1)/12)</f>
        <v>-3646.84375</v>
      </c>
      <c r="AC33" s="161">
        <f>-Expenses!$F7/12*(1+Expenses!$F$17)^((AC$1-1)/12)</f>
        <v>-3655.8378505049391</v>
      </c>
      <c r="AD33" s="161">
        <f>-Expenses!$F7/12*(1+Expenses!$F$17)^((AD$1-1)/12)</f>
        <v>-3664.8541328880833</v>
      </c>
      <c r="AE33" s="161">
        <f>-Expenses!$F7/12*(1+Expenses!$F$17)^((AE$1-1)/12)</f>
        <v>-3673.8926518559265</v>
      </c>
      <c r="AF33" s="161">
        <f>-Expenses!$F7/12*(1+Expenses!$F$17)^((AF$1-1)/12)</f>
        <v>-3682.9534622498882</v>
      </c>
      <c r="AG33" s="161">
        <f>-Expenses!$F7/12*(1+Expenses!$F$17)^((AG$1-1)/12)</f>
        <v>-3692.0366190466352</v>
      </c>
      <c r="AH33" s="161">
        <f>-Expenses!$F7/12*(1+Expenses!$F$17)^((AH$1-1)/12)</f>
        <v>-3701.1421773584279</v>
      </c>
      <c r="AI33" s="161">
        <f>-Expenses!$F7/12*(1+Expenses!$F$17)^((AI$1-1)/12)</f>
        <v>-3710.2701924334451</v>
      </c>
      <c r="AJ33" s="161">
        <f>-Expenses!$F7/12*(1+Expenses!$F$17)^((AJ$1-1)/12)</f>
        <v>-3719.4207196561229</v>
      </c>
      <c r="AK33" s="161">
        <f>-Expenses!$F7/12*(1+Expenses!$F$17)^((AK$1-1)/12)</f>
        <v>-3728.5938145474902</v>
      </c>
      <c r="AL33" s="161">
        <f>-Expenses!$F7/12*(1+Expenses!$F$17)^((AL$1-1)/12)</f>
        <v>-3737.7895327655069</v>
      </c>
      <c r="AM33" s="161">
        <f>-Expenses!$F7/12*(1+Expenses!$F$17)^((AM$1-1)/12)</f>
        <v>-3747.0079301053997</v>
      </c>
      <c r="AN33" s="161">
        <f>-Expenses!$F7/12*(1+Expenses!$F$17)^((AN$1-1)/12)</f>
        <v>-3756.2490625</v>
      </c>
      <c r="AO33" s="161">
        <f>-Expenses!$F7/12*(1+Expenses!$F$17)^((AO$1-1)/12)</f>
        <v>-3765.5129860200877</v>
      </c>
      <c r="AP33" s="161">
        <f>-Expenses!$F7/12*(1+Expenses!$F$17)^((AP$1-1)/12)</f>
        <v>-3774.7997568747255</v>
      </c>
      <c r="AQ33" s="161">
        <f>-Expenses!$F7/12*(1+Expenses!$F$17)^((AQ$1-1)/12)</f>
        <v>-3784.1094314116049</v>
      </c>
      <c r="AR33" s="161">
        <f>-Expenses!$F7/12*(1+Expenses!$F$17)^((AR$1-1)/12)</f>
        <v>-3793.4420661173845</v>
      </c>
      <c r="AS33" s="161">
        <f>-Expenses!$F7/12*(1+Expenses!$F$17)^((AS$1-1)/12)</f>
        <v>-3802.7977176180343</v>
      </c>
      <c r="AT33" s="161">
        <f>-Expenses!$F7/12*(1+Expenses!$F$17)^((AT$1-1)/12)</f>
        <v>-3812.176442679181</v>
      </c>
      <c r="AU33" s="161">
        <f>-Expenses!$F7/12*(1+Expenses!$F$17)^((AU$1-1)/12)</f>
        <v>-3821.5782982064484</v>
      </c>
      <c r="AV33" s="161">
        <f>-Expenses!$F7/12*(1+Expenses!$F$17)^((AV$1-1)/12)</f>
        <v>-3831.003341245807</v>
      </c>
      <c r="AW33" s="161">
        <f>-Expenses!$F7/12*(1+Expenses!$F$17)^((AW$1-1)/12)</f>
        <v>-3840.4516289839153</v>
      </c>
      <c r="AX33" s="161">
        <f>-Expenses!$F7/12*(1+Expenses!$F$17)^((AX$1-1)/12)</f>
        <v>-3849.9232187484727</v>
      </c>
      <c r="AY33" s="161">
        <f>-Expenses!$F7/12*(1+Expenses!$F$17)^((AY$1-1)/12)</f>
        <v>-3859.4181680085617</v>
      </c>
      <c r="AZ33" s="161">
        <f>-Expenses!$F7/12*(1+Expenses!$F$17)^((AZ$1-1)/12)</f>
        <v>-3868.9365343749996</v>
      </c>
      <c r="BA33" s="161">
        <f>-Expenses!$F7/12*(1+Expenses!$F$17)^((BA$1-1)/12)</f>
        <v>-3878.4783756006905</v>
      </c>
      <c r="BB33" s="161">
        <f>-Expenses!$F7/12*(1+Expenses!$F$17)^((BB$1-1)/12)</f>
        <v>-3888.0437495809674</v>
      </c>
      <c r="BC33" s="161">
        <f>-Expenses!$F7/12*(1+Expenses!$F$17)^((BC$1-1)/12)</f>
        <v>-3897.6327143539534</v>
      </c>
      <c r="BD33" s="161">
        <f>-Expenses!$F7/12*(1+Expenses!$F$17)^((BD$1-1)/12)</f>
        <v>-3907.2453281009057</v>
      </c>
      <c r="BE33" s="161">
        <f>-Expenses!$F7/12*(1+Expenses!$F$17)^((BE$1-1)/12)</f>
        <v>-3916.8816491465755</v>
      </c>
      <c r="BF33" s="161">
        <f>-Expenses!$F7/12*(1+Expenses!$F$17)^((BF$1-1)/12)</f>
        <v>-3926.5417359595567</v>
      </c>
      <c r="BG33" s="161">
        <f>-Expenses!$F7/12*(1+Expenses!$F$17)^((BG$1-1)/12)</f>
        <v>-3936.2256471526421</v>
      </c>
      <c r="BH33" s="161">
        <f>-Expenses!$F7/12*(1+Expenses!$F$17)^((BH$1-1)/12)</f>
        <v>-3945.9334414831806</v>
      </c>
      <c r="BI33" s="161">
        <f>-Expenses!$F7/12*(1+Expenses!$F$17)^((BI$1-1)/12)</f>
        <v>-3955.6651778534329</v>
      </c>
      <c r="BJ33" s="161">
        <f>-Expenses!$F7/12*(1+Expenses!$F$17)^((BJ$1-1)/12)</f>
        <v>-3965.4209153109268</v>
      </c>
      <c r="BK33" s="161">
        <f>-Expenses!$F7/12*(1+Expenses!$F$17)^((BK$1-1)/12)</f>
        <v>-3975.2007130488182</v>
      </c>
      <c r="BL33" s="161">
        <f>-Expenses!$F7/12*(1+Expenses!$F$17)^((BL$1-1)/12)</f>
        <v>-3985.0046304062494</v>
      </c>
      <c r="BM33" s="161">
        <f>-Expenses!$F7/12*(1+Expenses!$F$17)^((BM$1-1)/12)</f>
        <v>-3994.8327268687112</v>
      </c>
      <c r="BN33" s="161">
        <f>-Expenses!$F7/12*(1+Expenses!$F$17)^((BN$1-1)/12)</f>
        <v>-4004.6850620683967</v>
      </c>
      <c r="BO33" s="161">
        <f>-Expenses!$F7/12*(1+Expenses!$F$17)^((BO$1-1)/12)</f>
        <v>-4014.5616957845718</v>
      </c>
      <c r="BP33" s="161">
        <f>-Expenses!$F7/12*(1+Expenses!$F$17)^((BP$1-1)/12)</f>
        <v>-4024.4626879439334</v>
      </c>
      <c r="BQ33" s="161">
        <f>-Expenses!$F7/12*(1+Expenses!$F$17)^((BQ$1-1)/12)</f>
        <v>-4034.3880986209729</v>
      </c>
      <c r="BR33" s="161">
        <f>-Expenses!$F7/12*(1+Expenses!$F$17)^((BR$1-1)/12)</f>
        <v>-4044.3379880383436</v>
      </c>
      <c r="BS33" s="161">
        <f>-Expenses!$F7/12*(1+Expenses!$F$17)^((BS$1-1)/12)</f>
        <v>-4054.3124165672211</v>
      </c>
      <c r="BT33" s="161">
        <f>-Expenses!$F7/12*(1+Expenses!$F$17)^((BT$1-1)/12)</f>
        <v>-4064.3114447276766</v>
      </c>
      <c r="BU33" s="161">
        <f>-Expenses!$F7/12*(1+Expenses!$F$17)^((BU$1-1)/12)</f>
        <v>-4074.3351331890358</v>
      </c>
      <c r="BV33" s="161">
        <f>-Expenses!$F7/12*(1+Expenses!$F$17)^((BV$1-1)/12)</f>
        <v>-4084.3835427702547</v>
      </c>
      <c r="BW33" s="161">
        <f>-Expenses!$F7/12*(1+Expenses!$F$17)^((BW$1-1)/12)</f>
        <v>-4094.4567344402831</v>
      </c>
      <c r="BX33" s="161">
        <f>-Expenses!$F7/12*(1+Expenses!$F$17)^((BX$1-1)/12)</f>
        <v>-4104.5547693184371</v>
      </c>
      <c r="BY33" s="161">
        <f>-Expenses!$F7/12*(1+Expenses!$F$17)^((BY$1-1)/12)</f>
        <v>-4114.6777086747725</v>
      </c>
      <c r="BZ33" s="161">
        <f>-Expenses!$F7/12*(1+Expenses!$F$17)^((BZ$1-1)/12)</f>
        <v>-4124.8256139304494</v>
      </c>
      <c r="CA33" s="161">
        <f>-Expenses!$F7/12*(1+Expenses!$F$17)^((CA$1-1)/12)</f>
        <v>-4134.9985466581093</v>
      </c>
      <c r="CB33" s="161">
        <f>-Expenses!$F7/12*(1+Expenses!$F$17)^((CB$1-1)/12)</f>
        <v>-4145.1965685822515</v>
      </c>
      <c r="CC33" s="161">
        <f>-Expenses!$F7/12*(1+Expenses!$F$17)^((CC$1-1)/12)</f>
        <v>-4155.4197415796025</v>
      </c>
      <c r="CD33" s="161">
        <f>-Expenses!$F7/12*(1+Expenses!$F$17)^((CD$1-1)/12)</f>
        <v>-4165.6681276794943</v>
      </c>
      <c r="CE33" s="161">
        <f>-Expenses!$F7/12*(1+Expenses!$F$17)^((CE$1-1)/12)</f>
        <v>-4175.941789064238</v>
      </c>
      <c r="CF33" s="161">
        <f>-Expenses!$F7/12*(1+Expenses!$F$17)^((CF$1-1)/12)</f>
        <v>-4186.2407880695073</v>
      </c>
      <c r="CG33" s="161">
        <f>-Expenses!$F7/12*(1+Expenses!$F$17)^((CG$1-1)/12)</f>
        <v>-4196.5651871847067</v>
      </c>
      <c r="CH33" s="161">
        <f>-Expenses!$F7/12*(1+Expenses!$F$17)^((CH$1-1)/12)</f>
        <v>-4206.9150490533621</v>
      </c>
      <c r="CI33" s="161">
        <f>-Expenses!$F7/12*(1+Expenses!$F$17)^((CI$1-1)/12)</f>
        <v>-4217.2904364734923</v>
      </c>
      <c r="CJ33" s="161">
        <f>-Expenses!$F7/12*(1+Expenses!$F$17)^((CJ$1-1)/12)</f>
        <v>-4227.6914123979905</v>
      </c>
      <c r="CK33" s="161">
        <f>-Expenses!$F7/12*(1+Expenses!$F$17)^((CK$1-1)/12)</f>
        <v>-4238.118039935016</v>
      </c>
      <c r="CL33" s="161">
        <f>-Expenses!$F7/12*(1+Expenses!$F$17)^((CL$1-1)/12)</f>
        <v>-4248.5703823483627</v>
      </c>
      <c r="CM33" s="161">
        <f>-Expenses!$F7/12*(1+Expenses!$F$17)^((CM$1-1)/12)</f>
        <v>-4259.0485030578529</v>
      </c>
      <c r="CN33" s="161">
        <f>-Expenses!$F7/12*(1+Expenses!$F$17)^((CN$1-1)/12)</f>
        <v>-4269.5524656397192</v>
      </c>
      <c r="CO33" s="161">
        <f>-Expenses!$F7/12*(1+Expenses!$F$17)^((CO$1-1)/12)</f>
        <v>-4280.0823338269911</v>
      </c>
      <c r="CP33" s="161">
        <f>-Expenses!$F7/12*(1+Expenses!$F$17)^((CP$1-1)/12)</f>
        <v>-4290.6381715098787</v>
      </c>
      <c r="CQ33" s="161">
        <f>-Expenses!$F7/12*(1+Expenses!$F$17)^((CQ$1-1)/12)</f>
        <v>-4301.2200427361659</v>
      </c>
      <c r="CR33" s="161">
        <f>-Expenses!$F7/12*(1+Expenses!$F$17)^((CR$1-1)/12)</f>
        <v>-4311.8280117115919</v>
      </c>
      <c r="CS33" s="161">
        <f>-Expenses!$F7/12*(1+Expenses!$F$17)^((CS$1-1)/12)</f>
        <v>-4322.4621428002483</v>
      </c>
      <c r="CT33" s="161">
        <f>-Expenses!$F7/12*(1+Expenses!$F$17)^((CT$1-1)/12)</f>
        <v>-4333.1225005249626</v>
      </c>
      <c r="CU33" s="161">
        <f>-Expenses!$F7/12*(1+Expenses!$F$17)^((CU$1-1)/12)</f>
        <v>-4343.8091495676963</v>
      </c>
      <c r="CV33" s="161">
        <f>-Expenses!$F7/12*(1+Expenses!$F$17)^((CV$1-1)/12)</f>
        <v>-4354.5221547699293</v>
      </c>
      <c r="CW33" s="161">
        <f>-Expenses!$F7/12*(1+Expenses!$F$17)^((CW$1-1)/12)</f>
        <v>-4365.261581133067</v>
      </c>
      <c r="CX33" s="161">
        <f>-Expenses!$F7/12*(1+Expenses!$F$17)^((CX$1-1)/12)</f>
        <v>-4376.0274938188131</v>
      </c>
      <c r="CY33" s="161">
        <f>-Expenses!$F7/12*(1+Expenses!$F$17)^((CY$1-1)/12)</f>
        <v>-4386.8199581495883</v>
      </c>
      <c r="CZ33" s="161">
        <f>-Expenses!$F7/12*(1+Expenses!$F$17)^((CZ$1-1)/12)</f>
        <v>-4397.6390396089109</v>
      </c>
      <c r="DA33" s="161">
        <f>-Expenses!$F7/12*(1+Expenses!$F$17)^((DA$1-1)/12)</f>
        <v>-4408.4848038418004</v>
      </c>
      <c r="DB33" s="161">
        <f>-Expenses!$F7/12*(1+Expenses!$F$17)^((DB$1-1)/12)</f>
        <v>-4419.357316655176</v>
      </c>
      <c r="DC33" s="161">
        <f>-Expenses!$F7/12*(1+Expenses!$F$17)^((DC$1-1)/12)</f>
        <v>-4430.2566440182509</v>
      </c>
      <c r="DD33" s="161">
        <f>-Expenses!$F7/12*(1+Expenses!$F$17)^((DD$1-1)/12)</f>
        <v>-4441.1828520629397</v>
      </c>
      <c r="DE33" s="161">
        <f>-Expenses!$F7/12*(1+Expenses!$F$17)^((DE$1-1)/12)</f>
        <v>-4452.1360070842566</v>
      </c>
      <c r="DF33" s="161">
        <f>-Expenses!$F7/12*(1+Expenses!$F$17)^((DF$1-1)/12)</f>
        <v>-4463.1161755407129</v>
      </c>
      <c r="DG33" s="161">
        <f>-Expenses!$F7/12*(1+Expenses!$F$17)^((DG$1-1)/12)</f>
        <v>-4474.1234240547274</v>
      </c>
      <c r="DH33" s="161">
        <f>-Expenses!$F7/12*(1+Expenses!$F$17)^((DH$1-1)/12)</f>
        <v>-4485.1578194130279</v>
      </c>
      <c r="DI33" s="161">
        <f>-Expenses!$F7/12*(1+Expenses!$F$17)^((DI$1-1)/12)</f>
        <v>-4496.2194285670594</v>
      </c>
      <c r="DJ33" s="161">
        <f>-Expenses!$F7/12*(1+Expenses!$F$17)^((DJ$1-1)/12)</f>
        <v>-4507.3083186333779</v>
      </c>
      <c r="DK33" s="161">
        <f>-Expenses!$F7/12*(1+Expenses!$F$17)^((DK$1-1)/12)</f>
        <v>-4518.424556894076</v>
      </c>
      <c r="DL33" s="161">
        <f>-Expenses!$F7/12*(1+Expenses!$F$17)^((DL$1-1)/12)</f>
        <v>-4529.5682107971779</v>
      </c>
      <c r="DM33" s="161">
        <f>-Expenses!$F7/12*(1+Expenses!$F$17)^((DM$1-1)/12)</f>
        <v>-4540.7393479570546</v>
      </c>
      <c r="DN33" s="161">
        <f>-Expenses!$F7/12*(1+Expenses!$F$17)^((DN$1-1)/12)</f>
        <v>-4551.938036154831</v>
      </c>
      <c r="DO33" s="161">
        <f>-Expenses!$F7/12*(1+Expenses!$F$17)^((DO$1-1)/12)</f>
        <v>-4563.1643433387981</v>
      </c>
      <c r="DP33" s="161">
        <f>-Expenses!$F7/12*(1+Expenses!$F$17)^((DP$1-1)/12)</f>
        <v>-4574.4183376248284</v>
      </c>
      <c r="DQ33" s="161">
        <f>-Expenses!$F7/12*(1+Expenses!$F$17)^((DQ$1-1)/12)</f>
        <v>-4585.7000872967837</v>
      </c>
      <c r="DR33" s="161">
        <f>-Expenses!$F7/12*(1+Expenses!$F$17)^((DR$1-1)/12)</f>
        <v>-4597.0096608069343</v>
      </c>
      <c r="DS33" s="161">
        <f>-Expenses!$F7/12*(1+Expenses!$F$17)^((DS$1-1)/12)</f>
        <v>-4608.3471267763689</v>
      </c>
      <c r="DT33" s="161">
        <f>-Expenses!$F7/12*(1+Expenses!$F$17)^((DT$1-1)/12)</f>
        <v>-4619.7125539954186</v>
      </c>
      <c r="DU33" s="161">
        <f>-Expenses!$F7/12*(1+Expenses!$F$17)^((DU$1-1)/12)</f>
        <v>-4631.1060114240709</v>
      </c>
      <c r="DV33" s="161">
        <f>-Expenses!$F7/12*(1+Expenses!$F$17)^((DV$1-1)/12)</f>
        <v>-4642.5275681923795</v>
      </c>
      <c r="DW33" s="161">
        <f>-Expenses!$F7/12*(1+Expenses!$F$17)^((DW$1-1)/12)</f>
        <v>-4653.9772936008985</v>
      </c>
      <c r="DX33" s="161">
        <f>-Expenses!$F7/12*(1+Expenses!$F$17)^((DX$1-1)/12)</f>
        <v>-4665.4552571210934</v>
      </c>
      <c r="DY33" s="161">
        <f>-Expenses!$F7/12*(1+Expenses!$F$17)^((DY$1-1)/12)</f>
        <v>-4676.9615283957664</v>
      </c>
      <c r="DZ33" s="161">
        <f>-Expenses!$F7/12*(1+Expenses!$F$17)^((DZ$1-1)/12)</f>
        <v>-4688.4961772394754</v>
      </c>
      <c r="EA33" s="161">
        <f>-Expenses!$F7/12*(1+Expenses!$F$17)^((EA$1-1)/12)</f>
        <v>-4700.0592736389626</v>
      </c>
      <c r="EB33" s="161">
        <f>-Expenses!$F7/12*(1+Expenses!$F$17)^((EB$1-1)/12)</f>
        <v>-4711.6508877535734</v>
      </c>
      <c r="EC33" s="161">
        <f>-Expenses!$F7/12*(1+Expenses!$F$17)^((EC$1-1)/12)</f>
        <v>-4723.2710899156873</v>
      </c>
      <c r="ED33" s="161">
        <f>-Expenses!$F7/12*(1+Expenses!$F$17)^((ED$1-1)/12)</f>
        <v>-4734.9199506311425</v>
      </c>
      <c r="EE33" s="162">
        <f>-Expenses!$F7/12*(1+Expenses!$F$17)^((EE$1-1)/12)</f>
        <v>-4746.5975405796607</v>
      </c>
    </row>
    <row r="34" spans="1:135" x14ac:dyDescent="0.35">
      <c r="A34" s="168">
        <f>SUMIF($C$1:$EE$1,"&lt;="&amp;Summary!$K$19,'Monthly CF'!C34:EE34)</f>
        <v>-287611.49342340982</v>
      </c>
      <c r="B34" s="5" t="str">
        <f>Expenses!E8</f>
        <v>Contract Services</v>
      </c>
      <c r="C34" s="160"/>
      <c r="D34" s="161">
        <f>-Expenses!$F8/12*(1+Expenses!$F$17)^((D$1-1)/12)</f>
        <v>-2062.5</v>
      </c>
      <c r="E34" s="161">
        <f>-Expenses!$F8/12*(1+Expenses!$F$17)^((E$1-1)/12)</f>
        <v>-2067.5866814053766</v>
      </c>
      <c r="F34" s="161">
        <f>-Expenses!$F8/12*(1+Expenses!$F$17)^((F$1-1)/12)</f>
        <v>-2072.6859079393435</v>
      </c>
      <c r="G34" s="161">
        <f>-Expenses!$F8/12*(1+Expenses!$F$17)^((G$1-1)/12)</f>
        <v>-2077.7977105415739</v>
      </c>
      <c r="H34" s="161">
        <f>-Expenses!$F8/12*(1+Expenses!$F$17)^((H$1-1)/12)</f>
        <v>-2082.9221202280446</v>
      </c>
      <c r="I34" s="161">
        <f>-Expenses!$F8/12*(1+Expenses!$F$17)^((I$1-1)/12)</f>
        <v>-2088.0591680912253</v>
      </c>
      <c r="J34" s="161">
        <f>-Expenses!$F8/12*(1+Expenses!$F$17)^((J$1-1)/12)</f>
        <v>-2093.2088853002701</v>
      </c>
      <c r="K34" s="161">
        <f>-Expenses!$F8/12*(1+Expenses!$F$17)^((K$1-1)/12)</f>
        <v>-2098.3713031012035</v>
      </c>
      <c r="L34" s="161">
        <f>-Expenses!$F8/12*(1+Expenses!$F$17)^((L$1-1)/12)</f>
        <v>-2103.5464528171115</v>
      </c>
      <c r="M34" s="161">
        <f>-Expenses!$F8/12*(1+Expenses!$F$17)^((M$1-1)/12)</f>
        <v>-2108.7343658483305</v>
      </c>
      <c r="N34" s="161">
        <f>-Expenses!$F8/12*(1+Expenses!$F$17)^((N$1-1)/12)</f>
        <v>-2113.9350736726401</v>
      </c>
      <c r="O34" s="161">
        <f>-Expenses!$F8/12*(1+Expenses!$F$17)^((O$1-1)/12)</f>
        <v>-2119.1486078454514</v>
      </c>
      <c r="P34" s="161">
        <f>-Expenses!$F8/12*(1+Expenses!$F$17)^((P$1-1)/12)</f>
        <v>-2124.375</v>
      </c>
      <c r="Q34" s="161">
        <f>-Expenses!$F8/12*(1+Expenses!$F$17)^((Q$1-1)/12)</f>
        <v>-2129.6142818475378</v>
      </c>
      <c r="R34" s="161">
        <f>-Expenses!$F8/12*(1+Expenses!$F$17)^((R$1-1)/12)</f>
        <v>-2134.8664851775243</v>
      </c>
      <c r="S34" s="161">
        <f>-Expenses!$F8/12*(1+Expenses!$F$17)^((S$1-1)/12)</f>
        <v>-2140.1316418578217</v>
      </c>
      <c r="T34" s="161">
        <f>-Expenses!$F8/12*(1+Expenses!$F$17)^((T$1-1)/12)</f>
        <v>-2145.4097838348857</v>
      </c>
      <c r="U34" s="161">
        <f>-Expenses!$F8/12*(1+Expenses!$F$17)^((U$1-1)/12)</f>
        <v>-2150.7009431339625</v>
      </c>
      <c r="V34" s="161">
        <f>-Expenses!$F8/12*(1+Expenses!$F$17)^((V$1-1)/12)</f>
        <v>-2156.0051518592786</v>
      </c>
      <c r="W34" s="161">
        <f>-Expenses!$F8/12*(1+Expenses!$F$17)^((W$1-1)/12)</f>
        <v>-2161.32244219424</v>
      </c>
      <c r="X34" s="161">
        <f>-Expenses!$F8/12*(1+Expenses!$F$17)^((X$1-1)/12)</f>
        <v>-2166.6528464016246</v>
      </c>
      <c r="Y34" s="161">
        <f>-Expenses!$F8/12*(1+Expenses!$F$17)^((Y$1-1)/12)</f>
        <v>-2171.9963968237807</v>
      </c>
      <c r="Z34" s="161">
        <f>-Expenses!$F8/12*(1+Expenses!$F$17)^((Z$1-1)/12)</f>
        <v>-2177.3531258828198</v>
      </c>
      <c r="AA34" s="161">
        <f>-Expenses!$F8/12*(1+Expenses!$F$17)^((AA$1-1)/12)</f>
        <v>-2182.723066080815</v>
      </c>
      <c r="AB34" s="161">
        <f>-Expenses!$F8/12*(1+Expenses!$F$17)^((AB$1-1)/12)</f>
        <v>-2188.1062499999998</v>
      </c>
      <c r="AC34" s="161">
        <f>-Expenses!$F8/12*(1+Expenses!$F$17)^((AC$1-1)/12)</f>
        <v>-2193.5027103029634</v>
      </c>
      <c r="AD34" s="161">
        <f>-Expenses!$F8/12*(1+Expenses!$F$17)^((AD$1-1)/12)</f>
        <v>-2198.91247973285</v>
      </c>
      <c r="AE34" s="161">
        <f>-Expenses!$F8/12*(1+Expenses!$F$17)^((AE$1-1)/12)</f>
        <v>-2204.3355911135559</v>
      </c>
      <c r="AF34" s="161">
        <f>-Expenses!$F8/12*(1+Expenses!$F$17)^((AF$1-1)/12)</f>
        <v>-2209.7720773499327</v>
      </c>
      <c r="AG34" s="161">
        <f>-Expenses!$F8/12*(1+Expenses!$F$17)^((AG$1-1)/12)</f>
        <v>-2215.2219714279813</v>
      </c>
      <c r="AH34" s="161">
        <f>-Expenses!$F8/12*(1+Expenses!$F$17)^((AH$1-1)/12)</f>
        <v>-2220.6853064150569</v>
      </c>
      <c r="AI34" s="161">
        <f>-Expenses!$F8/12*(1+Expenses!$F$17)^((AI$1-1)/12)</f>
        <v>-2226.1621154600671</v>
      </c>
      <c r="AJ34" s="161">
        <f>-Expenses!$F8/12*(1+Expenses!$F$17)^((AJ$1-1)/12)</f>
        <v>-2231.6524317936737</v>
      </c>
      <c r="AK34" s="161">
        <f>-Expenses!$F8/12*(1+Expenses!$F$17)^((AK$1-1)/12)</f>
        <v>-2237.156288728494</v>
      </c>
      <c r="AL34" s="161">
        <f>-Expenses!$F8/12*(1+Expenses!$F$17)^((AL$1-1)/12)</f>
        <v>-2242.6737196593044</v>
      </c>
      <c r="AM34" s="161">
        <f>-Expenses!$F8/12*(1+Expenses!$F$17)^((AM$1-1)/12)</f>
        <v>-2248.2047580632398</v>
      </c>
      <c r="AN34" s="161">
        <f>-Expenses!$F8/12*(1+Expenses!$F$17)^((AN$1-1)/12)</f>
        <v>-2253.7494375000001</v>
      </c>
      <c r="AO34" s="161">
        <f>-Expenses!$F8/12*(1+Expenses!$F$17)^((AO$1-1)/12)</f>
        <v>-2259.3077916120528</v>
      </c>
      <c r="AP34" s="161">
        <f>-Expenses!$F8/12*(1+Expenses!$F$17)^((AP$1-1)/12)</f>
        <v>-2264.8798541248352</v>
      </c>
      <c r="AQ34" s="161">
        <f>-Expenses!$F8/12*(1+Expenses!$F$17)^((AQ$1-1)/12)</f>
        <v>-2270.4656588469629</v>
      </c>
      <c r="AR34" s="161">
        <f>-Expenses!$F8/12*(1+Expenses!$F$17)^((AR$1-1)/12)</f>
        <v>-2276.0652396704309</v>
      </c>
      <c r="AS34" s="161">
        <f>-Expenses!$F8/12*(1+Expenses!$F$17)^((AS$1-1)/12)</f>
        <v>-2281.6786305708206</v>
      </c>
      <c r="AT34" s="161">
        <f>-Expenses!$F8/12*(1+Expenses!$F$17)^((AT$1-1)/12)</f>
        <v>-2287.3058656075086</v>
      </c>
      <c r="AU34" s="161">
        <f>-Expenses!$F8/12*(1+Expenses!$F$17)^((AU$1-1)/12)</f>
        <v>-2292.9469789238692</v>
      </c>
      <c r="AV34" s="161">
        <f>-Expenses!$F8/12*(1+Expenses!$F$17)^((AV$1-1)/12)</f>
        <v>-2298.602004747484</v>
      </c>
      <c r="AW34" s="161">
        <f>-Expenses!$F8/12*(1+Expenses!$F$17)^((AW$1-1)/12)</f>
        <v>-2304.2709773903493</v>
      </c>
      <c r="AX34" s="161">
        <f>-Expenses!$F8/12*(1+Expenses!$F$17)^((AX$1-1)/12)</f>
        <v>-2309.9539312490838</v>
      </c>
      <c r="AY34" s="161">
        <f>-Expenses!$F8/12*(1+Expenses!$F$17)^((AY$1-1)/12)</f>
        <v>-2315.6509008051371</v>
      </c>
      <c r="AZ34" s="161">
        <f>-Expenses!$F8/12*(1+Expenses!$F$17)^((AZ$1-1)/12)</f>
        <v>-2321.361920625</v>
      </c>
      <c r="BA34" s="161">
        <f>-Expenses!$F8/12*(1+Expenses!$F$17)^((BA$1-1)/12)</f>
        <v>-2327.0870253604144</v>
      </c>
      <c r="BB34" s="161">
        <f>-Expenses!$F8/12*(1+Expenses!$F$17)^((BB$1-1)/12)</f>
        <v>-2332.8262497485803</v>
      </c>
      <c r="BC34" s="161">
        <f>-Expenses!$F8/12*(1+Expenses!$F$17)^((BC$1-1)/12)</f>
        <v>-2338.5796286123718</v>
      </c>
      <c r="BD34" s="161">
        <f>-Expenses!$F8/12*(1+Expenses!$F$17)^((BD$1-1)/12)</f>
        <v>-2344.3471968605436</v>
      </c>
      <c r="BE34" s="161">
        <f>-Expenses!$F8/12*(1+Expenses!$F$17)^((BE$1-1)/12)</f>
        <v>-2350.1289894879451</v>
      </c>
      <c r="BF34" s="161">
        <f>-Expenses!$F8/12*(1+Expenses!$F$17)^((BF$1-1)/12)</f>
        <v>-2355.9250415757342</v>
      </c>
      <c r="BG34" s="161">
        <f>-Expenses!$F8/12*(1+Expenses!$F$17)^((BG$1-1)/12)</f>
        <v>-2361.7353882915854</v>
      </c>
      <c r="BH34" s="161">
        <f>-Expenses!$F8/12*(1+Expenses!$F$17)^((BH$1-1)/12)</f>
        <v>-2367.5600648899085</v>
      </c>
      <c r="BI34" s="161">
        <f>-Expenses!$F8/12*(1+Expenses!$F$17)^((BI$1-1)/12)</f>
        <v>-2373.3991067120596</v>
      </c>
      <c r="BJ34" s="161">
        <f>-Expenses!$F8/12*(1+Expenses!$F$17)^((BJ$1-1)/12)</f>
        <v>-2379.2525491865563</v>
      </c>
      <c r="BK34" s="161">
        <f>-Expenses!$F8/12*(1+Expenses!$F$17)^((BK$1-1)/12)</f>
        <v>-2385.1204278292912</v>
      </c>
      <c r="BL34" s="161">
        <f>-Expenses!$F8/12*(1+Expenses!$F$17)^((BL$1-1)/12)</f>
        <v>-2391.0027782437496</v>
      </c>
      <c r="BM34" s="161">
        <f>-Expenses!$F8/12*(1+Expenses!$F$17)^((BM$1-1)/12)</f>
        <v>-2396.8996361212266</v>
      </c>
      <c r="BN34" s="161">
        <f>-Expenses!$F8/12*(1+Expenses!$F$17)^((BN$1-1)/12)</f>
        <v>-2402.8110372410379</v>
      </c>
      <c r="BO34" s="161">
        <f>-Expenses!$F8/12*(1+Expenses!$F$17)^((BO$1-1)/12)</f>
        <v>-2408.737017470743</v>
      </c>
      <c r="BP34" s="161">
        <f>-Expenses!$F8/12*(1+Expenses!$F$17)^((BP$1-1)/12)</f>
        <v>-2414.6776127663597</v>
      </c>
      <c r="BQ34" s="161">
        <f>-Expenses!$F8/12*(1+Expenses!$F$17)^((BQ$1-1)/12)</f>
        <v>-2420.6328591725837</v>
      </c>
      <c r="BR34" s="161">
        <f>-Expenses!$F8/12*(1+Expenses!$F$17)^((BR$1-1)/12)</f>
        <v>-2426.602792823006</v>
      </c>
      <c r="BS34" s="161">
        <f>-Expenses!$F8/12*(1+Expenses!$F$17)^((BS$1-1)/12)</f>
        <v>-2432.5874499403326</v>
      </c>
      <c r="BT34" s="161">
        <f>-Expenses!$F8/12*(1+Expenses!$F$17)^((BT$1-1)/12)</f>
        <v>-2438.5868668366061</v>
      </c>
      <c r="BU34" s="161">
        <f>-Expenses!$F8/12*(1+Expenses!$F$17)^((BU$1-1)/12)</f>
        <v>-2444.6010799134215</v>
      </c>
      <c r="BV34" s="161">
        <f>-Expenses!$F8/12*(1+Expenses!$F$17)^((BV$1-1)/12)</f>
        <v>-2450.6301256621528</v>
      </c>
      <c r="BW34" s="161">
        <f>-Expenses!$F8/12*(1+Expenses!$F$17)^((BW$1-1)/12)</f>
        <v>-2456.6740406641698</v>
      </c>
      <c r="BX34" s="161">
        <f>-Expenses!$F8/12*(1+Expenses!$F$17)^((BX$1-1)/12)</f>
        <v>-2462.7328615910624</v>
      </c>
      <c r="BY34" s="161">
        <f>-Expenses!$F8/12*(1+Expenses!$F$17)^((BY$1-1)/12)</f>
        <v>-2468.8066252048634</v>
      </c>
      <c r="BZ34" s="161">
        <f>-Expenses!$F8/12*(1+Expenses!$F$17)^((BZ$1-1)/12)</f>
        <v>-2474.8953683582695</v>
      </c>
      <c r="CA34" s="161">
        <f>-Expenses!$F8/12*(1+Expenses!$F$17)^((CA$1-1)/12)</f>
        <v>-2480.9991279948654</v>
      </c>
      <c r="CB34" s="161">
        <f>-Expenses!$F8/12*(1+Expenses!$F$17)^((CB$1-1)/12)</f>
        <v>-2487.1179411493508</v>
      </c>
      <c r="CC34" s="161">
        <f>-Expenses!$F8/12*(1+Expenses!$F$17)^((CC$1-1)/12)</f>
        <v>-2493.2518449477616</v>
      </c>
      <c r="CD34" s="161">
        <f>-Expenses!$F8/12*(1+Expenses!$F$17)^((CD$1-1)/12)</f>
        <v>-2499.4008766076963</v>
      </c>
      <c r="CE34" s="161">
        <f>-Expenses!$F8/12*(1+Expenses!$F$17)^((CE$1-1)/12)</f>
        <v>-2505.5650734385431</v>
      </c>
      <c r="CF34" s="161">
        <f>-Expenses!$F8/12*(1+Expenses!$F$17)^((CF$1-1)/12)</f>
        <v>-2511.744472841704</v>
      </c>
      <c r="CG34" s="161">
        <f>-Expenses!$F8/12*(1+Expenses!$F$17)^((CG$1-1)/12)</f>
        <v>-2517.9391123108244</v>
      </c>
      <c r="CH34" s="161">
        <f>-Expenses!$F8/12*(1+Expenses!$F$17)^((CH$1-1)/12)</f>
        <v>-2524.1490294320174</v>
      </c>
      <c r="CI34" s="161">
        <f>-Expenses!$F8/12*(1+Expenses!$F$17)^((CI$1-1)/12)</f>
        <v>-2530.3742618840952</v>
      </c>
      <c r="CJ34" s="161">
        <f>-Expenses!$F8/12*(1+Expenses!$F$17)^((CJ$1-1)/12)</f>
        <v>-2536.6148474387942</v>
      </c>
      <c r="CK34" s="161">
        <f>-Expenses!$F8/12*(1+Expenses!$F$17)^((CK$1-1)/12)</f>
        <v>-2542.8708239610096</v>
      </c>
      <c r="CL34" s="161">
        <f>-Expenses!$F8/12*(1+Expenses!$F$17)^((CL$1-1)/12)</f>
        <v>-2549.1422294090175</v>
      </c>
      <c r="CM34" s="161">
        <f>-Expenses!$F8/12*(1+Expenses!$F$17)^((CM$1-1)/12)</f>
        <v>-2555.4291018347117</v>
      </c>
      <c r="CN34" s="161">
        <f>-Expenses!$F8/12*(1+Expenses!$F$17)^((CN$1-1)/12)</f>
        <v>-2561.7314793838314</v>
      </c>
      <c r="CO34" s="161">
        <f>-Expenses!$F8/12*(1+Expenses!$F$17)^((CO$1-1)/12)</f>
        <v>-2568.0494002961946</v>
      </c>
      <c r="CP34" s="161">
        <f>-Expenses!$F8/12*(1+Expenses!$F$17)^((CP$1-1)/12)</f>
        <v>-2574.382902905927</v>
      </c>
      <c r="CQ34" s="161">
        <f>-Expenses!$F8/12*(1+Expenses!$F$17)^((CQ$1-1)/12)</f>
        <v>-2580.7320256416992</v>
      </c>
      <c r="CR34" s="161">
        <f>-Expenses!$F8/12*(1+Expenses!$F$17)^((CR$1-1)/12)</f>
        <v>-2587.096807026955</v>
      </c>
      <c r="CS34" s="161">
        <f>-Expenses!$F8/12*(1+Expenses!$F$17)^((CS$1-1)/12)</f>
        <v>-2593.4772856801492</v>
      </c>
      <c r="CT34" s="161">
        <f>-Expenses!$F8/12*(1+Expenses!$F$17)^((CT$1-1)/12)</f>
        <v>-2599.8735003149777</v>
      </c>
      <c r="CU34" s="161">
        <f>-Expenses!$F8/12*(1+Expenses!$F$17)^((CU$1-1)/12)</f>
        <v>-2606.2854897406178</v>
      </c>
      <c r="CV34" s="161">
        <f>-Expenses!$F8/12*(1+Expenses!$F$17)^((CV$1-1)/12)</f>
        <v>-2612.7132928619581</v>
      </c>
      <c r="CW34" s="161">
        <f>-Expenses!$F8/12*(1+Expenses!$F$17)^((CW$1-1)/12)</f>
        <v>-2619.1569486798403</v>
      </c>
      <c r="CX34" s="161">
        <f>-Expenses!$F8/12*(1+Expenses!$F$17)^((CX$1-1)/12)</f>
        <v>-2625.6164962912881</v>
      </c>
      <c r="CY34" s="161">
        <f>-Expenses!$F8/12*(1+Expenses!$F$17)^((CY$1-1)/12)</f>
        <v>-2632.0919748897531</v>
      </c>
      <c r="CZ34" s="161">
        <f>-Expenses!$F8/12*(1+Expenses!$F$17)^((CZ$1-1)/12)</f>
        <v>-2638.5834237653467</v>
      </c>
      <c r="DA34" s="161">
        <f>-Expenses!$F8/12*(1+Expenses!$F$17)^((DA$1-1)/12)</f>
        <v>-2645.09088230508</v>
      </c>
      <c r="DB34" s="161">
        <f>-Expenses!$F8/12*(1+Expenses!$F$17)^((DB$1-1)/12)</f>
        <v>-2651.6143899931053</v>
      </c>
      <c r="DC34" s="161">
        <f>-Expenses!$F8/12*(1+Expenses!$F$17)^((DC$1-1)/12)</f>
        <v>-2658.1539864109504</v>
      </c>
      <c r="DD34" s="161">
        <f>-Expenses!$F8/12*(1+Expenses!$F$17)^((DD$1-1)/12)</f>
        <v>-2664.7097112377642</v>
      </c>
      <c r="DE34" s="161">
        <f>-Expenses!$F8/12*(1+Expenses!$F$17)^((DE$1-1)/12)</f>
        <v>-2671.2816042505538</v>
      </c>
      <c r="DF34" s="161">
        <f>-Expenses!$F8/12*(1+Expenses!$F$17)^((DF$1-1)/12)</f>
        <v>-2677.8697053244273</v>
      </c>
      <c r="DG34" s="161">
        <f>-Expenses!$F8/12*(1+Expenses!$F$17)^((DG$1-1)/12)</f>
        <v>-2684.4740544328365</v>
      </c>
      <c r="DH34" s="161">
        <f>-Expenses!$F8/12*(1+Expenses!$F$17)^((DH$1-1)/12)</f>
        <v>-2691.0946916478165</v>
      </c>
      <c r="DI34" s="161">
        <f>-Expenses!$F8/12*(1+Expenses!$F$17)^((DI$1-1)/12)</f>
        <v>-2697.7316571402353</v>
      </c>
      <c r="DJ34" s="161">
        <f>-Expenses!$F8/12*(1+Expenses!$F$17)^((DJ$1-1)/12)</f>
        <v>-2704.3849911800266</v>
      </c>
      <c r="DK34" s="161">
        <f>-Expenses!$F8/12*(1+Expenses!$F$17)^((DK$1-1)/12)</f>
        <v>-2711.0547341364454</v>
      </c>
      <c r="DL34" s="161">
        <f>-Expenses!$F8/12*(1+Expenses!$F$17)^((DL$1-1)/12)</f>
        <v>-2717.7409264783068</v>
      </c>
      <c r="DM34" s="161">
        <f>-Expenses!$F8/12*(1+Expenses!$F$17)^((DM$1-1)/12)</f>
        <v>-2724.4436087742329</v>
      </c>
      <c r="DN34" s="161">
        <f>-Expenses!$F8/12*(1+Expenses!$F$17)^((DN$1-1)/12)</f>
        <v>-2731.1628216928984</v>
      </c>
      <c r="DO34" s="161">
        <f>-Expenses!$F8/12*(1+Expenses!$F$17)^((DO$1-1)/12)</f>
        <v>-2737.8986060032789</v>
      </c>
      <c r="DP34" s="161">
        <f>-Expenses!$F8/12*(1+Expenses!$F$17)^((DP$1-1)/12)</f>
        <v>-2744.6510025748971</v>
      </c>
      <c r="DQ34" s="161">
        <f>-Expenses!$F8/12*(1+Expenses!$F$17)^((DQ$1-1)/12)</f>
        <v>-2751.4200523780701</v>
      </c>
      <c r="DR34" s="161">
        <f>-Expenses!$F8/12*(1+Expenses!$F$17)^((DR$1-1)/12)</f>
        <v>-2758.2057964841606</v>
      </c>
      <c r="DS34" s="161">
        <f>-Expenses!$F8/12*(1+Expenses!$F$17)^((DS$1-1)/12)</f>
        <v>-2765.0082760658215</v>
      </c>
      <c r="DT34" s="161">
        <f>-Expenses!$F8/12*(1+Expenses!$F$17)^((DT$1-1)/12)</f>
        <v>-2771.8275323972512</v>
      </c>
      <c r="DU34" s="161">
        <f>-Expenses!$F8/12*(1+Expenses!$F$17)^((DU$1-1)/12)</f>
        <v>-2778.6636068544426</v>
      </c>
      <c r="DV34" s="161">
        <f>-Expenses!$F8/12*(1+Expenses!$F$17)^((DV$1-1)/12)</f>
        <v>-2785.5165409154279</v>
      </c>
      <c r="DW34" s="161">
        <f>-Expenses!$F8/12*(1+Expenses!$F$17)^((DW$1-1)/12)</f>
        <v>-2792.3863761605389</v>
      </c>
      <c r="DX34" s="161">
        <f>-Expenses!$F8/12*(1+Expenses!$F$17)^((DX$1-1)/12)</f>
        <v>-2799.2731542726565</v>
      </c>
      <c r="DY34" s="161">
        <f>-Expenses!$F8/12*(1+Expenses!$F$17)^((DY$1-1)/12)</f>
        <v>-2806.1769170374596</v>
      </c>
      <c r="DZ34" s="161">
        <f>-Expenses!$F8/12*(1+Expenses!$F$17)^((DZ$1-1)/12)</f>
        <v>-2813.0977063436853</v>
      </c>
      <c r="EA34" s="161">
        <f>-Expenses!$F8/12*(1+Expenses!$F$17)^((EA$1-1)/12)</f>
        <v>-2820.0355641833776</v>
      </c>
      <c r="EB34" s="161">
        <f>-Expenses!$F8/12*(1+Expenses!$F$17)^((EB$1-1)/12)</f>
        <v>-2826.9905326521439</v>
      </c>
      <c r="EC34" s="161">
        <f>-Expenses!$F8/12*(1+Expenses!$F$17)^((EC$1-1)/12)</f>
        <v>-2833.9626539494125</v>
      </c>
      <c r="ED34" s="161">
        <f>-Expenses!$F8/12*(1+Expenses!$F$17)^((ED$1-1)/12)</f>
        <v>-2840.951970378685</v>
      </c>
      <c r="EE34" s="162">
        <f>-Expenses!$F8/12*(1+Expenses!$F$17)^((EE$1-1)/12)</f>
        <v>-2847.9585243477968</v>
      </c>
    </row>
    <row r="35" spans="1:135" x14ac:dyDescent="0.35">
      <c r="A35" s="168">
        <f>SUMIF($C$1:$EE$1,"&lt;="&amp;Summary!$K$19,'Monthly CF'!C35:EE35)</f>
        <v>-703050.31725722423</v>
      </c>
      <c r="B35" s="5" t="str">
        <f>Expenses!E9</f>
        <v>Utilities</v>
      </c>
      <c r="C35" s="160"/>
      <c r="D35" s="161">
        <f>-Expenses!$F9/12*(1+Expenses!$F$17)^((D$1-1)/12)</f>
        <v>-5041.666666666667</v>
      </c>
      <c r="E35" s="161">
        <f>-Expenses!$F9/12*(1+Expenses!$F$17)^((E$1-1)/12)</f>
        <v>-5054.1007767686979</v>
      </c>
      <c r="F35" s="161">
        <f>-Expenses!$F9/12*(1+Expenses!$F$17)^((F$1-1)/12)</f>
        <v>-5066.5655527406179</v>
      </c>
      <c r="G35" s="161">
        <f>-Expenses!$F9/12*(1+Expenses!$F$17)^((G$1-1)/12)</f>
        <v>-5079.0610702127369</v>
      </c>
      <c r="H35" s="161">
        <f>-Expenses!$F9/12*(1+Expenses!$F$17)^((H$1-1)/12)</f>
        <v>-5091.5874050018865</v>
      </c>
      <c r="I35" s="161">
        <f>-Expenses!$F9/12*(1+Expenses!$F$17)^((I$1-1)/12)</f>
        <v>-5104.144633111885</v>
      </c>
      <c r="J35" s="161">
        <f>-Expenses!$F9/12*(1+Expenses!$F$17)^((J$1-1)/12)</f>
        <v>-5116.732830733994</v>
      </c>
      <c r="K35" s="161">
        <f>-Expenses!$F9/12*(1+Expenses!$F$17)^((K$1-1)/12)</f>
        <v>-5129.3520742473866</v>
      </c>
      <c r="L35" s="161">
        <f>-Expenses!$F9/12*(1+Expenses!$F$17)^((L$1-1)/12)</f>
        <v>-5142.0024402196059</v>
      </c>
      <c r="M35" s="161">
        <f>-Expenses!$F9/12*(1+Expenses!$F$17)^((M$1-1)/12)</f>
        <v>-5154.6840054070308</v>
      </c>
      <c r="N35" s="161">
        <f>-Expenses!$F9/12*(1+Expenses!$F$17)^((N$1-1)/12)</f>
        <v>-5167.3968467553432</v>
      </c>
      <c r="O35" s="161">
        <f>-Expenses!$F9/12*(1+Expenses!$F$17)^((O$1-1)/12)</f>
        <v>-5180.1410413999929</v>
      </c>
      <c r="P35" s="161">
        <f>-Expenses!$F9/12*(1+Expenses!$F$17)^((P$1-1)/12)</f>
        <v>-5192.916666666667</v>
      </c>
      <c r="Q35" s="161">
        <f>-Expenses!$F9/12*(1+Expenses!$F$17)^((Q$1-1)/12)</f>
        <v>-5205.7238000717589</v>
      </c>
      <c r="R35" s="161">
        <f>-Expenses!$F9/12*(1+Expenses!$F$17)^((R$1-1)/12)</f>
        <v>-5218.562519322837</v>
      </c>
      <c r="S35" s="161">
        <f>-Expenses!$F9/12*(1+Expenses!$F$17)^((S$1-1)/12)</f>
        <v>-5231.4329023191194</v>
      </c>
      <c r="T35" s="161">
        <f>-Expenses!$F9/12*(1+Expenses!$F$17)^((T$1-1)/12)</f>
        <v>-5244.3350271519439</v>
      </c>
      <c r="U35" s="161">
        <f>-Expenses!$F9/12*(1+Expenses!$F$17)^((U$1-1)/12)</f>
        <v>-5257.2689721052411</v>
      </c>
      <c r="V35" s="161">
        <f>-Expenses!$F9/12*(1+Expenses!$F$17)^((V$1-1)/12)</f>
        <v>-5270.2348156560147</v>
      </c>
      <c r="W35" s="161">
        <f>-Expenses!$F9/12*(1+Expenses!$F$17)^((W$1-1)/12)</f>
        <v>-5283.2326364748096</v>
      </c>
      <c r="X35" s="161">
        <f>-Expenses!$F9/12*(1+Expenses!$F$17)^((X$1-1)/12)</f>
        <v>-5296.2625134261943</v>
      </c>
      <c r="Y35" s="161">
        <f>-Expenses!$F9/12*(1+Expenses!$F$17)^((Y$1-1)/12)</f>
        <v>-5309.3245255692418</v>
      </c>
      <c r="Z35" s="161">
        <f>-Expenses!$F9/12*(1+Expenses!$F$17)^((Z$1-1)/12)</f>
        <v>-5322.4187521580043</v>
      </c>
      <c r="AA35" s="161">
        <f>-Expenses!$F9/12*(1+Expenses!$F$17)^((AA$1-1)/12)</f>
        <v>-5335.5452726419926</v>
      </c>
      <c r="AB35" s="161">
        <f>-Expenses!$F9/12*(1+Expenses!$F$17)^((AB$1-1)/12)</f>
        <v>-5348.7041666666664</v>
      </c>
      <c r="AC35" s="161">
        <f>-Expenses!$F9/12*(1+Expenses!$F$17)^((AC$1-1)/12)</f>
        <v>-5361.8955140739108</v>
      </c>
      <c r="AD35" s="161">
        <f>-Expenses!$F9/12*(1+Expenses!$F$17)^((AD$1-1)/12)</f>
        <v>-5375.1193949025228</v>
      </c>
      <c r="AE35" s="161">
        <f>-Expenses!$F9/12*(1+Expenses!$F$17)^((AE$1-1)/12)</f>
        <v>-5388.3758893886925</v>
      </c>
      <c r="AF35" s="161">
        <f>-Expenses!$F9/12*(1+Expenses!$F$17)^((AF$1-1)/12)</f>
        <v>-5401.6650779665024</v>
      </c>
      <c r="AG35" s="161">
        <f>-Expenses!$F9/12*(1+Expenses!$F$17)^((AG$1-1)/12)</f>
        <v>-5414.9870412683986</v>
      </c>
      <c r="AH35" s="161">
        <f>-Expenses!$F9/12*(1+Expenses!$F$17)^((AH$1-1)/12)</f>
        <v>-5428.3418601256944</v>
      </c>
      <c r="AI35" s="161">
        <f>-Expenses!$F9/12*(1+Expenses!$F$17)^((AI$1-1)/12)</f>
        <v>-5441.7296155690528</v>
      </c>
      <c r="AJ35" s="161">
        <f>-Expenses!$F9/12*(1+Expenses!$F$17)^((AJ$1-1)/12)</f>
        <v>-5455.1503888289808</v>
      </c>
      <c r="AK35" s="161">
        <f>-Expenses!$F9/12*(1+Expenses!$F$17)^((AK$1-1)/12)</f>
        <v>-5468.6042613363197</v>
      </c>
      <c r="AL35" s="161">
        <f>-Expenses!$F9/12*(1+Expenses!$F$17)^((AL$1-1)/12)</f>
        <v>-5482.0913147227438</v>
      </c>
      <c r="AM35" s="161">
        <f>-Expenses!$F9/12*(1+Expenses!$F$17)^((AM$1-1)/12)</f>
        <v>-5495.6116308212531</v>
      </c>
      <c r="AN35" s="161">
        <f>-Expenses!$F9/12*(1+Expenses!$F$17)^((AN$1-1)/12)</f>
        <v>-5509.1652916666671</v>
      </c>
      <c r="AO35" s="161">
        <f>-Expenses!$F9/12*(1+Expenses!$F$17)^((AO$1-1)/12)</f>
        <v>-5522.7523794961289</v>
      </c>
      <c r="AP35" s="161">
        <f>-Expenses!$F9/12*(1+Expenses!$F$17)^((AP$1-1)/12)</f>
        <v>-5536.3729767495979</v>
      </c>
      <c r="AQ35" s="161">
        <f>-Expenses!$F9/12*(1+Expenses!$F$17)^((AQ$1-1)/12)</f>
        <v>-5550.0271660703538</v>
      </c>
      <c r="AR35" s="161">
        <f>-Expenses!$F9/12*(1+Expenses!$F$17)^((AR$1-1)/12)</f>
        <v>-5563.7150303054977</v>
      </c>
      <c r="AS35" s="161">
        <f>-Expenses!$F9/12*(1+Expenses!$F$17)^((AS$1-1)/12)</f>
        <v>-5577.4366525064506</v>
      </c>
      <c r="AT35" s="161">
        <f>-Expenses!$F9/12*(1+Expenses!$F$17)^((AT$1-1)/12)</f>
        <v>-5591.1921159294661</v>
      </c>
      <c r="AU35" s="161">
        <f>-Expenses!$F9/12*(1+Expenses!$F$17)^((AU$1-1)/12)</f>
        <v>-5604.9815040361245</v>
      </c>
      <c r="AV35" s="161">
        <f>-Expenses!$F9/12*(1+Expenses!$F$17)^((AV$1-1)/12)</f>
        <v>-5618.8049004938503</v>
      </c>
      <c r="AW35" s="161">
        <f>-Expenses!$F9/12*(1+Expenses!$F$17)^((AW$1-1)/12)</f>
        <v>-5632.6623891764093</v>
      </c>
      <c r="AX35" s="161">
        <f>-Expenses!$F9/12*(1+Expenses!$F$17)^((AX$1-1)/12)</f>
        <v>-5646.5540541644268</v>
      </c>
      <c r="AY35" s="161">
        <f>-Expenses!$F9/12*(1+Expenses!$F$17)^((AY$1-1)/12)</f>
        <v>-5660.4799797458909</v>
      </c>
      <c r="AZ35" s="161">
        <f>-Expenses!$F9/12*(1+Expenses!$F$17)^((AZ$1-1)/12)</f>
        <v>-5674.4402504166665</v>
      </c>
      <c r="BA35" s="161">
        <f>-Expenses!$F9/12*(1+Expenses!$F$17)^((BA$1-1)/12)</f>
        <v>-5688.4349508810128</v>
      </c>
      <c r="BB35" s="161">
        <f>-Expenses!$F9/12*(1+Expenses!$F$17)^((BB$1-1)/12)</f>
        <v>-5702.4641660520856</v>
      </c>
      <c r="BC35" s="161">
        <f>-Expenses!$F9/12*(1+Expenses!$F$17)^((BC$1-1)/12)</f>
        <v>-5716.5279810524653</v>
      </c>
      <c r="BD35" s="161">
        <f>-Expenses!$F9/12*(1+Expenses!$F$17)^((BD$1-1)/12)</f>
        <v>-5730.6264812146619</v>
      </c>
      <c r="BE35" s="161">
        <f>-Expenses!$F9/12*(1+Expenses!$F$17)^((BE$1-1)/12)</f>
        <v>-5744.7597520816444</v>
      </c>
      <c r="BF35" s="161">
        <f>-Expenses!$F9/12*(1+Expenses!$F$17)^((BF$1-1)/12)</f>
        <v>-5758.9278794073498</v>
      </c>
      <c r="BG35" s="161">
        <f>-Expenses!$F9/12*(1+Expenses!$F$17)^((BG$1-1)/12)</f>
        <v>-5773.1309491572092</v>
      </c>
      <c r="BH35" s="161">
        <f>-Expenses!$F9/12*(1+Expenses!$F$17)^((BH$1-1)/12)</f>
        <v>-5787.3690475086651</v>
      </c>
      <c r="BI35" s="161">
        <f>-Expenses!$F9/12*(1+Expenses!$F$17)^((BI$1-1)/12)</f>
        <v>-5801.6422608517014</v>
      </c>
      <c r="BJ35" s="161">
        <f>-Expenses!$F9/12*(1+Expenses!$F$17)^((BJ$1-1)/12)</f>
        <v>-5815.9506757893596</v>
      </c>
      <c r="BK35" s="161">
        <f>-Expenses!$F9/12*(1+Expenses!$F$17)^((BK$1-1)/12)</f>
        <v>-5830.2943791382677</v>
      </c>
      <c r="BL35" s="161">
        <f>-Expenses!$F9/12*(1+Expenses!$F$17)^((BL$1-1)/12)</f>
        <v>-5844.673457929166</v>
      </c>
      <c r="BM35" s="161">
        <f>-Expenses!$F9/12*(1+Expenses!$F$17)^((BM$1-1)/12)</f>
        <v>-5859.0879994074439</v>
      </c>
      <c r="BN35" s="161">
        <f>-Expenses!$F9/12*(1+Expenses!$F$17)^((BN$1-1)/12)</f>
        <v>-5873.5380910336489</v>
      </c>
      <c r="BO35" s="161">
        <f>-Expenses!$F9/12*(1+Expenses!$F$17)^((BO$1-1)/12)</f>
        <v>-5888.0238204840389</v>
      </c>
      <c r="BP35" s="161">
        <f>-Expenses!$F9/12*(1+Expenses!$F$17)^((BP$1-1)/12)</f>
        <v>-5902.5452756511022</v>
      </c>
      <c r="BQ35" s="161">
        <f>-Expenses!$F9/12*(1+Expenses!$F$17)^((BQ$1-1)/12)</f>
        <v>-5917.1025446440935</v>
      </c>
      <c r="BR35" s="161">
        <f>-Expenses!$F9/12*(1+Expenses!$F$17)^((BR$1-1)/12)</f>
        <v>-5931.6957157895713</v>
      </c>
      <c r="BS35" s="161">
        <f>-Expenses!$F9/12*(1+Expenses!$F$17)^((BS$1-1)/12)</f>
        <v>-5946.3248776319251</v>
      </c>
      <c r="BT35" s="161">
        <f>-Expenses!$F9/12*(1+Expenses!$F$17)^((BT$1-1)/12)</f>
        <v>-5960.9901189339262</v>
      </c>
      <c r="BU35" s="161">
        <f>-Expenses!$F9/12*(1+Expenses!$F$17)^((BU$1-1)/12)</f>
        <v>-5975.6915286772528</v>
      </c>
      <c r="BV35" s="161">
        <f>-Expenses!$F9/12*(1+Expenses!$F$17)^((BV$1-1)/12)</f>
        <v>-5990.4291960630408</v>
      </c>
      <c r="BW35" s="161">
        <f>-Expenses!$F9/12*(1+Expenses!$F$17)^((BW$1-1)/12)</f>
        <v>-6005.2032105124154</v>
      </c>
      <c r="BX35" s="161">
        <f>-Expenses!$F9/12*(1+Expenses!$F$17)^((BX$1-1)/12)</f>
        <v>-6020.0136616670416</v>
      </c>
      <c r="BY35" s="161">
        <f>-Expenses!$F9/12*(1+Expenses!$F$17)^((BY$1-1)/12)</f>
        <v>-6034.8606393896671</v>
      </c>
      <c r="BZ35" s="161">
        <f>-Expenses!$F9/12*(1+Expenses!$F$17)^((BZ$1-1)/12)</f>
        <v>-6049.7442337646589</v>
      </c>
      <c r="CA35" s="161">
        <f>-Expenses!$F9/12*(1+Expenses!$F$17)^((CA$1-1)/12)</f>
        <v>-6064.66453509856</v>
      </c>
      <c r="CB35" s="161">
        <f>-Expenses!$F9/12*(1+Expenses!$F$17)^((CB$1-1)/12)</f>
        <v>-6079.6216339206358</v>
      </c>
      <c r="CC35" s="161">
        <f>-Expenses!$F9/12*(1+Expenses!$F$17)^((CC$1-1)/12)</f>
        <v>-6094.615620983418</v>
      </c>
      <c r="CD35" s="161">
        <f>-Expenses!$F9/12*(1+Expenses!$F$17)^((CD$1-1)/12)</f>
        <v>-6109.6465872632589</v>
      </c>
      <c r="CE35" s="161">
        <f>-Expenses!$F9/12*(1+Expenses!$F$17)^((CE$1-1)/12)</f>
        <v>-6124.7146239608828</v>
      </c>
      <c r="CF35" s="161">
        <f>-Expenses!$F9/12*(1+Expenses!$F$17)^((CF$1-1)/12)</f>
        <v>-6139.8198225019441</v>
      </c>
      <c r="CG35" s="161">
        <f>-Expenses!$F9/12*(1+Expenses!$F$17)^((CG$1-1)/12)</f>
        <v>-6154.9622745375709</v>
      </c>
      <c r="CH35" s="161">
        <f>-Expenses!$F9/12*(1+Expenses!$F$17)^((CH$1-1)/12)</f>
        <v>-6170.1420719449316</v>
      </c>
      <c r="CI35" s="161">
        <f>-Expenses!$F9/12*(1+Expenses!$F$17)^((CI$1-1)/12)</f>
        <v>-6185.3593068277887</v>
      </c>
      <c r="CJ35" s="161">
        <f>-Expenses!$F9/12*(1+Expenses!$F$17)^((CJ$1-1)/12)</f>
        <v>-6200.6140715170532</v>
      </c>
      <c r="CK35" s="161">
        <f>-Expenses!$F9/12*(1+Expenses!$F$17)^((CK$1-1)/12)</f>
        <v>-6215.9064585713577</v>
      </c>
      <c r="CL35" s="161">
        <f>-Expenses!$F9/12*(1+Expenses!$F$17)^((CL$1-1)/12)</f>
        <v>-6231.2365607775982</v>
      </c>
      <c r="CM35" s="161">
        <f>-Expenses!$F9/12*(1+Expenses!$F$17)^((CM$1-1)/12)</f>
        <v>-6246.6044711515178</v>
      </c>
      <c r="CN35" s="161">
        <f>-Expenses!$F9/12*(1+Expenses!$F$17)^((CN$1-1)/12)</f>
        <v>-6262.0102829382549</v>
      </c>
      <c r="CO35" s="161">
        <f>-Expenses!$F9/12*(1+Expenses!$F$17)^((CO$1-1)/12)</f>
        <v>-6277.4540896129201</v>
      </c>
      <c r="CP35" s="161">
        <f>-Expenses!$F9/12*(1+Expenses!$F$17)^((CP$1-1)/12)</f>
        <v>-6292.9359848811555</v>
      </c>
      <c r="CQ35" s="161">
        <f>-Expenses!$F9/12*(1+Expenses!$F$17)^((CQ$1-1)/12)</f>
        <v>-6308.4560626797102</v>
      </c>
      <c r="CR35" s="161">
        <f>-Expenses!$F9/12*(1+Expenses!$F$17)^((CR$1-1)/12)</f>
        <v>-6324.0144171770016</v>
      </c>
      <c r="CS35" s="161">
        <f>-Expenses!$F9/12*(1+Expenses!$F$17)^((CS$1-1)/12)</f>
        <v>-6339.6111427736978</v>
      </c>
      <c r="CT35" s="161">
        <f>-Expenses!$F9/12*(1+Expenses!$F$17)^((CT$1-1)/12)</f>
        <v>-6355.246334103279</v>
      </c>
      <c r="CU35" s="161">
        <f>-Expenses!$F9/12*(1+Expenses!$F$17)^((CU$1-1)/12)</f>
        <v>-6370.9200860326218</v>
      </c>
      <c r="CV35" s="161">
        <f>-Expenses!$F9/12*(1+Expenses!$F$17)^((CV$1-1)/12)</f>
        <v>-6386.6324936625642</v>
      </c>
      <c r="CW35" s="161">
        <f>-Expenses!$F9/12*(1+Expenses!$F$17)^((CW$1-1)/12)</f>
        <v>-6402.383652328499</v>
      </c>
      <c r="CX35" s="161">
        <f>-Expenses!$F9/12*(1+Expenses!$F$17)^((CX$1-1)/12)</f>
        <v>-6418.1736576009271</v>
      </c>
      <c r="CY35" s="161">
        <f>-Expenses!$F9/12*(1+Expenses!$F$17)^((CY$1-1)/12)</f>
        <v>-6434.002605286064</v>
      </c>
      <c r="CZ35" s="161">
        <f>-Expenses!$F9/12*(1+Expenses!$F$17)^((CZ$1-1)/12)</f>
        <v>-6449.8705914264028</v>
      </c>
      <c r="DA35" s="161">
        <f>-Expenses!$F9/12*(1+Expenses!$F$17)^((DA$1-1)/12)</f>
        <v>-6465.7777123013075</v>
      </c>
      <c r="DB35" s="161">
        <f>-Expenses!$F9/12*(1+Expenses!$F$17)^((DB$1-1)/12)</f>
        <v>-6481.7240644275917</v>
      </c>
      <c r="DC35" s="161">
        <f>-Expenses!$F9/12*(1+Expenses!$F$17)^((DC$1-1)/12)</f>
        <v>-6497.7097445601012</v>
      </c>
      <c r="DD35" s="161">
        <f>-Expenses!$F9/12*(1+Expenses!$F$17)^((DD$1-1)/12)</f>
        <v>-6513.7348496923123</v>
      </c>
      <c r="DE35" s="161">
        <f>-Expenses!$F9/12*(1+Expenses!$F$17)^((DE$1-1)/12)</f>
        <v>-6529.7994770569103</v>
      </c>
      <c r="DF35" s="161">
        <f>-Expenses!$F9/12*(1+Expenses!$F$17)^((DF$1-1)/12)</f>
        <v>-6545.9037241263786</v>
      </c>
      <c r="DG35" s="161">
        <f>-Expenses!$F9/12*(1+Expenses!$F$17)^((DG$1-1)/12)</f>
        <v>-6562.0476886136003</v>
      </c>
      <c r="DH35" s="161">
        <f>-Expenses!$F9/12*(1+Expenses!$F$17)^((DH$1-1)/12)</f>
        <v>-6578.2314684724415</v>
      </c>
      <c r="DI35" s="161">
        <f>-Expenses!$F9/12*(1+Expenses!$F$17)^((DI$1-1)/12)</f>
        <v>-6594.4551618983542</v>
      </c>
      <c r="DJ35" s="161">
        <f>-Expenses!$F9/12*(1+Expenses!$F$17)^((DJ$1-1)/12)</f>
        <v>-6610.7188673289538</v>
      </c>
      <c r="DK35" s="161">
        <f>-Expenses!$F9/12*(1+Expenses!$F$17)^((DK$1-1)/12)</f>
        <v>-6627.0226834446448</v>
      </c>
      <c r="DL35" s="161">
        <f>-Expenses!$F9/12*(1+Expenses!$F$17)^((DL$1-1)/12)</f>
        <v>-6643.366709169195</v>
      </c>
      <c r="DM35" s="161">
        <f>-Expenses!$F9/12*(1+Expenses!$F$17)^((DM$1-1)/12)</f>
        <v>-6659.7510436703469</v>
      </c>
      <c r="DN35" s="161">
        <f>-Expenses!$F9/12*(1+Expenses!$F$17)^((DN$1-1)/12)</f>
        <v>-6676.1757863604189</v>
      </c>
      <c r="DO35" s="161">
        <f>-Expenses!$F9/12*(1+Expenses!$F$17)^((DO$1-1)/12)</f>
        <v>-6692.6410368969046</v>
      </c>
      <c r="DP35" s="161">
        <f>-Expenses!$F9/12*(1+Expenses!$F$17)^((DP$1-1)/12)</f>
        <v>-6709.1468951830821</v>
      </c>
      <c r="DQ35" s="161">
        <f>-Expenses!$F9/12*(1+Expenses!$F$17)^((DQ$1-1)/12)</f>
        <v>-6725.6934613686162</v>
      </c>
      <c r="DR35" s="161">
        <f>-Expenses!$F9/12*(1+Expenses!$F$17)^((DR$1-1)/12)</f>
        <v>-6742.2808358501707</v>
      </c>
      <c r="DS35" s="161">
        <f>-Expenses!$F9/12*(1+Expenses!$F$17)^((DS$1-1)/12)</f>
        <v>-6758.9091192720089</v>
      </c>
      <c r="DT35" s="161">
        <f>-Expenses!$F9/12*(1+Expenses!$F$17)^((DT$1-1)/12)</f>
        <v>-6775.5784125266146</v>
      </c>
      <c r="DU35" s="161">
        <f>-Expenses!$F9/12*(1+Expenses!$F$17)^((DU$1-1)/12)</f>
        <v>-6792.2888167553047</v>
      </c>
      <c r="DV35" s="161">
        <f>-Expenses!$F9/12*(1+Expenses!$F$17)^((DV$1-1)/12)</f>
        <v>-6809.0404333488241</v>
      </c>
      <c r="DW35" s="161">
        <f>-Expenses!$F9/12*(1+Expenses!$F$17)^((DW$1-1)/12)</f>
        <v>-6825.8333639479843</v>
      </c>
      <c r="DX35" s="161">
        <f>-Expenses!$F9/12*(1+Expenses!$F$17)^((DX$1-1)/12)</f>
        <v>-6842.6677104442715</v>
      </c>
      <c r="DY35" s="161">
        <f>-Expenses!$F9/12*(1+Expenses!$F$17)^((DY$1-1)/12)</f>
        <v>-6859.5435749804574</v>
      </c>
      <c r="DZ35" s="161">
        <f>-Expenses!$F9/12*(1+Expenses!$F$17)^((DZ$1-1)/12)</f>
        <v>-6876.4610599512316</v>
      </c>
      <c r="EA35" s="161">
        <f>-Expenses!$F9/12*(1+Expenses!$F$17)^((EA$1-1)/12)</f>
        <v>-6893.4202680038115</v>
      </c>
      <c r="EB35" s="161">
        <f>-Expenses!$F9/12*(1+Expenses!$F$17)^((EB$1-1)/12)</f>
        <v>-6910.4213020385741</v>
      </c>
      <c r="EC35" s="161">
        <f>-Expenses!$F9/12*(1+Expenses!$F$17)^((EC$1-1)/12)</f>
        <v>-6927.4642652096754</v>
      </c>
      <c r="ED35" s="161">
        <f>-Expenses!$F9/12*(1+Expenses!$F$17)^((ED$1-1)/12)</f>
        <v>-6944.5492609256753</v>
      </c>
      <c r="EE35" s="162">
        <f>-Expenses!$F9/12*(1+Expenses!$F$17)^((EE$1-1)/12)</f>
        <v>-6961.6763928501696</v>
      </c>
    </row>
    <row r="36" spans="1:135" x14ac:dyDescent="0.35">
      <c r="A36" s="168">
        <f>SUMIF($C$1:$EE$1,"&lt;="&amp;Summary!$K$19,'Monthly CF'!C36:EE36)</f>
        <v>607179.81944942079</v>
      </c>
      <c r="B36" s="5" t="str">
        <f>Expenses!E10</f>
        <v>Utility Bill-Back</v>
      </c>
      <c r="C36" s="160"/>
      <c r="D36" s="161">
        <f>-Expenses!$F10/12*(1+Expenses!$F$17)^((D$1-1)/12)</f>
        <v>4354.166666666667</v>
      </c>
      <c r="E36" s="161">
        <f>-Expenses!$F10/12*(1+Expenses!$F$17)^((E$1-1)/12)</f>
        <v>4364.9052163002389</v>
      </c>
      <c r="F36" s="161">
        <f>-Expenses!$F10/12*(1+Expenses!$F$17)^((F$1-1)/12)</f>
        <v>4375.6702500941701</v>
      </c>
      <c r="G36" s="161">
        <f>-Expenses!$F10/12*(1+Expenses!$F$17)^((G$1-1)/12)</f>
        <v>4386.4618333655453</v>
      </c>
      <c r="H36" s="161">
        <f>-Expenses!$F10/12*(1+Expenses!$F$17)^((H$1-1)/12)</f>
        <v>4397.2800315925388</v>
      </c>
      <c r="I36" s="161">
        <f>-Expenses!$F10/12*(1+Expenses!$F$17)^((I$1-1)/12)</f>
        <v>4408.1249104148092</v>
      </c>
      <c r="J36" s="161">
        <f>-Expenses!$F10/12*(1+Expenses!$F$17)^((J$1-1)/12)</f>
        <v>4418.9965356339044</v>
      </c>
      <c r="K36" s="161">
        <f>-Expenses!$F10/12*(1+Expenses!$F$17)^((K$1-1)/12)</f>
        <v>4429.8949732136525</v>
      </c>
      <c r="L36" s="161">
        <f>-Expenses!$F10/12*(1+Expenses!$F$17)^((L$1-1)/12)</f>
        <v>4440.8202892805693</v>
      </c>
      <c r="M36" s="161">
        <f>-Expenses!$F10/12*(1+Expenses!$F$17)^((M$1-1)/12)</f>
        <v>4451.7725501242539</v>
      </c>
      <c r="N36" s="161">
        <f>-Expenses!$F10/12*(1+Expenses!$F$17)^((N$1-1)/12)</f>
        <v>4462.7518221977962</v>
      </c>
      <c r="O36" s="161">
        <f>-Expenses!$F10/12*(1+Expenses!$F$17)^((O$1-1)/12)</f>
        <v>4473.7581721181759</v>
      </c>
      <c r="P36" s="161">
        <f>-Expenses!$F10/12*(1+Expenses!$F$17)^((P$1-1)/12)</f>
        <v>4484.791666666667</v>
      </c>
      <c r="Q36" s="161">
        <f>-Expenses!$F10/12*(1+Expenses!$F$17)^((Q$1-1)/12)</f>
        <v>4495.8523727892461</v>
      </c>
      <c r="R36" s="161">
        <f>-Expenses!$F10/12*(1+Expenses!$F$17)^((R$1-1)/12)</f>
        <v>4506.9403575969955</v>
      </c>
      <c r="S36" s="161">
        <f>-Expenses!$F10/12*(1+Expenses!$F$17)^((S$1-1)/12)</f>
        <v>4518.0556883665131</v>
      </c>
      <c r="T36" s="161">
        <f>-Expenses!$F10/12*(1+Expenses!$F$17)^((T$1-1)/12)</f>
        <v>4529.1984325403146</v>
      </c>
      <c r="U36" s="161">
        <f>-Expenses!$F10/12*(1+Expenses!$F$17)^((U$1-1)/12)</f>
        <v>4540.3686577272538</v>
      </c>
      <c r="V36" s="161">
        <f>-Expenses!$F10/12*(1+Expenses!$F$17)^((V$1-1)/12)</f>
        <v>4551.5664317029214</v>
      </c>
      <c r="W36" s="161">
        <f>-Expenses!$F10/12*(1+Expenses!$F$17)^((W$1-1)/12)</f>
        <v>4562.7918224100622</v>
      </c>
      <c r="X36" s="161">
        <f>-Expenses!$F10/12*(1+Expenses!$F$17)^((X$1-1)/12)</f>
        <v>4574.0448979589855</v>
      </c>
      <c r="Y36" s="161">
        <f>-Expenses!$F10/12*(1+Expenses!$F$17)^((Y$1-1)/12)</f>
        <v>4585.3257266279816</v>
      </c>
      <c r="Z36" s="161">
        <f>-Expenses!$F10/12*(1+Expenses!$F$17)^((Z$1-1)/12)</f>
        <v>4596.6343768637307</v>
      </c>
      <c r="AA36" s="161">
        <f>-Expenses!$F10/12*(1+Expenses!$F$17)^((AA$1-1)/12)</f>
        <v>4607.9709172817211</v>
      </c>
      <c r="AB36" s="161">
        <f>-Expenses!$F10/12*(1+Expenses!$F$17)^((AB$1-1)/12)</f>
        <v>4619.3354166666668</v>
      </c>
      <c r="AC36" s="161">
        <f>-Expenses!$F10/12*(1+Expenses!$F$17)^((AC$1-1)/12)</f>
        <v>4630.7279439729236</v>
      </c>
      <c r="AD36" s="161">
        <f>-Expenses!$F10/12*(1+Expenses!$F$17)^((AD$1-1)/12)</f>
        <v>4642.1485683249057</v>
      </c>
      <c r="AE36" s="161">
        <f>-Expenses!$F10/12*(1+Expenses!$F$17)^((AE$1-1)/12)</f>
        <v>4653.5973590175072</v>
      </c>
      <c r="AF36" s="161">
        <f>-Expenses!$F10/12*(1+Expenses!$F$17)^((AF$1-1)/12)</f>
        <v>4665.0743855165247</v>
      </c>
      <c r="AG36" s="161">
        <f>-Expenses!$F10/12*(1+Expenses!$F$17)^((AG$1-1)/12)</f>
        <v>4676.5797174590716</v>
      </c>
      <c r="AH36" s="161">
        <f>-Expenses!$F10/12*(1+Expenses!$F$17)^((AH$1-1)/12)</f>
        <v>4688.1134246540087</v>
      </c>
      <c r="AI36" s="161">
        <f>-Expenses!$F10/12*(1+Expenses!$F$17)^((AI$1-1)/12)</f>
        <v>4699.6755770823638</v>
      </c>
      <c r="AJ36" s="161">
        <f>-Expenses!$F10/12*(1+Expenses!$F$17)^((AJ$1-1)/12)</f>
        <v>4711.2662448977562</v>
      </c>
      <c r="AK36" s="161">
        <f>-Expenses!$F10/12*(1+Expenses!$F$17)^((AK$1-1)/12)</f>
        <v>4722.885498426821</v>
      </c>
      <c r="AL36" s="161">
        <f>-Expenses!$F10/12*(1+Expenses!$F$17)^((AL$1-1)/12)</f>
        <v>4734.5334081696428</v>
      </c>
      <c r="AM36" s="161">
        <f>-Expenses!$F10/12*(1+Expenses!$F$17)^((AM$1-1)/12)</f>
        <v>4746.2100448001729</v>
      </c>
      <c r="AN36" s="161">
        <f>-Expenses!$F10/12*(1+Expenses!$F$17)^((AN$1-1)/12)</f>
        <v>4757.915479166667</v>
      </c>
      <c r="AO36" s="161">
        <f>-Expenses!$F10/12*(1+Expenses!$F$17)^((AO$1-1)/12)</f>
        <v>4769.6497822921119</v>
      </c>
      <c r="AP36" s="161">
        <f>-Expenses!$F10/12*(1+Expenses!$F$17)^((AP$1-1)/12)</f>
        <v>4781.4130253746525</v>
      </c>
      <c r="AQ36" s="161">
        <f>-Expenses!$F10/12*(1+Expenses!$F$17)^((AQ$1-1)/12)</f>
        <v>4793.2052797880333</v>
      </c>
      <c r="AR36" s="161">
        <f>-Expenses!$F10/12*(1+Expenses!$F$17)^((AR$1-1)/12)</f>
        <v>4805.0266170820205</v>
      </c>
      <c r="AS36" s="161">
        <f>-Expenses!$F10/12*(1+Expenses!$F$17)^((AS$1-1)/12)</f>
        <v>4816.8771089828442</v>
      </c>
      <c r="AT36" s="161">
        <f>-Expenses!$F10/12*(1+Expenses!$F$17)^((AT$1-1)/12)</f>
        <v>4828.7568273936295</v>
      </c>
      <c r="AU36" s="161">
        <f>-Expenses!$F10/12*(1+Expenses!$F$17)^((AU$1-1)/12)</f>
        <v>4840.6658443948354</v>
      </c>
      <c r="AV36" s="161">
        <f>-Expenses!$F10/12*(1+Expenses!$F$17)^((AV$1-1)/12)</f>
        <v>4852.6042322446892</v>
      </c>
      <c r="AW36" s="161">
        <f>-Expenses!$F10/12*(1+Expenses!$F$17)^((AW$1-1)/12)</f>
        <v>4864.5720633796263</v>
      </c>
      <c r="AX36" s="161">
        <f>-Expenses!$F10/12*(1+Expenses!$F$17)^((AX$1-1)/12)</f>
        <v>4876.5694104147324</v>
      </c>
      <c r="AY36" s="161">
        <f>-Expenses!$F10/12*(1+Expenses!$F$17)^((AY$1-1)/12)</f>
        <v>4888.5963461441788</v>
      </c>
      <c r="AZ36" s="161">
        <f>-Expenses!$F10/12*(1+Expenses!$F$17)^((AZ$1-1)/12)</f>
        <v>4900.6529435416669</v>
      </c>
      <c r="BA36" s="161">
        <f>-Expenses!$F10/12*(1+Expenses!$F$17)^((BA$1-1)/12)</f>
        <v>4912.739275760875</v>
      </c>
      <c r="BB36" s="161">
        <f>-Expenses!$F10/12*(1+Expenses!$F$17)^((BB$1-1)/12)</f>
        <v>4924.8554161358925</v>
      </c>
      <c r="BC36" s="161">
        <f>-Expenses!$F10/12*(1+Expenses!$F$17)^((BC$1-1)/12)</f>
        <v>4937.0014381816745</v>
      </c>
      <c r="BD36" s="161">
        <f>-Expenses!$F10/12*(1+Expenses!$F$17)^((BD$1-1)/12)</f>
        <v>4949.1774155944813</v>
      </c>
      <c r="BE36" s="161">
        <f>-Expenses!$F10/12*(1+Expenses!$F$17)^((BE$1-1)/12)</f>
        <v>4961.3834222523292</v>
      </c>
      <c r="BF36" s="161">
        <f>-Expenses!$F10/12*(1+Expenses!$F$17)^((BF$1-1)/12)</f>
        <v>4973.619532215439</v>
      </c>
      <c r="BG36" s="161">
        <f>-Expenses!$F10/12*(1+Expenses!$F$17)^((BG$1-1)/12)</f>
        <v>4985.88581972668</v>
      </c>
      <c r="BH36" s="161">
        <f>-Expenses!$F10/12*(1+Expenses!$F$17)^((BH$1-1)/12)</f>
        <v>4998.182359212029</v>
      </c>
      <c r="BI36" s="161">
        <f>-Expenses!$F10/12*(1+Expenses!$F$17)^((BI$1-1)/12)</f>
        <v>5010.5092252810155</v>
      </c>
      <c r="BJ36" s="161">
        <f>-Expenses!$F10/12*(1+Expenses!$F$17)^((BJ$1-1)/12)</f>
        <v>5022.8664927271739</v>
      </c>
      <c r="BK36" s="161">
        <f>-Expenses!$F10/12*(1+Expenses!$F$17)^((BK$1-1)/12)</f>
        <v>5035.2542365285035</v>
      </c>
      <c r="BL36" s="161">
        <f>-Expenses!$F10/12*(1+Expenses!$F$17)^((BL$1-1)/12)</f>
        <v>5047.6725318479166</v>
      </c>
      <c r="BM36" s="161">
        <f>-Expenses!$F10/12*(1+Expenses!$F$17)^((BM$1-1)/12)</f>
        <v>5060.1214540337014</v>
      </c>
      <c r="BN36" s="161">
        <f>-Expenses!$F10/12*(1+Expenses!$F$17)^((BN$1-1)/12)</f>
        <v>5072.6010786199695</v>
      </c>
      <c r="BO36" s="161">
        <f>-Expenses!$F10/12*(1+Expenses!$F$17)^((BO$1-1)/12)</f>
        <v>5085.1114813271251</v>
      </c>
      <c r="BP36" s="161">
        <f>-Expenses!$F10/12*(1+Expenses!$F$17)^((BP$1-1)/12)</f>
        <v>5097.6527380623156</v>
      </c>
      <c r="BQ36" s="161">
        <f>-Expenses!$F10/12*(1+Expenses!$F$17)^((BQ$1-1)/12)</f>
        <v>5110.2249249198994</v>
      </c>
      <c r="BR36" s="161">
        <f>-Expenses!$F10/12*(1+Expenses!$F$17)^((BR$1-1)/12)</f>
        <v>5122.828118181902</v>
      </c>
      <c r="BS36" s="161">
        <f>-Expenses!$F10/12*(1+Expenses!$F$17)^((BS$1-1)/12)</f>
        <v>5135.4623943184806</v>
      </c>
      <c r="BT36" s="161">
        <f>-Expenses!$F10/12*(1+Expenses!$F$17)^((BT$1-1)/12)</f>
        <v>5148.1278299883907</v>
      </c>
      <c r="BU36" s="161">
        <f>-Expenses!$F10/12*(1+Expenses!$F$17)^((BU$1-1)/12)</f>
        <v>5160.8245020394452</v>
      </c>
      <c r="BV36" s="161">
        <f>-Expenses!$F10/12*(1+Expenses!$F$17)^((BV$1-1)/12)</f>
        <v>5173.5524875089895</v>
      </c>
      <c r="BW36" s="161">
        <f>-Expenses!$F10/12*(1+Expenses!$F$17)^((BW$1-1)/12)</f>
        <v>5186.3118636243589</v>
      </c>
      <c r="BX36" s="161">
        <f>-Expenses!$F10/12*(1+Expenses!$F$17)^((BX$1-1)/12)</f>
        <v>5199.102707803354</v>
      </c>
      <c r="BY36" s="161">
        <f>-Expenses!$F10/12*(1+Expenses!$F$17)^((BY$1-1)/12)</f>
        <v>5211.9250976547119</v>
      </c>
      <c r="BZ36" s="161">
        <f>-Expenses!$F10/12*(1+Expenses!$F$17)^((BZ$1-1)/12)</f>
        <v>5224.7791109785694</v>
      </c>
      <c r="CA36" s="161">
        <f>-Expenses!$F10/12*(1+Expenses!$F$17)^((CA$1-1)/12)</f>
        <v>5237.6648257669385</v>
      </c>
      <c r="CB36" s="161">
        <f>-Expenses!$F10/12*(1+Expenses!$F$17)^((CB$1-1)/12)</f>
        <v>5250.5823202041856</v>
      </c>
      <c r="CC36" s="161">
        <f>-Expenses!$F10/12*(1+Expenses!$F$17)^((CC$1-1)/12)</f>
        <v>5263.5316726674973</v>
      </c>
      <c r="CD36" s="161">
        <f>-Expenses!$F10/12*(1+Expenses!$F$17)^((CD$1-1)/12)</f>
        <v>5276.5129617273597</v>
      </c>
      <c r="CE36" s="161">
        <f>-Expenses!$F10/12*(1+Expenses!$F$17)^((CE$1-1)/12)</f>
        <v>5289.5262661480356</v>
      </c>
      <c r="CF36" s="161">
        <f>-Expenses!$F10/12*(1+Expenses!$F$17)^((CF$1-1)/12)</f>
        <v>5302.5716648880425</v>
      </c>
      <c r="CG36" s="161">
        <f>-Expenses!$F10/12*(1+Expenses!$F$17)^((CG$1-1)/12)</f>
        <v>5315.6492371006289</v>
      </c>
      <c r="CH36" s="161">
        <f>-Expenses!$F10/12*(1+Expenses!$F$17)^((CH$1-1)/12)</f>
        <v>5328.7590621342597</v>
      </c>
      <c r="CI36" s="161">
        <f>-Expenses!$F10/12*(1+Expenses!$F$17)^((CI$1-1)/12)</f>
        <v>5341.9012195330897</v>
      </c>
      <c r="CJ36" s="161">
        <f>-Expenses!$F10/12*(1+Expenses!$F$17)^((CJ$1-1)/12)</f>
        <v>5355.0757890374553</v>
      </c>
      <c r="CK36" s="161">
        <f>-Expenses!$F10/12*(1+Expenses!$F$17)^((CK$1-1)/12)</f>
        <v>5368.2828505843545</v>
      </c>
      <c r="CL36" s="161">
        <f>-Expenses!$F10/12*(1+Expenses!$F$17)^((CL$1-1)/12)</f>
        <v>5381.5224843079259</v>
      </c>
      <c r="CM36" s="161">
        <f>-Expenses!$F10/12*(1+Expenses!$F$17)^((CM$1-1)/12)</f>
        <v>5394.7947705399474</v>
      </c>
      <c r="CN36" s="161">
        <f>-Expenses!$F10/12*(1+Expenses!$F$17)^((CN$1-1)/12)</f>
        <v>5408.0997898103105</v>
      </c>
      <c r="CO36" s="161">
        <f>-Expenses!$F10/12*(1+Expenses!$F$17)^((CO$1-1)/12)</f>
        <v>5421.4376228475221</v>
      </c>
      <c r="CP36" s="161">
        <f>-Expenses!$F10/12*(1+Expenses!$F$17)^((CP$1-1)/12)</f>
        <v>5434.8083505791801</v>
      </c>
      <c r="CQ36" s="161">
        <f>-Expenses!$F10/12*(1+Expenses!$F$17)^((CQ$1-1)/12)</f>
        <v>5448.2120541324766</v>
      </c>
      <c r="CR36" s="161">
        <f>-Expenses!$F10/12*(1+Expenses!$F$17)^((CR$1-1)/12)</f>
        <v>5461.6488148346834</v>
      </c>
      <c r="CS36" s="161">
        <f>-Expenses!$F10/12*(1+Expenses!$F$17)^((CS$1-1)/12)</f>
        <v>5475.1187142136487</v>
      </c>
      <c r="CT36" s="161">
        <f>-Expenses!$F10/12*(1+Expenses!$F$17)^((CT$1-1)/12)</f>
        <v>5488.621833998287</v>
      </c>
      <c r="CU36" s="161">
        <f>-Expenses!$F10/12*(1+Expenses!$F$17)^((CU$1-1)/12)</f>
        <v>5502.1582561190826</v>
      </c>
      <c r="CV36" s="161">
        <f>-Expenses!$F10/12*(1+Expenses!$F$17)^((CV$1-1)/12)</f>
        <v>5515.7280627085784</v>
      </c>
      <c r="CW36" s="161">
        <f>-Expenses!$F10/12*(1+Expenses!$F$17)^((CW$1-1)/12)</f>
        <v>5529.3313361018854</v>
      </c>
      <c r="CX36" s="161">
        <f>-Expenses!$F10/12*(1+Expenses!$F$17)^((CX$1-1)/12)</f>
        <v>5542.9681588371641</v>
      </c>
      <c r="CY36" s="161">
        <f>-Expenses!$F10/12*(1+Expenses!$F$17)^((CY$1-1)/12)</f>
        <v>5556.6386136561459</v>
      </c>
      <c r="CZ36" s="161">
        <f>-Expenses!$F10/12*(1+Expenses!$F$17)^((CZ$1-1)/12)</f>
        <v>5570.3427835046214</v>
      </c>
      <c r="DA36" s="161">
        <f>-Expenses!$F10/12*(1+Expenses!$F$17)^((DA$1-1)/12)</f>
        <v>5584.080751532947</v>
      </c>
      <c r="DB36" s="161">
        <f>-Expenses!$F10/12*(1+Expenses!$F$17)^((DB$1-1)/12)</f>
        <v>5597.8526010965561</v>
      </c>
      <c r="DC36" s="161">
        <f>-Expenses!$F10/12*(1+Expenses!$F$17)^((DC$1-1)/12)</f>
        <v>5611.6584157564512</v>
      </c>
      <c r="DD36" s="161">
        <f>-Expenses!$F10/12*(1+Expenses!$F$17)^((DD$1-1)/12)</f>
        <v>5625.4982792797246</v>
      </c>
      <c r="DE36" s="161">
        <f>-Expenses!$F10/12*(1+Expenses!$F$17)^((DE$1-1)/12)</f>
        <v>5639.3722756400584</v>
      </c>
      <c r="DF36" s="161">
        <f>-Expenses!$F10/12*(1+Expenses!$F$17)^((DF$1-1)/12)</f>
        <v>5653.280489018236</v>
      </c>
      <c r="DG36" s="161">
        <f>-Expenses!$F10/12*(1+Expenses!$F$17)^((DG$1-1)/12)</f>
        <v>5667.2230038026546</v>
      </c>
      <c r="DH36" s="161">
        <f>-Expenses!$F10/12*(1+Expenses!$F$17)^((DH$1-1)/12)</f>
        <v>5681.1999045898356</v>
      </c>
      <c r="DI36" s="161">
        <f>-Expenses!$F10/12*(1+Expenses!$F$17)^((DI$1-1)/12)</f>
        <v>5695.2112761849421</v>
      </c>
      <c r="DJ36" s="161">
        <f>-Expenses!$F10/12*(1+Expenses!$F$17)^((DJ$1-1)/12)</f>
        <v>5709.2572036022784</v>
      </c>
      <c r="DK36" s="161">
        <f>-Expenses!$F10/12*(1+Expenses!$F$17)^((DK$1-1)/12)</f>
        <v>5723.33777206583</v>
      </c>
      <c r="DL36" s="161">
        <f>-Expenses!$F10/12*(1+Expenses!$F$17)^((DL$1-1)/12)</f>
        <v>5737.4530670097593</v>
      </c>
      <c r="DM36" s="161">
        <f>-Expenses!$F10/12*(1+Expenses!$F$17)^((DM$1-1)/12)</f>
        <v>5751.6031740789358</v>
      </c>
      <c r="DN36" s="161">
        <f>-Expenses!$F10/12*(1+Expenses!$F$17)^((DN$1-1)/12)</f>
        <v>5765.7881791294531</v>
      </c>
      <c r="DO36" s="161">
        <f>-Expenses!$F10/12*(1+Expenses!$F$17)^((DO$1-1)/12)</f>
        <v>5780.0081682291448</v>
      </c>
      <c r="DP36" s="161">
        <f>-Expenses!$F10/12*(1+Expenses!$F$17)^((DP$1-1)/12)</f>
        <v>5794.2632276581162</v>
      </c>
      <c r="DQ36" s="161">
        <f>-Expenses!$F10/12*(1+Expenses!$F$17)^((DQ$1-1)/12)</f>
        <v>5808.5534439092598</v>
      </c>
      <c r="DR36" s="161">
        <f>-Expenses!$F10/12*(1+Expenses!$F$17)^((DR$1-1)/12)</f>
        <v>5822.8789036887838</v>
      </c>
      <c r="DS36" s="161">
        <f>-Expenses!$F10/12*(1+Expenses!$F$17)^((DS$1-1)/12)</f>
        <v>5837.2396939167347</v>
      </c>
      <c r="DT36" s="161">
        <f>-Expenses!$F10/12*(1+Expenses!$F$17)^((DT$1-1)/12)</f>
        <v>5851.6359017275308</v>
      </c>
      <c r="DU36" s="161">
        <f>-Expenses!$F10/12*(1+Expenses!$F$17)^((DU$1-1)/12)</f>
        <v>5866.0676144704903</v>
      </c>
      <c r="DV36" s="161">
        <f>-Expenses!$F10/12*(1+Expenses!$F$17)^((DV$1-1)/12)</f>
        <v>5880.5349197103478</v>
      </c>
      <c r="DW36" s="161">
        <f>-Expenses!$F10/12*(1+Expenses!$F$17)^((DW$1-1)/12)</f>
        <v>5895.0379052278049</v>
      </c>
      <c r="DX36" s="161">
        <f>-Expenses!$F10/12*(1+Expenses!$F$17)^((DX$1-1)/12)</f>
        <v>5909.5766590200528</v>
      </c>
      <c r="DY36" s="161">
        <f>-Expenses!$F10/12*(1+Expenses!$F$17)^((DY$1-1)/12)</f>
        <v>5924.1512693013037</v>
      </c>
      <c r="DZ36" s="161">
        <f>-Expenses!$F10/12*(1+Expenses!$F$17)^((DZ$1-1)/12)</f>
        <v>5938.7618245033364</v>
      </c>
      <c r="EA36" s="161">
        <f>-Expenses!$F10/12*(1+Expenses!$F$17)^((EA$1-1)/12)</f>
        <v>5953.4084132760199</v>
      </c>
      <c r="EB36" s="161">
        <f>-Expenses!$F10/12*(1+Expenses!$F$17)^((EB$1-1)/12)</f>
        <v>5968.0911244878598</v>
      </c>
      <c r="EC36" s="161">
        <f>-Expenses!$F10/12*(1+Expenses!$F$17)^((EC$1-1)/12)</f>
        <v>5982.8100472265378</v>
      </c>
      <c r="ED36" s="161">
        <f>-Expenses!$F10/12*(1+Expenses!$F$17)^((ED$1-1)/12)</f>
        <v>5997.5652707994468</v>
      </c>
      <c r="EE36" s="162">
        <f>-Expenses!$F10/12*(1+Expenses!$F$17)^((EE$1-1)/12)</f>
        <v>6012.3568847342376</v>
      </c>
    </row>
    <row r="37" spans="1:135" x14ac:dyDescent="0.35">
      <c r="A37" s="168">
        <f>SUMIF($C$1:$EE$1,"&lt;="&amp;Summary!$K$19,'Monthly CF'!C37:EE37)</f>
        <v>-1411168.1502683295</v>
      </c>
      <c r="B37" s="5" t="str">
        <f>Expenses!E11</f>
        <v>Property Management Fee</v>
      </c>
      <c r="C37" s="160"/>
      <c r="D37" s="161">
        <f>D26*-Expenses!$F$19</f>
        <v>-9258.0000000000018</v>
      </c>
      <c r="E37" s="161">
        <f>E26*-Expenses!$F$19</f>
        <v>-9295.3291373182728</v>
      </c>
      <c r="F37" s="161">
        <f>F26*-Expenses!$F$19</f>
        <v>-9332.8093985354917</v>
      </c>
      <c r="G37" s="161">
        <f>G26*-Expenses!$F$19</f>
        <v>-9370.4413969824309</v>
      </c>
      <c r="H37" s="161">
        <f>H26*-Expenses!$F$19</f>
        <v>-9445.6291344135989</v>
      </c>
      <c r="I37" s="161">
        <f>I26*-Expenses!$F$19</f>
        <v>-9521.2746152734362</v>
      </c>
      <c r="J37" s="161">
        <f>J26*-Expenses!$F$19</f>
        <v>-9597.3803229206042</v>
      </c>
      <c r="K37" s="161">
        <f>K26*-Expenses!$F$19</f>
        <v>-9673.9487533547726</v>
      </c>
      <c r="L37" s="161">
        <f>L26*-Expenses!$F$19</f>
        <v>-9750.9824152784076</v>
      </c>
      <c r="M37" s="161">
        <f>M26*-Expenses!$F$19</f>
        <v>-9828.4838301588661</v>
      </c>
      <c r="N37" s="161">
        <f>N26*-Expenses!$F$19</f>
        <v>-9906.4555322907599</v>
      </c>
      <c r="O37" s="161">
        <f>O26*-Expenses!$F$19</f>
        <v>-9984.9000688586511</v>
      </c>
      <c r="P37" s="161">
        <f>P26*-Expenses!$F$19</f>
        <v>-10197.170000000009</v>
      </c>
      <c r="Q37" s="161">
        <f>Q26*-Expenses!$F$19</f>
        <v>-10269.644827138756</v>
      </c>
      <c r="R37" s="161">
        <f>R26*-Expenses!$F$19</f>
        <v>-10342.485057380713</v>
      </c>
      <c r="S37" s="161">
        <f>S26*-Expenses!$F$19</f>
        <v>-10376.14139818886</v>
      </c>
      <c r="T37" s="161">
        <f>T26*-Expenses!$F$19</f>
        <v>-10409.907422261318</v>
      </c>
      <c r="U37" s="161">
        <f>U26*-Expenses!$F$19</f>
        <v>-10443.783487442284</v>
      </c>
      <c r="V37" s="161">
        <f>V26*-Expenses!$F$19</f>
        <v>-10477.769952744406</v>
      </c>
      <c r="W37" s="161">
        <f>W26*-Expenses!$F$19</f>
        <v>-10511.867178352613</v>
      </c>
      <c r="X37" s="161">
        <f>X26*-Expenses!$F$19</f>
        <v>-10546.075525627934</v>
      </c>
      <c r="Y37" s="161">
        <f>Y26*-Expenses!$F$19</f>
        <v>-10580.395357111338</v>
      </c>
      <c r="Z37" s="161">
        <f>Z26*-Expenses!$F$19</f>
        <v>-10614.827036527602</v>
      </c>
      <c r="AA37" s="161">
        <f>AA26*-Expenses!$F$19</f>
        <v>-10649.370928789163</v>
      </c>
      <c r="AB37" s="161">
        <f>AB26*-Expenses!$F$19</f>
        <v>-10823.803400000015</v>
      </c>
      <c r="AC37" s="161">
        <f>AC26*-Expenses!$F$19</f>
        <v>-10850.497819146794</v>
      </c>
      <c r="AD37" s="161">
        <f>AD26*-Expenses!$F$19</f>
        <v>-10877.258073932604</v>
      </c>
      <c r="AE37" s="161">
        <f>AE26*-Expenses!$F$19</f>
        <v>-10904.084326725888</v>
      </c>
      <c r="AF37" s="161">
        <f>AF26*-Expenses!$F$19</f>
        <v>-10930.976740295542</v>
      </c>
      <c r="AG37" s="161">
        <f>AG26*-Expenses!$F$19</f>
        <v>-10957.935477811887</v>
      </c>
      <c r="AH37" s="161">
        <f>AH26*-Expenses!$F$19</f>
        <v>-10984.960702847669</v>
      </c>
      <c r="AI37" s="161">
        <f>AI26*-Expenses!$F$19</f>
        <v>-11012.052579379044</v>
      </c>
      <c r="AJ37" s="161">
        <f>AJ26*-Expenses!$F$19</f>
        <v>-11039.211271786588</v>
      </c>
      <c r="AK37" s="161">
        <f>AK26*-Expenses!$F$19</f>
        <v>-11066.436944856268</v>
      </c>
      <c r="AL37" s="161">
        <f>AL26*-Expenses!$F$19</f>
        <v>-11093.729763780473</v>
      </c>
      <c r="AM37" s="161">
        <f>AM26*-Expenses!$F$19</f>
        <v>-11121.089894158989</v>
      </c>
      <c r="AN37" s="161">
        <f>AN26*-Expenses!$F$19</f>
        <v>-11148.517502000024</v>
      </c>
      <c r="AO37" s="161">
        <f>AO26*-Expenses!$F$19</f>
        <v>-11176.012753721207</v>
      </c>
      <c r="AP37" s="161">
        <f>AP26*-Expenses!$F$19</f>
        <v>-11203.575816150587</v>
      </c>
      <c r="AQ37" s="161">
        <f>AQ26*-Expenses!$F$19</f>
        <v>-11231.206856527673</v>
      </c>
      <c r="AR37" s="161">
        <f>AR26*-Expenses!$F$19</f>
        <v>-11258.906042504417</v>
      </c>
      <c r="AS37" s="161">
        <f>AS26*-Expenses!$F$19</f>
        <v>-11286.673542146254</v>
      </c>
      <c r="AT37" s="161">
        <f>AT26*-Expenses!$F$19</f>
        <v>-11314.509523933109</v>
      </c>
      <c r="AU37" s="161">
        <f>AU26*-Expenses!$F$19</f>
        <v>-11342.414156760427</v>
      </c>
      <c r="AV37" s="161">
        <f>AV26*-Expenses!$F$19</f>
        <v>-11370.387609940193</v>
      </c>
      <c r="AW37" s="161">
        <f>AW26*-Expenses!$F$19</f>
        <v>-11398.430053201966</v>
      </c>
      <c r="AX37" s="161">
        <f>AX26*-Expenses!$F$19</f>
        <v>-11426.541656693893</v>
      </c>
      <c r="AY37" s="161">
        <f>AY26*-Expenses!$F$19</f>
        <v>-11454.722590983769</v>
      </c>
      <c r="AZ37" s="161">
        <f>AZ26*-Expenses!$F$19</f>
        <v>-11482.973027060034</v>
      </c>
      <c r="BA37" s="161">
        <f>BA26*-Expenses!$F$19</f>
        <v>-11511.29313633285</v>
      </c>
      <c r="BB37" s="161">
        <f>BB26*-Expenses!$F$19</f>
        <v>-11539.683090635115</v>
      </c>
      <c r="BC37" s="161">
        <f>BC26*-Expenses!$F$19</f>
        <v>-11568.143062223513</v>
      </c>
      <c r="BD37" s="161">
        <f>BD26*-Expenses!$F$19</f>
        <v>-11596.67322377956</v>
      </c>
      <c r="BE37" s="161">
        <f>BE26*-Expenses!$F$19</f>
        <v>-11625.273748410651</v>
      </c>
      <c r="BF37" s="161">
        <f>BF26*-Expenses!$F$19</f>
        <v>-11653.94480965111</v>
      </c>
      <c r="BG37" s="161">
        <f>BG26*-Expenses!$F$19</f>
        <v>-11682.686581463251</v>
      </c>
      <c r="BH37" s="161">
        <f>BH26*-Expenses!$F$19</f>
        <v>-11711.499238238406</v>
      </c>
      <c r="BI37" s="161">
        <f>BI26*-Expenses!$F$19</f>
        <v>-11740.382954798033</v>
      </c>
      <c r="BJ37" s="161">
        <f>BJ26*-Expenses!$F$19</f>
        <v>-11769.337906394721</v>
      </c>
      <c r="BK37" s="161">
        <f>BK26*-Expenses!$F$19</f>
        <v>-11798.364268713291</v>
      </c>
      <c r="BL37" s="161">
        <f>BL26*-Expenses!$F$19</f>
        <v>-11827.462217871847</v>
      </c>
      <c r="BM37" s="161">
        <f>BM26*-Expenses!$F$19</f>
        <v>-11856.631930422849</v>
      </c>
      <c r="BN37" s="161">
        <f>BN26*-Expenses!$F$19</f>
        <v>-11885.873583354181</v>
      </c>
      <c r="BO37" s="161">
        <f>BO26*-Expenses!$F$19</f>
        <v>-11915.187354090232</v>
      </c>
      <c r="BP37" s="161">
        <f>BP26*-Expenses!$F$19</f>
        <v>-11944.573420492956</v>
      </c>
      <c r="BQ37" s="161">
        <f>BQ26*-Expenses!$F$19</f>
        <v>-11974.031960862982</v>
      </c>
      <c r="BR37" s="161">
        <f>BR26*-Expenses!$F$19</f>
        <v>-12003.563153940653</v>
      </c>
      <c r="BS37" s="161">
        <f>BS26*-Expenses!$F$19</f>
        <v>-12033.167178907155</v>
      </c>
      <c r="BT37" s="161">
        <f>BT26*-Expenses!$F$19</f>
        <v>-12062.844215385572</v>
      </c>
      <c r="BU37" s="161">
        <f>BU26*-Expenses!$F$19</f>
        <v>-12092.594443441985</v>
      </c>
      <c r="BV37" s="161">
        <f>BV26*-Expenses!$F$19</f>
        <v>-12122.418043586576</v>
      </c>
      <c r="BW37" s="161">
        <f>BW26*-Expenses!$F$19</f>
        <v>-12152.315196774702</v>
      </c>
      <c r="BX37" s="161">
        <f>BX26*-Expenses!$F$19</f>
        <v>-12182.286084408013</v>
      </c>
      <c r="BY37" s="161">
        <f>BY26*-Expenses!$F$19</f>
        <v>-12212.330888335544</v>
      </c>
      <c r="BZ37" s="161">
        <f>BZ26*-Expenses!$F$19</f>
        <v>-12242.449790854815</v>
      </c>
      <c r="CA37" s="161">
        <f>CA26*-Expenses!$F$19</f>
        <v>-12272.642974712946</v>
      </c>
      <c r="CB37" s="161">
        <f>CB26*-Expenses!$F$19</f>
        <v>-12302.910623107759</v>
      </c>
      <c r="CC37" s="161">
        <f>CC26*-Expenses!$F$19</f>
        <v>-12333.252919688881</v>
      </c>
      <c r="CD37" s="161">
        <f>CD26*-Expenses!$F$19</f>
        <v>-12363.67004855889</v>
      </c>
      <c r="CE37" s="161">
        <f>CE26*-Expenses!$F$19</f>
        <v>-12394.162194274384</v>
      </c>
      <c r="CF37" s="161">
        <f>CF26*-Expenses!$F$19</f>
        <v>-12424.729541847151</v>
      </c>
      <c r="CG37" s="161">
        <f>CG26*-Expenses!$F$19</f>
        <v>-12455.37227674526</v>
      </c>
      <c r="CH37" s="161">
        <f>CH26*-Expenses!$F$19</f>
        <v>-12486.090584894186</v>
      </c>
      <c r="CI37" s="161">
        <f>CI26*-Expenses!$F$19</f>
        <v>-12516.884652677956</v>
      </c>
      <c r="CJ37" s="161">
        <f>CJ26*-Expenses!$F$19</f>
        <v>-12547.754666940267</v>
      </c>
      <c r="CK37" s="161">
        <f>CK26*-Expenses!$F$19</f>
        <v>-12578.700814985625</v>
      </c>
      <c r="CL37" s="161">
        <f>CL26*-Expenses!$F$19</f>
        <v>-12609.723284580476</v>
      </c>
      <c r="CM37" s="161">
        <f>CM26*-Expenses!$F$19</f>
        <v>-12640.822263954349</v>
      </c>
      <c r="CN37" s="161">
        <f>CN26*-Expenses!$F$19</f>
        <v>-12671.997941801004</v>
      </c>
      <c r="CO37" s="161">
        <f>CO26*-Expenses!$F$19</f>
        <v>-12703.250507279563</v>
      </c>
      <c r="CP37" s="161">
        <f>CP26*-Expenses!$F$19</f>
        <v>-12734.580150015669</v>
      </c>
      <c r="CQ37" s="161">
        <f>CQ26*-Expenses!$F$19</f>
        <v>-12765.987060102632</v>
      </c>
      <c r="CR37" s="161">
        <f>CR26*-Expenses!$F$19</f>
        <v>-12797.471428102583</v>
      </c>
      <c r="CS37" s="161">
        <f>CS26*-Expenses!$F$19</f>
        <v>-12829.033445047635</v>
      </c>
      <c r="CT37" s="161">
        <f>CT26*-Expenses!$F$19</f>
        <v>-12860.673302441028</v>
      </c>
      <c r="CU37" s="161">
        <f>CU26*-Expenses!$F$19</f>
        <v>-12892.39119225831</v>
      </c>
      <c r="CV37" s="161">
        <f>CV26*-Expenses!$F$19</f>
        <v>-12924.187306948494</v>
      </c>
      <c r="CW37" s="161">
        <f>CW26*-Expenses!$F$19</f>
        <v>-12956.061839435213</v>
      </c>
      <c r="CX37" s="161">
        <f>CX26*-Expenses!$F$19</f>
        <v>-12988.014983117906</v>
      </c>
      <c r="CY37" s="161">
        <f>CY26*-Expenses!$F$19</f>
        <v>-13020.046931872999</v>
      </c>
      <c r="CZ37" s="161">
        <f>CZ26*-Expenses!$F$19</f>
        <v>-13052.157880055049</v>
      </c>
      <c r="DA37" s="161">
        <f>DA26*-Expenses!$F$19</f>
        <v>-13084.348022497965</v>
      </c>
      <c r="DB37" s="161">
        <f>DB26*-Expenses!$F$19</f>
        <v>-13116.617554516153</v>
      </c>
      <c r="DC37" s="161">
        <f>DC26*-Expenses!$F$19</f>
        <v>-13148.966671905726</v>
      </c>
      <c r="DD37" s="161">
        <f>DD26*-Expenses!$F$19</f>
        <v>-13181.395570945675</v>
      </c>
      <c r="DE37" s="161">
        <f>DE26*-Expenses!$F$19</f>
        <v>-13213.904448399077</v>
      </c>
      <c r="DF37" s="161">
        <f>DF26*-Expenses!$F$19</f>
        <v>-13246.493501514276</v>
      </c>
      <c r="DG37" s="161">
        <f>DG26*-Expenses!$F$19</f>
        <v>-13279.162928026077</v>
      </c>
      <c r="DH37" s="161">
        <f>DH26*-Expenses!$F$19</f>
        <v>-13311.912926156963</v>
      </c>
      <c r="DI37" s="161">
        <f>DI26*-Expenses!$F$19</f>
        <v>-13344.743694618284</v>
      </c>
      <c r="DJ37" s="161">
        <f>DJ26*-Expenses!$F$19</f>
        <v>-13377.655432611462</v>
      </c>
      <c r="DK37" s="161">
        <f>DK26*-Expenses!$F$19</f>
        <v>-13410.648339829206</v>
      </c>
      <c r="DL37" s="161">
        <f>DL26*-Expenses!$F$19</f>
        <v>-13443.72261645672</v>
      </c>
      <c r="DM37" s="161">
        <f>DM26*-Expenses!$F$19</f>
        <v>-13476.87846317292</v>
      </c>
      <c r="DN37" s="161">
        <f>DN26*-Expenses!$F$19</f>
        <v>-13510.116081151658</v>
      </c>
      <c r="DO37" s="161">
        <f>DO26*-Expenses!$F$19</f>
        <v>-13543.435672062913</v>
      </c>
      <c r="DP37" s="161">
        <f>DP26*-Expenses!$F$19</f>
        <v>-13576.837438074064</v>
      </c>
      <c r="DQ37" s="161">
        <f>DQ26*-Expenses!$F$19</f>
        <v>-13610.321581851067</v>
      </c>
      <c r="DR37" s="161">
        <f>DR26*-Expenses!$F$19</f>
        <v>-13643.888306559718</v>
      </c>
      <c r="DS37" s="161">
        <f>DS26*-Expenses!$F$19</f>
        <v>-13677.537815866874</v>
      </c>
      <c r="DT37" s="161">
        <f>DT26*-Expenses!$F$19</f>
        <v>-13711.270313941684</v>
      </c>
      <c r="DU37" s="161">
        <f>DU26*-Expenses!$F$19</f>
        <v>-13745.086005456844</v>
      </c>
      <c r="DV37" s="161">
        <f>DV26*-Expenses!$F$19</f>
        <v>-13778.985095589815</v>
      </c>
      <c r="DW37" s="161">
        <f>DW26*-Expenses!$F$19</f>
        <v>-13812.967790024093</v>
      </c>
      <c r="DX37" s="161">
        <f>DX26*-Expenses!$F$19</f>
        <v>-13847.034294950436</v>
      </c>
      <c r="DY37" s="161">
        <f>DY26*-Expenses!$F$19</f>
        <v>-13881.184817068122</v>
      </c>
      <c r="DZ37" s="161">
        <f>DZ26*-Expenses!$F$19</f>
        <v>-13915.419563586216</v>
      </c>
      <c r="EA37" s="161">
        <f>EA26*-Expenses!$F$19</f>
        <v>-13949.738742224814</v>
      </c>
      <c r="EB37" s="161">
        <f>EB26*-Expenses!$F$19</f>
        <v>-13984.142561216297</v>
      </c>
      <c r="EC37" s="161">
        <f>EC26*-Expenses!$F$19</f>
        <v>-14018.631229306611</v>
      </c>
      <c r="ED37" s="161">
        <f>ED26*-Expenses!$F$19</f>
        <v>-14053.204955756521</v>
      </c>
      <c r="EE37" s="162">
        <f>EE26*-Expenses!$F$19</f>
        <v>-14087.863950342893</v>
      </c>
    </row>
    <row r="38" spans="1:135" x14ac:dyDescent="0.35">
      <c r="A38" s="168">
        <f>SUMIF($C$1:$EE$1,"&lt;="&amp;Summary!$K$19,'Monthly CF'!C38:EE38)</f>
        <v>-4812662.8415347114</v>
      </c>
      <c r="B38" s="5" t="str">
        <f>Expenses!E12</f>
        <v>Property Taxes</v>
      </c>
      <c r="C38" s="160"/>
      <c r="D38" s="161">
        <f>IF(AND(D1&gt;Summary!$K$19,Expenses!$B$18="Yes"),('Monthly CF'!$A$64*Expenses!$B$19*Expenses!$B$17+HLOOKUP('Monthly CF'!D2,Expenses!$J$6:$T$10,4,0))/-12,HLOOKUP('Monthly CF'!D2,Expenses!$J$6:$T$10,5,0)/-12)</f>
        <v>-34375</v>
      </c>
      <c r="E38" s="161">
        <f>IF(AND(E1&gt;Summary!$K$19,Expenses!$B$18="Yes"),('Monthly CF'!$A$64*Expenses!$B$19*Expenses!$B$17+HLOOKUP('Monthly CF'!E2,Expenses!$J$6:$T$10,4,0))/-12,HLOOKUP('Monthly CF'!E2,Expenses!$J$6:$T$10,5,0)/-12)</f>
        <v>-34375</v>
      </c>
      <c r="F38" s="161">
        <f>IF(AND(F1&gt;Summary!$K$19,Expenses!$B$18="Yes"),('Monthly CF'!$A$64*Expenses!$B$19*Expenses!$B$17+HLOOKUP('Monthly CF'!F2,Expenses!$J$6:$T$10,4,0))/-12,HLOOKUP('Monthly CF'!F2,Expenses!$J$6:$T$10,5,0)/-12)</f>
        <v>-34375</v>
      </c>
      <c r="G38" s="161">
        <f>IF(AND(G1&gt;Summary!$K$19,Expenses!$B$18="Yes"),('Monthly CF'!$A$64*Expenses!$B$19*Expenses!$B$17+HLOOKUP('Monthly CF'!G2,Expenses!$J$6:$T$10,4,0))/-12,HLOOKUP('Monthly CF'!G2,Expenses!$J$6:$T$10,5,0)/-12)</f>
        <v>-34375</v>
      </c>
      <c r="H38" s="161">
        <f>IF(AND(H1&gt;Summary!$K$19,Expenses!$B$18="Yes"),('Monthly CF'!$A$64*Expenses!$B$19*Expenses!$B$17+HLOOKUP('Monthly CF'!H2,Expenses!$J$6:$T$10,4,0))/-12,HLOOKUP('Monthly CF'!H2,Expenses!$J$6:$T$10,5,0)/-12)</f>
        <v>-34375</v>
      </c>
      <c r="I38" s="161">
        <f>IF(AND(I1&gt;Summary!$K$19,Expenses!$B$18="Yes"),('Monthly CF'!$A$64*Expenses!$B$19*Expenses!$B$17+HLOOKUP('Monthly CF'!I2,Expenses!$J$6:$T$10,4,0))/-12,HLOOKUP('Monthly CF'!I2,Expenses!$J$6:$T$10,5,0)/-12)</f>
        <v>-34375</v>
      </c>
      <c r="J38" s="161">
        <f>IF(AND(J1&gt;Summary!$K$19,Expenses!$B$18="Yes"),('Monthly CF'!$A$64*Expenses!$B$19*Expenses!$B$17+HLOOKUP('Monthly CF'!J2,Expenses!$J$6:$T$10,4,0))/-12,HLOOKUP('Monthly CF'!J2,Expenses!$J$6:$T$10,5,0)/-12)</f>
        <v>-34375</v>
      </c>
      <c r="K38" s="161">
        <f>IF(AND(K1&gt;Summary!$K$19,Expenses!$B$18="Yes"),('Monthly CF'!$A$64*Expenses!$B$19*Expenses!$B$17+HLOOKUP('Monthly CF'!K2,Expenses!$J$6:$T$10,4,0))/-12,HLOOKUP('Monthly CF'!K2,Expenses!$J$6:$T$10,5,0)/-12)</f>
        <v>-34375</v>
      </c>
      <c r="L38" s="161">
        <f>IF(AND(L1&gt;Summary!$K$19,Expenses!$B$18="Yes"),('Monthly CF'!$A$64*Expenses!$B$19*Expenses!$B$17+HLOOKUP('Monthly CF'!L2,Expenses!$J$6:$T$10,4,0))/-12,HLOOKUP('Monthly CF'!L2,Expenses!$J$6:$T$10,5,0)/-12)</f>
        <v>-34375</v>
      </c>
      <c r="M38" s="161">
        <f>IF(AND(M1&gt;Summary!$K$19,Expenses!$B$18="Yes"),('Monthly CF'!$A$64*Expenses!$B$19*Expenses!$B$17+HLOOKUP('Monthly CF'!M2,Expenses!$J$6:$T$10,4,0))/-12,HLOOKUP('Monthly CF'!M2,Expenses!$J$6:$T$10,5,0)/-12)</f>
        <v>-34375</v>
      </c>
      <c r="N38" s="161">
        <f>IF(AND(N1&gt;Summary!$K$19,Expenses!$B$18="Yes"),('Monthly CF'!$A$64*Expenses!$B$19*Expenses!$B$17+HLOOKUP('Monthly CF'!N2,Expenses!$J$6:$T$10,4,0))/-12,HLOOKUP('Monthly CF'!N2,Expenses!$J$6:$T$10,5,0)/-12)</f>
        <v>-34375</v>
      </c>
      <c r="O38" s="161">
        <f>IF(AND(O1&gt;Summary!$K$19,Expenses!$B$18="Yes"),('Monthly CF'!$A$64*Expenses!$B$19*Expenses!$B$17+HLOOKUP('Monthly CF'!O2,Expenses!$J$6:$T$10,4,0))/-12,HLOOKUP('Monthly CF'!O2,Expenses!$J$6:$T$10,5,0)/-12)</f>
        <v>-34375</v>
      </c>
      <c r="P38" s="161">
        <f>IF(AND(P1&gt;Summary!$K$19,Expenses!$B$18="Yes"),('Monthly CF'!$A$64*Expenses!$B$19*Expenses!$B$17+HLOOKUP('Monthly CF'!P2,Expenses!$J$6:$T$10,4,0))/-12,HLOOKUP('Monthly CF'!P2,Expenses!$J$6:$T$10,5,0)/-12)</f>
        <v>-36093.75</v>
      </c>
      <c r="Q38" s="161">
        <f>IF(AND(Q1&gt;Summary!$K$19,Expenses!$B$18="Yes"),('Monthly CF'!$A$64*Expenses!$B$19*Expenses!$B$17+HLOOKUP('Monthly CF'!Q2,Expenses!$J$6:$T$10,4,0))/-12,HLOOKUP('Monthly CF'!Q2,Expenses!$J$6:$T$10,5,0)/-12)</f>
        <v>-36093.75</v>
      </c>
      <c r="R38" s="161">
        <f>IF(AND(R1&gt;Summary!$K$19,Expenses!$B$18="Yes"),('Monthly CF'!$A$64*Expenses!$B$19*Expenses!$B$17+HLOOKUP('Monthly CF'!R2,Expenses!$J$6:$T$10,4,0))/-12,HLOOKUP('Monthly CF'!R2,Expenses!$J$6:$T$10,5,0)/-12)</f>
        <v>-36093.75</v>
      </c>
      <c r="S38" s="161">
        <f>IF(AND(S1&gt;Summary!$K$19,Expenses!$B$18="Yes"),('Monthly CF'!$A$64*Expenses!$B$19*Expenses!$B$17+HLOOKUP('Monthly CF'!S2,Expenses!$J$6:$T$10,4,0))/-12,HLOOKUP('Monthly CF'!S2,Expenses!$J$6:$T$10,5,0)/-12)</f>
        <v>-36093.75</v>
      </c>
      <c r="T38" s="161">
        <f>IF(AND(T1&gt;Summary!$K$19,Expenses!$B$18="Yes"),('Monthly CF'!$A$64*Expenses!$B$19*Expenses!$B$17+HLOOKUP('Monthly CF'!T2,Expenses!$J$6:$T$10,4,0))/-12,HLOOKUP('Monthly CF'!T2,Expenses!$J$6:$T$10,5,0)/-12)</f>
        <v>-36093.75</v>
      </c>
      <c r="U38" s="161">
        <f>IF(AND(U1&gt;Summary!$K$19,Expenses!$B$18="Yes"),('Monthly CF'!$A$64*Expenses!$B$19*Expenses!$B$17+HLOOKUP('Monthly CF'!U2,Expenses!$J$6:$T$10,4,0))/-12,HLOOKUP('Monthly CF'!U2,Expenses!$J$6:$T$10,5,0)/-12)</f>
        <v>-36093.75</v>
      </c>
      <c r="V38" s="161">
        <f>IF(AND(V1&gt;Summary!$K$19,Expenses!$B$18="Yes"),('Monthly CF'!$A$64*Expenses!$B$19*Expenses!$B$17+HLOOKUP('Monthly CF'!V2,Expenses!$J$6:$T$10,4,0))/-12,HLOOKUP('Monthly CF'!V2,Expenses!$J$6:$T$10,5,0)/-12)</f>
        <v>-36093.75</v>
      </c>
      <c r="W38" s="161">
        <f>IF(AND(W1&gt;Summary!$K$19,Expenses!$B$18="Yes"),('Monthly CF'!$A$64*Expenses!$B$19*Expenses!$B$17+HLOOKUP('Monthly CF'!W2,Expenses!$J$6:$T$10,4,0))/-12,HLOOKUP('Monthly CF'!W2,Expenses!$J$6:$T$10,5,0)/-12)</f>
        <v>-36093.75</v>
      </c>
      <c r="X38" s="161">
        <f>IF(AND(X1&gt;Summary!$K$19,Expenses!$B$18="Yes"),('Monthly CF'!$A$64*Expenses!$B$19*Expenses!$B$17+HLOOKUP('Monthly CF'!X2,Expenses!$J$6:$T$10,4,0))/-12,HLOOKUP('Monthly CF'!X2,Expenses!$J$6:$T$10,5,0)/-12)</f>
        <v>-36093.75</v>
      </c>
      <c r="Y38" s="161">
        <f>IF(AND(Y1&gt;Summary!$K$19,Expenses!$B$18="Yes"),('Monthly CF'!$A$64*Expenses!$B$19*Expenses!$B$17+HLOOKUP('Monthly CF'!Y2,Expenses!$J$6:$T$10,4,0))/-12,HLOOKUP('Monthly CF'!Y2,Expenses!$J$6:$T$10,5,0)/-12)</f>
        <v>-36093.75</v>
      </c>
      <c r="Z38" s="161">
        <f>IF(AND(Z1&gt;Summary!$K$19,Expenses!$B$18="Yes"),('Monthly CF'!$A$64*Expenses!$B$19*Expenses!$B$17+HLOOKUP('Monthly CF'!Z2,Expenses!$J$6:$T$10,4,0))/-12,HLOOKUP('Monthly CF'!Z2,Expenses!$J$6:$T$10,5,0)/-12)</f>
        <v>-36093.75</v>
      </c>
      <c r="AA38" s="161">
        <f>IF(AND(AA1&gt;Summary!$K$19,Expenses!$B$18="Yes"),('Monthly CF'!$A$64*Expenses!$B$19*Expenses!$B$17+HLOOKUP('Monthly CF'!AA2,Expenses!$J$6:$T$10,4,0))/-12,HLOOKUP('Monthly CF'!AA2,Expenses!$J$6:$T$10,5,0)/-12)</f>
        <v>-36093.75</v>
      </c>
      <c r="AB38" s="161">
        <f>IF(AND(AB1&gt;Summary!$K$19,Expenses!$B$18="Yes"),('Monthly CF'!$A$64*Expenses!$B$19*Expenses!$B$17+HLOOKUP('Monthly CF'!AB2,Expenses!$J$6:$T$10,4,0))/-12,HLOOKUP('Monthly CF'!AB2,Expenses!$J$6:$T$10,5,0)/-12)</f>
        <v>-37176.5625</v>
      </c>
      <c r="AC38" s="161">
        <f>IF(AND(AC1&gt;Summary!$K$19,Expenses!$B$18="Yes"),('Monthly CF'!$A$64*Expenses!$B$19*Expenses!$B$17+HLOOKUP('Monthly CF'!AC2,Expenses!$J$6:$T$10,4,0))/-12,HLOOKUP('Monthly CF'!AC2,Expenses!$J$6:$T$10,5,0)/-12)</f>
        <v>-37176.5625</v>
      </c>
      <c r="AD38" s="161">
        <f>IF(AND(AD1&gt;Summary!$K$19,Expenses!$B$18="Yes"),('Monthly CF'!$A$64*Expenses!$B$19*Expenses!$B$17+HLOOKUP('Monthly CF'!AD2,Expenses!$J$6:$T$10,4,0))/-12,HLOOKUP('Monthly CF'!AD2,Expenses!$J$6:$T$10,5,0)/-12)</f>
        <v>-37176.5625</v>
      </c>
      <c r="AE38" s="161">
        <f>IF(AND(AE1&gt;Summary!$K$19,Expenses!$B$18="Yes"),('Monthly CF'!$A$64*Expenses!$B$19*Expenses!$B$17+HLOOKUP('Monthly CF'!AE2,Expenses!$J$6:$T$10,4,0))/-12,HLOOKUP('Monthly CF'!AE2,Expenses!$J$6:$T$10,5,0)/-12)</f>
        <v>-37176.5625</v>
      </c>
      <c r="AF38" s="161">
        <f>IF(AND(AF1&gt;Summary!$K$19,Expenses!$B$18="Yes"),('Monthly CF'!$A$64*Expenses!$B$19*Expenses!$B$17+HLOOKUP('Monthly CF'!AF2,Expenses!$J$6:$T$10,4,0))/-12,HLOOKUP('Monthly CF'!AF2,Expenses!$J$6:$T$10,5,0)/-12)</f>
        <v>-37176.5625</v>
      </c>
      <c r="AG38" s="161">
        <f>IF(AND(AG1&gt;Summary!$K$19,Expenses!$B$18="Yes"),('Monthly CF'!$A$64*Expenses!$B$19*Expenses!$B$17+HLOOKUP('Monthly CF'!AG2,Expenses!$J$6:$T$10,4,0))/-12,HLOOKUP('Monthly CF'!AG2,Expenses!$J$6:$T$10,5,0)/-12)</f>
        <v>-37176.5625</v>
      </c>
      <c r="AH38" s="161">
        <f>IF(AND(AH1&gt;Summary!$K$19,Expenses!$B$18="Yes"),('Monthly CF'!$A$64*Expenses!$B$19*Expenses!$B$17+HLOOKUP('Monthly CF'!AH2,Expenses!$J$6:$T$10,4,0))/-12,HLOOKUP('Monthly CF'!AH2,Expenses!$J$6:$T$10,5,0)/-12)</f>
        <v>-37176.5625</v>
      </c>
      <c r="AI38" s="161">
        <f>IF(AND(AI1&gt;Summary!$K$19,Expenses!$B$18="Yes"),('Monthly CF'!$A$64*Expenses!$B$19*Expenses!$B$17+HLOOKUP('Monthly CF'!AI2,Expenses!$J$6:$T$10,4,0))/-12,HLOOKUP('Monthly CF'!AI2,Expenses!$J$6:$T$10,5,0)/-12)</f>
        <v>-37176.5625</v>
      </c>
      <c r="AJ38" s="161">
        <f>IF(AND(AJ1&gt;Summary!$K$19,Expenses!$B$18="Yes"),('Monthly CF'!$A$64*Expenses!$B$19*Expenses!$B$17+HLOOKUP('Monthly CF'!AJ2,Expenses!$J$6:$T$10,4,0))/-12,HLOOKUP('Monthly CF'!AJ2,Expenses!$J$6:$T$10,5,0)/-12)</f>
        <v>-37176.5625</v>
      </c>
      <c r="AK38" s="161">
        <f>IF(AND(AK1&gt;Summary!$K$19,Expenses!$B$18="Yes"),('Monthly CF'!$A$64*Expenses!$B$19*Expenses!$B$17+HLOOKUP('Monthly CF'!AK2,Expenses!$J$6:$T$10,4,0))/-12,HLOOKUP('Monthly CF'!AK2,Expenses!$J$6:$T$10,5,0)/-12)</f>
        <v>-37176.5625</v>
      </c>
      <c r="AL38" s="161">
        <f>IF(AND(AL1&gt;Summary!$K$19,Expenses!$B$18="Yes"),('Monthly CF'!$A$64*Expenses!$B$19*Expenses!$B$17+HLOOKUP('Monthly CF'!AL2,Expenses!$J$6:$T$10,4,0))/-12,HLOOKUP('Monthly CF'!AL2,Expenses!$J$6:$T$10,5,0)/-12)</f>
        <v>-37176.5625</v>
      </c>
      <c r="AM38" s="161">
        <f>IF(AND(AM1&gt;Summary!$K$19,Expenses!$B$18="Yes"),('Monthly CF'!$A$64*Expenses!$B$19*Expenses!$B$17+HLOOKUP('Monthly CF'!AM2,Expenses!$J$6:$T$10,4,0))/-12,HLOOKUP('Monthly CF'!AM2,Expenses!$J$6:$T$10,5,0)/-12)</f>
        <v>-37176.5625</v>
      </c>
      <c r="AN38" s="161">
        <f>IF(AND(AN1&gt;Summary!$K$19,Expenses!$B$18="Yes"),('Monthly CF'!$A$64*Expenses!$B$19*Expenses!$B$17+HLOOKUP('Monthly CF'!AN2,Expenses!$J$6:$T$10,4,0))/-12,HLOOKUP('Monthly CF'!AN2,Expenses!$J$6:$T$10,5,0)/-12)</f>
        <v>-38291.859375</v>
      </c>
      <c r="AO38" s="161">
        <f>IF(AND(AO1&gt;Summary!$K$19,Expenses!$B$18="Yes"),('Monthly CF'!$A$64*Expenses!$B$19*Expenses!$B$17+HLOOKUP('Monthly CF'!AO2,Expenses!$J$6:$T$10,4,0))/-12,HLOOKUP('Monthly CF'!AO2,Expenses!$J$6:$T$10,5,0)/-12)</f>
        <v>-38291.859375</v>
      </c>
      <c r="AP38" s="161">
        <f>IF(AND(AP1&gt;Summary!$K$19,Expenses!$B$18="Yes"),('Monthly CF'!$A$64*Expenses!$B$19*Expenses!$B$17+HLOOKUP('Monthly CF'!AP2,Expenses!$J$6:$T$10,4,0))/-12,HLOOKUP('Monthly CF'!AP2,Expenses!$J$6:$T$10,5,0)/-12)</f>
        <v>-38291.859375</v>
      </c>
      <c r="AQ38" s="161">
        <f>IF(AND(AQ1&gt;Summary!$K$19,Expenses!$B$18="Yes"),('Monthly CF'!$A$64*Expenses!$B$19*Expenses!$B$17+HLOOKUP('Monthly CF'!AQ2,Expenses!$J$6:$T$10,4,0))/-12,HLOOKUP('Monthly CF'!AQ2,Expenses!$J$6:$T$10,5,0)/-12)</f>
        <v>-38291.859375</v>
      </c>
      <c r="AR38" s="161">
        <f>IF(AND(AR1&gt;Summary!$K$19,Expenses!$B$18="Yes"),('Monthly CF'!$A$64*Expenses!$B$19*Expenses!$B$17+HLOOKUP('Monthly CF'!AR2,Expenses!$J$6:$T$10,4,0))/-12,HLOOKUP('Monthly CF'!AR2,Expenses!$J$6:$T$10,5,0)/-12)</f>
        <v>-38291.859375</v>
      </c>
      <c r="AS38" s="161">
        <f>IF(AND(AS1&gt;Summary!$K$19,Expenses!$B$18="Yes"),('Monthly CF'!$A$64*Expenses!$B$19*Expenses!$B$17+HLOOKUP('Monthly CF'!AS2,Expenses!$J$6:$T$10,4,0))/-12,HLOOKUP('Monthly CF'!AS2,Expenses!$J$6:$T$10,5,0)/-12)</f>
        <v>-38291.859375</v>
      </c>
      <c r="AT38" s="161">
        <f>IF(AND(AT1&gt;Summary!$K$19,Expenses!$B$18="Yes"),('Monthly CF'!$A$64*Expenses!$B$19*Expenses!$B$17+HLOOKUP('Monthly CF'!AT2,Expenses!$J$6:$T$10,4,0))/-12,HLOOKUP('Monthly CF'!AT2,Expenses!$J$6:$T$10,5,0)/-12)</f>
        <v>-38291.859375</v>
      </c>
      <c r="AU38" s="161">
        <f>IF(AND(AU1&gt;Summary!$K$19,Expenses!$B$18="Yes"),('Monthly CF'!$A$64*Expenses!$B$19*Expenses!$B$17+HLOOKUP('Monthly CF'!AU2,Expenses!$J$6:$T$10,4,0))/-12,HLOOKUP('Monthly CF'!AU2,Expenses!$J$6:$T$10,5,0)/-12)</f>
        <v>-38291.859375</v>
      </c>
      <c r="AV38" s="161">
        <f>IF(AND(AV1&gt;Summary!$K$19,Expenses!$B$18="Yes"),('Monthly CF'!$A$64*Expenses!$B$19*Expenses!$B$17+HLOOKUP('Monthly CF'!AV2,Expenses!$J$6:$T$10,4,0))/-12,HLOOKUP('Monthly CF'!AV2,Expenses!$J$6:$T$10,5,0)/-12)</f>
        <v>-38291.859375</v>
      </c>
      <c r="AW38" s="161">
        <f>IF(AND(AW1&gt;Summary!$K$19,Expenses!$B$18="Yes"),('Monthly CF'!$A$64*Expenses!$B$19*Expenses!$B$17+HLOOKUP('Monthly CF'!AW2,Expenses!$J$6:$T$10,4,0))/-12,HLOOKUP('Monthly CF'!AW2,Expenses!$J$6:$T$10,5,0)/-12)</f>
        <v>-38291.859375</v>
      </c>
      <c r="AX38" s="161">
        <f>IF(AND(AX1&gt;Summary!$K$19,Expenses!$B$18="Yes"),('Monthly CF'!$A$64*Expenses!$B$19*Expenses!$B$17+HLOOKUP('Monthly CF'!AX2,Expenses!$J$6:$T$10,4,0))/-12,HLOOKUP('Monthly CF'!AX2,Expenses!$J$6:$T$10,5,0)/-12)</f>
        <v>-38291.859375</v>
      </c>
      <c r="AY38" s="161">
        <f>IF(AND(AY1&gt;Summary!$K$19,Expenses!$B$18="Yes"),('Monthly CF'!$A$64*Expenses!$B$19*Expenses!$B$17+HLOOKUP('Monthly CF'!AY2,Expenses!$J$6:$T$10,4,0))/-12,HLOOKUP('Monthly CF'!AY2,Expenses!$J$6:$T$10,5,0)/-12)</f>
        <v>-38291.859375</v>
      </c>
      <c r="AZ38" s="161">
        <f>IF(AND(AZ1&gt;Summary!$K$19,Expenses!$B$18="Yes"),('Monthly CF'!$A$64*Expenses!$B$19*Expenses!$B$17+HLOOKUP('Monthly CF'!AZ2,Expenses!$J$6:$T$10,4,0))/-12,HLOOKUP('Monthly CF'!AZ2,Expenses!$J$6:$T$10,5,0)/-12)</f>
        <v>-39440.615156250002</v>
      </c>
      <c r="BA38" s="161">
        <f>IF(AND(BA1&gt;Summary!$K$19,Expenses!$B$18="Yes"),('Monthly CF'!$A$64*Expenses!$B$19*Expenses!$B$17+HLOOKUP('Monthly CF'!BA2,Expenses!$J$6:$T$10,4,0))/-12,HLOOKUP('Monthly CF'!BA2,Expenses!$J$6:$T$10,5,0)/-12)</f>
        <v>-39440.615156250002</v>
      </c>
      <c r="BB38" s="161">
        <f>IF(AND(BB1&gt;Summary!$K$19,Expenses!$B$18="Yes"),('Monthly CF'!$A$64*Expenses!$B$19*Expenses!$B$17+HLOOKUP('Monthly CF'!BB2,Expenses!$J$6:$T$10,4,0))/-12,HLOOKUP('Monthly CF'!BB2,Expenses!$J$6:$T$10,5,0)/-12)</f>
        <v>-39440.615156250002</v>
      </c>
      <c r="BC38" s="161">
        <f>IF(AND(BC1&gt;Summary!$K$19,Expenses!$B$18="Yes"),('Monthly CF'!$A$64*Expenses!$B$19*Expenses!$B$17+HLOOKUP('Monthly CF'!BC2,Expenses!$J$6:$T$10,4,0))/-12,HLOOKUP('Monthly CF'!BC2,Expenses!$J$6:$T$10,5,0)/-12)</f>
        <v>-39440.615156250002</v>
      </c>
      <c r="BD38" s="161">
        <f>IF(AND(BD1&gt;Summary!$K$19,Expenses!$B$18="Yes"),('Monthly CF'!$A$64*Expenses!$B$19*Expenses!$B$17+HLOOKUP('Monthly CF'!BD2,Expenses!$J$6:$T$10,4,0))/-12,HLOOKUP('Monthly CF'!BD2,Expenses!$J$6:$T$10,5,0)/-12)</f>
        <v>-39440.615156250002</v>
      </c>
      <c r="BE38" s="161">
        <f>IF(AND(BE1&gt;Summary!$K$19,Expenses!$B$18="Yes"),('Monthly CF'!$A$64*Expenses!$B$19*Expenses!$B$17+HLOOKUP('Monthly CF'!BE2,Expenses!$J$6:$T$10,4,0))/-12,HLOOKUP('Monthly CF'!BE2,Expenses!$J$6:$T$10,5,0)/-12)</f>
        <v>-39440.615156250002</v>
      </c>
      <c r="BF38" s="161">
        <f>IF(AND(BF1&gt;Summary!$K$19,Expenses!$B$18="Yes"),('Monthly CF'!$A$64*Expenses!$B$19*Expenses!$B$17+HLOOKUP('Monthly CF'!BF2,Expenses!$J$6:$T$10,4,0))/-12,HLOOKUP('Monthly CF'!BF2,Expenses!$J$6:$T$10,5,0)/-12)</f>
        <v>-39440.615156250002</v>
      </c>
      <c r="BG38" s="161">
        <f>IF(AND(BG1&gt;Summary!$K$19,Expenses!$B$18="Yes"),('Monthly CF'!$A$64*Expenses!$B$19*Expenses!$B$17+HLOOKUP('Monthly CF'!BG2,Expenses!$J$6:$T$10,4,0))/-12,HLOOKUP('Monthly CF'!BG2,Expenses!$J$6:$T$10,5,0)/-12)</f>
        <v>-39440.615156250002</v>
      </c>
      <c r="BH38" s="161">
        <f>IF(AND(BH1&gt;Summary!$K$19,Expenses!$B$18="Yes"),('Monthly CF'!$A$64*Expenses!$B$19*Expenses!$B$17+HLOOKUP('Monthly CF'!BH2,Expenses!$J$6:$T$10,4,0))/-12,HLOOKUP('Monthly CF'!BH2,Expenses!$J$6:$T$10,5,0)/-12)</f>
        <v>-39440.615156250002</v>
      </c>
      <c r="BI38" s="161">
        <f>IF(AND(BI1&gt;Summary!$K$19,Expenses!$B$18="Yes"),('Monthly CF'!$A$64*Expenses!$B$19*Expenses!$B$17+HLOOKUP('Monthly CF'!BI2,Expenses!$J$6:$T$10,4,0))/-12,HLOOKUP('Monthly CF'!BI2,Expenses!$J$6:$T$10,5,0)/-12)</f>
        <v>-39440.615156250002</v>
      </c>
      <c r="BJ38" s="161">
        <f>IF(AND(BJ1&gt;Summary!$K$19,Expenses!$B$18="Yes"),('Monthly CF'!$A$64*Expenses!$B$19*Expenses!$B$17+HLOOKUP('Monthly CF'!BJ2,Expenses!$J$6:$T$10,4,0))/-12,HLOOKUP('Monthly CF'!BJ2,Expenses!$J$6:$T$10,5,0)/-12)</f>
        <v>-39440.615156250002</v>
      </c>
      <c r="BK38" s="161">
        <f>IF(AND(BK1&gt;Summary!$K$19,Expenses!$B$18="Yes"),('Monthly CF'!$A$64*Expenses!$B$19*Expenses!$B$17+HLOOKUP('Monthly CF'!BK2,Expenses!$J$6:$T$10,4,0))/-12,HLOOKUP('Monthly CF'!BK2,Expenses!$J$6:$T$10,5,0)/-12)</f>
        <v>-39440.615156250002</v>
      </c>
      <c r="BL38" s="161">
        <f>IF(AND(BL1&gt;Summary!$K$19,Expenses!$B$18="Yes"),('Monthly CF'!$A$64*Expenses!$B$19*Expenses!$B$17+HLOOKUP('Monthly CF'!BL2,Expenses!$J$6:$T$10,4,0))/-12,HLOOKUP('Monthly CF'!BL2,Expenses!$J$6:$T$10,5,0)/-12)</f>
        <v>-40623.833610937501</v>
      </c>
      <c r="BM38" s="161">
        <f>IF(AND(BM1&gt;Summary!$K$19,Expenses!$B$18="Yes"),('Monthly CF'!$A$64*Expenses!$B$19*Expenses!$B$17+HLOOKUP('Monthly CF'!BM2,Expenses!$J$6:$T$10,4,0))/-12,HLOOKUP('Monthly CF'!BM2,Expenses!$J$6:$T$10,5,0)/-12)</f>
        <v>-40623.833610937501</v>
      </c>
      <c r="BN38" s="161">
        <f>IF(AND(BN1&gt;Summary!$K$19,Expenses!$B$18="Yes"),('Monthly CF'!$A$64*Expenses!$B$19*Expenses!$B$17+HLOOKUP('Monthly CF'!BN2,Expenses!$J$6:$T$10,4,0))/-12,HLOOKUP('Monthly CF'!BN2,Expenses!$J$6:$T$10,5,0)/-12)</f>
        <v>-40623.833610937501</v>
      </c>
      <c r="BO38" s="161">
        <f>IF(AND(BO1&gt;Summary!$K$19,Expenses!$B$18="Yes"),('Monthly CF'!$A$64*Expenses!$B$19*Expenses!$B$17+HLOOKUP('Monthly CF'!BO2,Expenses!$J$6:$T$10,4,0))/-12,HLOOKUP('Monthly CF'!BO2,Expenses!$J$6:$T$10,5,0)/-12)</f>
        <v>-40623.833610937501</v>
      </c>
      <c r="BP38" s="161">
        <f>IF(AND(BP1&gt;Summary!$K$19,Expenses!$B$18="Yes"),('Monthly CF'!$A$64*Expenses!$B$19*Expenses!$B$17+HLOOKUP('Monthly CF'!BP2,Expenses!$J$6:$T$10,4,0))/-12,HLOOKUP('Monthly CF'!BP2,Expenses!$J$6:$T$10,5,0)/-12)</f>
        <v>-40623.833610937501</v>
      </c>
      <c r="BQ38" s="161">
        <f>IF(AND(BQ1&gt;Summary!$K$19,Expenses!$B$18="Yes"),('Monthly CF'!$A$64*Expenses!$B$19*Expenses!$B$17+HLOOKUP('Monthly CF'!BQ2,Expenses!$J$6:$T$10,4,0))/-12,HLOOKUP('Monthly CF'!BQ2,Expenses!$J$6:$T$10,5,0)/-12)</f>
        <v>-40623.833610937501</v>
      </c>
      <c r="BR38" s="161">
        <f>IF(AND(BR1&gt;Summary!$K$19,Expenses!$B$18="Yes"),('Monthly CF'!$A$64*Expenses!$B$19*Expenses!$B$17+HLOOKUP('Monthly CF'!BR2,Expenses!$J$6:$T$10,4,0))/-12,HLOOKUP('Monthly CF'!BR2,Expenses!$J$6:$T$10,5,0)/-12)</f>
        <v>-40623.833610937501</v>
      </c>
      <c r="BS38" s="161">
        <f>IF(AND(BS1&gt;Summary!$K$19,Expenses!$B$18="Yes"),('Monthly CF'!$A$64*Expenses!$B$19*Expenses!$B$17+HLOOKUP('Monthly CF'!BS2,Expenses!$J$6:$T$10,4,0))/-12,HLOOKUP('Monthly CF'!BS2,Expenses!$J$6:$T$10,5,0)/-12)</f>
        <v>-40623.833610937501</v>
      </c>
      <c r="BT38" s="161">
        <f>IF(AND(BT1&gt;Summary!$K$19,Expenses!$B$18="Yes"),('Monthly CF'!$A$64*Expenses!$B$19*Expenses!$B$17+HLOOKUP('Monthly CF'!BT2,Expenses!$J$6:$T$10,4,0))/-12,HLOOKUP('Monthly CF'!BT2,Expenses!$J$6:$T$10,5,0)/-12)</f>
        <v>-40623.833610937501</v>
      </c>
      <c r="BU38" s="161">
        <f>IF(AND(BU1&gt;Summary!$K$19,Expenses!$B$18="Yes"),('Monthly CF'!$A$64*Expenses!$B$19*Expenses!$B$17+HLOOKUP('Monthly CF'!BU2,Expenses!$J$6:$T$10,4,0))/-12,HLOOKUP('Monthly CF'!BU2,Expenses!$J$6:$T$10,5,0)/-12)</f>
        <v>-40623.833610937501</v>
      </c>
      <c r="BV38" s="161">
        <f>IF(AND(BV1&gt;Summary!$K$19,Expenses!$B$18="Yes"),('Monthly CF'!$A$64*Expenses!$B$19*Expenses!$B$17+HLOOKUP('Monthly CF'!BV2,Expenses!$J$6:$T$10,4,0))/-12,HLOOKUP('Monthly CF'!BV2,Expenses!$J$6:$T$10,5,0)/-12)</f>
        <v>-40623.833610937501</v>
      </c>
      <c r="BW38" s="161">
        <f>IF(AND(BW1&gt;Summary!$K$19,Expenses!$B$18="Yes"),('Monthly CF'!$A$64*Expenses!$B$19*Expenses!$B$17+HLOOKUP('Monthly CF'!BW2,Expenses!$J$6:$T$10,4,0))/-12,HLOOKUP('Monthly CF'!BW2,Expenses!$J$6:$T$10,5,0)/-12)</f>
        <v>-40623.833610937501</v>
      </c>
      <c r="BX38" s="161">
        <f>IF(AND(BX1&gt;Summary!$K$19,Expenses!$B$18="Yes"),('Monthly CF'!$A$64*Expenses!$B$19*Expenses!$B$17+HLOOKUP('Monthly CF'!BX2,Expenses!$J$6:$T$10,4,0))/-12,HLOOKUP('Monthly CF'!BX2,Expenses!$J$6:$T$10,5,0)/-12)</f>
        <v>-41842.548619265632</v>
      </c>
      <c r="BY38" s="161">
        <f>IF(AND(BY1&gt;Summary!$K$19,Expenses!$B$18="Yes"),('Monthly CF'!$A$64*Expenses!$B$19*Expenses!$B$17+HLOOKUP('Monthly CF'!BY2,Expenses!$J$6:$T$10,4,0))/-12,HLOOKUP('Monthly CF'!BY2,Expenses!$J$6:$T$10,5,0)/-12)</f>
        <v>-41842.548619265632</v>
      </c>
      <c r="BZ38" s="161">
        <f>IF(AND(BZ1&gt;Summary!$K$19,Expenses!$B$18="Yes"),('Monthly CF'!$A$64*Expenses!$B$19*Expenses!$B$17+HLOOKUP('Monthly CF'!BZ2,Expenses!$J$6:$T$10,4,0))/-12,HLOOKUP('Monthly CF'!BZ2,Expenses!$J$6:$T$10,5,0)/-12)</f>
        <v>-41842.548619265632</v>
      </c>
      <c r="CA38" s="161">
        <f>IF(AND(CA1&gt;Summary!$K$19,Expenses!$B$18="Yes"),('Monthly CF'!$A$64*Expenses!$B$19*Expenses!$B$17+HLOOKUP('Monthly CF'!CA2,Expenses!$J$6:$T$10,4,0))/-12,HLOOKUP('Monthly CF'!CA2,Expenses!$J$6:$T$10,5,0)/-12)</f>
        <v>-41842.548619265632</v>
      </c>
      <c r="CB38" s="161">
        <f>IF(AND(CB1&gt;Summary!$K$19,Expenses!$B$18="Yes"),('Monthly CF'!$A$64*Expenses!$B$19*Expenses!$B$17+HLOOKUP('Monthly CF'!CB2,Expenses!$J$6:$T$10,4,0))/-12,HLOOKUP('Monthly CF'!CB2,Expenses!$J$6:$T$10,5,0)/-12)</f>
        <v>-41842.548619265632</v>
      </c>
      <c r="CC38" s="161">
        <f>IF(AND(CC1&gt;Summary!$K$19,Expenses!$B$18="Yes"),('Monthly CF'!$A$64*Expenses!$B$19*Expenses!$B$17+HLOOKUP('Monthly CF'!CC2,Expenses!$J$6:$T$10,4,0))/-12,HLOOKUP('Monthly CF'!CC2,Expenses!$J$6:$T$10,5,0)/-12)</f>
        <v>-41842.548619265632</v>
      </c>
      <c r="CD38" s="161">
        <f>IF(AND(CD1&gt;Summary!$K$19,Expenses!$B$18="Yes"),('Monthly CF'!$A$64*Expenses!$B$19*Expenses!$B$17+HLOOKUP('Monthly CF'!CD2,Expenses!$J$6:$T$10,4,0))/-12,HLOOKUP('Monthly CF'!CD2,Expenses!$J$6:$T$10,5,0)/-12)</f>
        <v>-41842.548619265632</v>
      </c>
      <c r="CE38" s="161">
        <f>IF(AND(CE1&gt;Summary!$K$19,Expenses!$B$18="Yes"),('Monthly CF'!$A$64*Expenses!$B$19*Expenses!$B$17+HLOOKUP('Monthly CF'!CE2,Expenses!$J$6:$T$10,4,0))/-12,HLOOKUP('Monthly CF'!CE2,Expenses!$J$6:$T$10,5,0)/-12)</f>
        <v>-41842.548619265632</v>
      </c>
      <c r="CF38" s="161">
        <f>IF(AND(CF1&gt;Summary!$K$19,Expenses!$B$18="Yes"),('Monthly CF'!$A$64*Expenses!$B$19*Expenses!$B$17+HLOOKUP('Monthly CF'!CF2,Expenses!$J$6:$T$10,4,0))/-12,HLOOKUP('Monthly CF'!CF2,Expenses!$J$6:$T$10,5,0)/-12)</f>
        <v>-41842.548619265632</v>
      </c>
      <c r="CG38" s="161">
        <f>IF(AND(CG1&gt;Summary!$K$19,Expenses!$B$18="Yes"),('Monthly CF'!$A$64*Expenses!$B$19*Expenses!$B$17+HLOOKUP('Monthly CF'!CG2,Expenses!$J$6:$T$10,4,0))/-12,HLOOKUP('Monthly CF'!CG2,Expenses!$J$6:$T$10,5,0)/-12)</f>
        <v>-41842.548619265632</v>
      </c>
      <c r="CH38" s="161">
        <f>IF(AND(CH1&gt;Summary!$K$19,Expenses!$B$18="Yes"),('Monthly CF'!$A$64*Expenses!$B$19*Expenses!$B$17+HLOOKUP('Monthly CF'!CH2,Expenses!$J$6:$T$10,4,0))/-12,HLOOKUP('Monthly CF'!CH2,Expenses!$J$6:$T$10,5,0)/-12)</f>
        <v>-41842.548619265632</v>
      </c>
      <c r="CI38" s="161">
        <f>IF(AND(CI1&gt;Summary!$K$19,Expenses!$B$18="Yes"),('Monthly CF'!$A$64*Expenses!$B$19*Expenses!$B$17+HLOOKUP('Monthly CF'!CI2,Expenses!$J$6:$T$10,4,0))/-12,HLOOKUP('Monthly CF'!CI2,Expenses!$J$6:$T$10,5,0)/-12)</f>
        <v>-41842.548619265632</v>
      </c>
      <c r="CJ38" s="161">
        <f>IF(AND(CJ1&gt;Summary!$K$19,Expenses!$B$18="Yes"),('Monthly CF'!$A$64*Expenses!$B$19*Expenses!$B$17+HLOOKUP('Monthly CF'!CJ2,Expenses!$J$6:$T$10,4,0))/-12,HLOOKUP('Monthly CF'!CJ2,Expenses!$J$6:$T$10,5,0)/-12)</f>
        <v>-43097.825077843598</v>
      </c>
      <c r="CK38" s="161">
        <f>IF(AND(CK1&gt;Summary!$K$19,Expenses!$B$18="Yes"),('Monthly CF'!$A$64*Expenses!$B$19*Expenses!$B$17+HLOOKUP('Monthly CF'!CK2,Expenses!$J$6:$T$10,4,0))/-12,HLOOKUP('Monthly CF'!CK2,Expenses!$J$6:$T$10,5,0)/-12)</f>
        <v>-43097.825077843598</v>
      </c>
      <c r="CL38" s="161">
        <f>IF(AND(CL1&gt;Summary!$K$19,Expenses!$B$18="Yes"),('Monthly CF'!$A$64*Expenses!$B$19*Expenses!$B$17+HLOOKUP('Monthly CF'!CL2,Expenses!$J$6:$T$10,4,0))/-12,HLOOKUP('Monthly CF'!CL2,Expenses!$J$6:$T$10,5,0)/-12)</f>
        <v>-43097.825077843598</v>
      </c>
      <c r="CM38" s="161">
        <f>IF(AND(CM1&gt;Summary!$K$19,Expenses!$B$18="Yes"),('Monthly CF'!$A$64*Expenses!$B$19*Expenses!$B$17+HLOOKUP('Monthly CF'!CM2,Expenses!$J$6:$T$10,4,0))/-12,HLOOKUP('Monthly CF'!CM2,Expenses!$J$6:$T$10,5,0)/-12)</f>
        <v>-43097.825077843598</v>
      </c>
      <c r="CN38" s="161">
        <f>IF(AND(CN1&gt;Summary!$K$19,Expenses!$B$18="Yes"),('Monthly CF'!$A$64*Expenses!$B$19*Expenses!$B$17+HLOOKUP('Monthly CF'!CN2,Expenses!$J$6:$T$10,4,0))/-12,HLOOKUP('Monthly CF'!CN2,Expenses!$J$6:$T$10,5,0)/-12)</f>
        <v>-43097.825077843598</v>
      </c>
      <c r="CO38" s="161">
        <f>IF(AND(CO1&gt;Summary!$K$19,Expenses!$B$18="Yes"),('Monthly CF'!$A$64*Expenses!$B$19*Expenses!$B$17+HLOOKUP('Monthly CF'!CO2,Expenses!$J$6:$T$10,4,0))/-12,HLOOKUP('Monthly CF'!CO2,Expenses!$J$6:$T$10,5,0)/-12)</f>
        <v>-43097.825077843598</v>
      </c>
      <c r="CP38" s="161">
        <f>IF(AND(CP1&gt;Summary!$K$19,Expenses!$B$18="Yes"),('Monthly CF'!$A$64*Expenses!$B$19*Expenses!$B$17+HLOOKUP('Monthly CF'!CP2,Expenses!$J$6:$T$10,4,0))/-12,HLOOKUP('Monthly CF'!CP2,Expenses!$J$6:$T$10,5,0)/-12)</f>
        <v>-43097.825077843598</v>
      </c>
      <c r="CQ38" s="161">
        <f>IF(AND(CQ1&gt;Summary!$K$19,Expenses!$B$18="Yes"),('Monthly CF'!$A$64*Expenses!$B$19*Expenses!$B$17+HLOOKUP('Monthly CF'!CQ2,Expenses!$J$6:$T$10,4,0))/-12,HLOOKUP('Monthly CF'!CQ2,Expenses!$J$6:$T$10,5,0)/-12)</f>
        <v>-43097.825077843598</v>
      </c>
      <c r="CR38" s="161">
        <f>IF(AND(CR1&gt;Summary!$K$19,Expenses!$B$18="Yes"),('Monthly CF'!$A$64*Expenses!$B$19*Expenses!$B$17+HLOOKUP('Monthly CF'!CR2,Expenses!$J$6:$T$10,4,0))/-12,HLOOKUP('Monthly CF'!CR2,Expenses!$J$6:$T$10,5,0)/-12)</f>
        <v>-43097.825077843598</v>
      </c>
      <c r="CS38" s="161">
        <f>IF(AND(CS1&gt;Summary!$K$19,Expenses!$B$18="Yes"),('Monthly CF'!$A$64*Expenses!$B$19*Expenses!$B$17+HLOOKUP('Monthly CF'!CS2,Expenses!$J$6:$T$10,4,0))/-12,HLOOKUP('Monthly CF'!CS2,Expenses!$J$6:$T$10,5,0)/-12)</f>
        <v>-43097.825077843598</v>
      </c>
      <c r="CT38" s="161">
        <f>IF(AND(CT1&gt;Summary!$K$19,Expenses!$B$18="Yes"),('Monthly CF'!$A$64*Expenses!$B$19*Expenses!$B$17+HLOOKUP('Monthly CF'!CT2,Expenses!$J$6:$T$10,4,0))/-12,HLOOKUP('Monthly CF'!CT2,Expenses!$J$6:$T$10,5,0)/-12)</f>
        <v>-43097.825077843598</v>
      </c>
      <c r="CU38" s="161">
        <f>IF(AND(CU1&gt;Summary!$K$19,Expenses!$B$18="Yes"),('Monthly CF'!$A$64*Expenses!$B$19*Expenses!$B$17+HLOOKUP('Monthly CF'!CU2,Expenses!$J$6:$T$10,4,0))/-12,HLOOKUP('Monthly CF'!CU2,Expenses!$J$6:$T$10,5,0)/-12)</f>
        <v>-43097.825077843598</v>
      </c>
      <c r="CV38" s="161">
        <f>IF(AND(CV1&gt;Summary!$K$19,Expenses!$B$18="Yes"),('Monthly CF'!$A$64*Expenses!$B$19*Expenses!$B$17+HLOOKUP('Monthly CF'!CV2,Expenses!$J$6:$T$10,4,0))/-12,HLOOKUP('Monthly CF'!CV2,Expenses!$J$6:$T$10,5,0)/-12)</f>
        <v>-44390.759830178904</v>
      </c>
      <c r="CW38" s="161">
        <f>IF(AND(CW1&gt;Summary!$K$19,Expenses!$B$18="Yes"),('Monthly CF'!$A$64*Expenses!$B$19*Expenses!$B$17+HLOOKUP('Monthly CF'!CW2,Expenses!$J$6:$T$10,4,0))/-12,HLOOKUP('Monthly CF'!CW2,Expenses!$J$6:$T$10,5,0)/-12)</f>
        <v>-44390.759830178904</v>
      </c>
      <c r="CX38" s="161">
        <f>IF(AND(CX1&gt;Summary!$K$19,Expenses!$B$18="Yes"),('Monthly CF'!$A$64*Expenses!$B$19*Expenses!$B$17+HLOOKUP('Monthly CF'!CX2,Expenses!$J$6:$T$10,4,0))/-12,HLOOKUP('Monthly CF'!CX2,Expenses!$J$6:$T$10,5,0)/-12)</f>
        <v>-44390.759830178904</v>
      </c>
      <c r="CY38" s="161">
        <f>IF(AND(CY1&gt;Summary!$K$19,Expenses!$B$18="Yes"),('Monthly CF'!$A$64*Expenses!$B$19*Expenses!$B$17+HLOOKUP('Monthly CF'!CY2,Expenses!$J$6:$T$10,4,0))/-12,HLOOKUP('Monthly CF'!CY2,Expenses!$J$6:$T$10,5,0)/-12)</f>
        <v>-44390.759830178904</v>
      </c>
      <c r="CZ38" s="161">
        <f>IF(AND(CZ1&gt;Summary!$K$19,Expenses!$B$18="Yes"),('Monthly CF'!$A$64*Expenses!$B$19*Expenses!$B$17+HLOOKUP('Monthly CF'!CZ2,Expenses!$J$6:$T$10,4,0))/-12,HLOOKUP('Monthly CF'!CZ2,Expenses!$J$6:$T$10,5,0)/-12)</f>
        <v>-44390.759830178904</v>
      </c>
      <c r="DA38" s="161">
        <f>IF(AND(DA1&gt;Summary!$K$19,Expenses!$B$18="Yes"),('Monthly CF'!$A$64*Expenses!$B$19*Expenses!$B$17+HLOOKUP('Monthly CF'!DA2,Expenses!$J$6:$T$10,4,0))/-12,HLOOKUP('Monthly CF'!DA2,Expenses!$J$6:$T$10,5,0)/-12)</f>
        <v>-44390.759830178904</v>
      </c>
      <c r="DB38" s="161">
        <f>IF(AND(DB1&gt;Summary!$K$19,Expenses!$B$18="Yes"),('Monthly CF'!$A$64*Expenses!$B$19*Expenses!$B$17+HLOOKUP('Monthly CF'!DB2,Expenses!$J$6:$T$10,4,0))/-12,HLOOKUP('Monthly CF'!DB2,Expenses!$J$6:$T$10,5,0)/-12)</f>
        <v>-44390.759830178904</v>
      </c>
      <c r="DC38" s="161">
        <f>IF(AND(DC1&gt;Summary!$K$19,Expenses!$B$18="Yes"),('Monthly CF'!$A$64*Expenses!$B$19*Expenses!$B$17+HLOOKUP('Monthly CF'!DC2,Expenses!$J$6:$T$10,4,0))/-12,HLOOKUP('Monthly CF'!DC2,Expenses!$J$6:$T$10,5,0)/-12)</f>
        <v>-44390.759830178904</v>
      </c>
      <c r="DD38" s="161">
        <f>IF(AND(DD1&gt;Summary!$K$19,Expenses!$B$18="Yes"),('Monthly CF'!$A$64*Expenses!$B$19*Expenses!$B$17+HLOOKUP('Monthly CF'!DD2,Expenses!$J$6:$T$10,4,0))/-12,HLOOKUP('Monthly CF'!DD2,Expenses!$J$6:$T$10,5,0)/-12)</f>
        <v>-44390.759830178904</v>
      </c>
      <c r="DE38" s="161">
        <f>IF(AND(DE1&gt;Summary!$K$19,Expenses!$B$18="Yes"),('Monthly CF'!$A$64*Expenses!$B$19*Expenses!$B$17+HLOOKUP('Monthly CF'!DE2,Expenses!$J$6:$T$10,4,0))/-12,HLOOKUP('Monthly CF'!DE2,Expenses!$J$6:$T$10,5,0)/-12)</f>
        <v>-44390.759830178904</v>
      </c>
      <c r="DF38" s="161">
        <f>IF(AND(DF1&gt;Summary!$K$19,Expenses!$B$18="Yes"),('Monthly CF'!$A$64*Expenses!$B$19*Expenses!$B$17+HLOOKUP('Monthly CF'!DF2,Expenses!$J$6:$T$10,4,0))/-12,HLOOKUP('Monthly CF'!DF2,Expenses!$J$6:$T$10,5,0)/-12)</f>
        <v>-44390.759830178904</v>
      </c>
      <c r="DG38" s="161">
        <f>IF(AND(DG1&gt;Summary!$K$19,Expenses!$B$18="Yes"),('Monthly CF'!$A$64*Expenses!$B$19*Expenses!$B$17+HLOOKUP('Monthly CF'!DG2,Expenses!$J$6:$T$10,4,0))/-12,HLOOKUP('Monthly CF'!DG2,Expenses!$J$6:$T$10,5,0)/-12)</f>
        <v>-44390.759830178904</v>
      </c>
      <c r="DH38" s="161">
        <f>IF(AND(DH1&gt;Summary!$K$19,Expenses!$B$18="Yes"),('Monthly CF'!$A$64*Expenses!$B$19*Expenses!$B$17+HLOOKUP('Monthly CF'!DH2,Expenses!$J$6:$T$10,4,0))/-12,HLOOKUP('Monthly CF'!DH2,Expenses!$J$6:$T$10,5,0)/-12)</f>
        <v>-45722.482625084282</v>
      </c>
      <c r="DI38" s="161">
        <f>IF(AND(DI1&gt;Summary!$K$19,Expenses!$B$18="Yes"),('Monthly CF'!$A$64*Expenses!$B$19*Expenses!$B$17+HLOOKUP('Monthly CF'!DI2,Expenses!$J$6:$T$10,4,0))/-12,HLOOKUP('Monthly CF'!DI2,Expenses!$J$6:$T$10,5,0)/-12)</f>
        <v>-45722.482625084282</v>
      </c>
      <c r="DJ38" s="161">
        <f>IF(AND(DJ1&gt;Summary!$K$19,Expenses!$B$18="Yes"),('Monthly CF'!$A$64*Expenses!$B$19*Expenses!$B$17+HLOOKUP('Monthly CF'!DJ2,Expenses!$J$6:$T$10,4,0))/-12,HLOOKUP('Monthly CF'!DJ2,Expenses!$J$6:$T$10,5,0)/-12)</f>
        <v>-45722.482625084282</v>
      </c>
      <c r="DK38" s="161">
        <f>IF(AND(DK1&gt;Summary!$K$19,Expenses!$B$18="Yes"),('Monthly CF'!$A$64*Expenses!$B$19*Expenses!$B$17+HLOOKUP('Monthly CF'!DK2,Expenses!$J$6:$T$10,4,0))/-12,HLOOKUP('Monthly CF'!DK2,Expenses!$J$6:$T$10,5,0)/-12)</f>
        <v>-45722.482625084282</v>
      </c>
      <c r="DL38" s="161">
        <f>IF(AND(DL1&gt;Summary!$K$19,Expenses!$B$18="Yes"),('Monthly CF'!$A$64*Expenses!$B$19*Expenses!$B$17+HLOOKUP('Monthly CF'!DL2,Expenses!$J$6:$T$10,4,0))/-12,HLOOKUP('Monthly CF'!DL2,Expenses!$J$6:$T$10,5,0)/-12)</f>
        <v>-45722.482625084282</v>
      </c>
      <c r="DM38" s="161">
        <f>IF(AND(DM1&gt;Summary!$K$19,Expenses!$B$18="Yes"),('Monthly CF'!$A$64*Expenses!$B$19*Expenses!$B$17+HLOOKUP('Monthly CF'!DM2,Expenses!$J$6:$T$10,4,0))/-12,HLOOKUP('Monthly CF'!DM2,Expenses!$J$6:$T$10,5,0)/-12)</f>
        <v>-45722.482625084282</v>
      </c>
      <c r="DN38" s="161">
        <f>IF(AND(DN1&gt;Summary!$K$19,Expenses!$B$18="Yes"),('Monthly CF'!$A$64*Expenses!$B$19*Expenses!$B$17+HLOOKUP('Monthly CF'!DN2,Expenses!$J$6:$T$10,4,0))/-12,HLOOKUP('Monthly CF'!DN2,Expenses!$J$6:$T$10,5,0)/-12)</f>
        <v>-45722.482625084282</v>
      </c>
      <c r="DO38" s="161">
        <f>IF(AND(DO1&gt;Summary!$K$19,Expenses!$B$18="Yes"),('Monthly CF'!$A$64*Expenses!$B$19*Expenses!$B$17+HLOOKUP('Monthly CF'!DO2,Expenses!$J$6:$T$10,4,0))/-12,HLOOKUP('Monthly CF'!DO2,Expenses!$J$6:$T$10,5,0)/-12)</f>
        <v>-45722.482625084282</v>
      </c>
      <c r="DP38" s="161">
        <f>IF(AND(DP1&gt;Summary!$K$19,Expenses!$B$18="Yes"),('Monthly CF'!$A$64*Expenses!$B$19*Expenses!$B$17+HLOOKUP('Monthly CF'!DP2,Expenses!$J$6:$T$10,4,0))/-12,HLOOKUP('Monthly CF'!DP2,Expenses!$J$6:$T$10,5,0)/-12)</f>
        <v>-45722.482625084282</v>
      </c>
      <c r="DQ38" s="161">
        <f>IF(AND(DQ1&gt;Summary!$K$19,Expenses!$B$18="Yes"),('Monthly CF'!$A$64*Expenses!$B$19*Expenses!$B$17+HLOOKUP('Monthly CF'!DQ2,Expenses!$J$6:$T$10,4,0))/-12,HLOOKUP('Monthly CF'!DQ2,Expenses!$J$6:$T$10,5,0)/-12)</f>
        <v>-45722.482625084282</v>
      </c>
      <c r="DR38" s="161">
        <f>IF(AND(DR1&gt;Summary!$K$19,Expenses!$B$18="Yes"),('Monthly CF'!$A$64*Expenses!$B$19*Expenses!$B$17+HLOOKUP('Monthly CF'!DR2,Expenses!$J$6:$T$10,4,0))/-12,HLOOKUP('Monthly CF'!DR2,Expenses!$J$6:$T$10,5,0)/-12)</f>
        <v>-45722.482625084282</v>
      </c>
      <c r="DS38" s="161">
        <f>IF(AND(DS1&gt;Summary!$K$19,Expenses!$B$18="Yes"),('Monthly CF'!$A$64*Expenses!$B$19*Expenses!$B$17+HLOOKUP('Monthly CF'!DS2,Expenses!$J$6:$T$10,4,0))/-12,HLOOKUP('Monthly CF'!DS2,Expenses!$J$6:$T$10,5,0)/-12)</f>
        <v>-45722.482625084282</v>
      </c>
      <c r="DT38" s="161">
        <f>IF(AND(DT1&gt;Summary!$K$19,Expenses!$B$18="Yes"),('Monthly CF'!$A$64*Expenses!$B$19*Expenses!$B$17+HLOOKUP('Monthly CF'!DT2,Expenses!$J$6:$T$10,4,0))/-12,HLOOKUP('Monthly CF'!DT2,Expenses!$J$6:$T$10,5,0)/-12)</f>
        <v>-47094.157103836806</v>
      </c>
      <c r="DU38" s="161">
        <f>IF(AND(DU1&gt;Summary!$K$19,Expenses!$B$18="Yes"),('Monthly CF'!$A$64*Expenses!$B$19*Expenses!$B$17+HLOOKUP('Monthly CF'!DU2,Expenses!$J$6:$T$10,4,0))/-12,HLOOKUP('Monthly CF'!DU2,Expenses!$J$6:$T$10,5,0)/-12)</f>
        <v>-47094.157103836806</v>
      </c>
      <c r="DV38" s="161">
        <f>IF(AND(DV1&gt;Summary!$K$19,Expenses!$B$18="Yes"),('Monthly CF'!$A$64*Expenses!$B$19*Expenses!$B$17+HLOOKUP('Monthly CF'!DV2,Expenses!$J$6:$T$10,4,0))/-12,HLOOKUP('Monthly CF'!DV2,Expenses!$J$6:$T$10,5,0)/-12)</f>
        <v>-47094.157103836806</v>
      </c>
      <c r="DW38" s="161">
        <f>IF(AND(DW1&gt;Summary!$K$19,Expenses!$B$18="Yes"),('Monthly CF'!$A$64*Expenses!$B$19*Expenses!$B$17+HLOOKUP('Monthly CF'!DW2,Expenses!$J$6:$T$10,4,0))/-12,HLOOKUP('Monthly CF'!DW2,Expenses!$J$6:$T$10,5,0)/-12)</f>
        <v>-47094.157103836806</v>
      </c>
      <c r="DX38" s="161">
        <f>IF(AND(DX1&gt;Summary!$K$19,Expenses!$B$18="Yes"),('Monthly CF'!$A$64*Expenses!$B$19*Expenses!$B$17+HLOOKUP('Monthly CF'!DX2,Expenses!$J$6:$T$10,4,0))/-12,HLOOKUP('Monthly CF'!DX2,Expenses!$J$6:$T$10,5,0)/-12)</f>
        <v>-47094.157103836806</v>
      </c>
      <c r="DY38" s="161">
        <f>IF(AND(DY1&gt;Summary!$K$19,Expenses!$B$18="Yes"),('Monthly CF'!$A$64*Expenses!$B$19*Expenses!$B$17+HLOOKUP('Monthly CF'!DY2,Expenses!$J$6:$T$10,4,0))/-12,HLOOKUP('Monthly CF'!DY2,Expenses!$J$6:$T$10,5,0)/-12)</f>
        <v>-47094.157103836806</v>
      </c>
      <c r="DZ38" s="161">
        <f>IF(AND(DZ1&gt;Summary!$K$19,Expenses!$B$18="Yes"),('Monthly CF'!$A$64*Expenses!$B$19*Expenses!$B$17+HLOOKUP('Monthly CF'!DZ2,Expenses!$J$6:$T$10,4,0))/-12,HLOOKUP('Monthly CF'!DZ2,Expenses!$J$6:$T$10,5,0)/-12)</f>
        <v>-47094.157103836806</v>
      </c>
      <c r="EA38" s="161">
        <f>IF(AND(EA1&gt;Summary!$K$19,Expenses!$B$18="Yes"),('Monthly CF'!$A$64*Expenses!$B$19*Expenses!$B$17+HLOOKUP('Monthly CF'!EA2,Expenses!$J$6:$T$10,4,0))/-12,HLOOKUP('Monthly CF'!EA2,Expenses!$J$6:$T$10,5,0)/-12)</f>
        <v>-47094.157103836806</v>
      </c>
      <c r="EB38" s="161">
        <f>IF(AND(EB1&gt;Summary!$K$19,Expenses!$B$18="Yes"),('Monthly CF'!$A$64*Expenses!$B$19*Expenses!$B$17+HLOOKUP('Monthly CF'!EB2,Expenses!$J$6:$T$10,4,0))/-12,HLOOKUP('Monthly CF'!EB2,Expenses!$J$6:$T$10,5,0)/-12)</f>
        <v>-47094.157103836806</v>
      </c>
      <c r="EC38" s="161">
        <f>IF(AND(EC1&gt;Summary!$K$19,Expenses!$B$18="Yes"),('Monthly CF'!$A$64*Expenses!$B$19*Expenses!$B$17+HLOOKUP('Monthly CF'!EC2,Expenses!$J$6:$T$10,4,0))/-12,HLOOKUP('Monthly CF'!EC2,Expenses!$J$6:$T$10,5,0)/-12)</f>
        <v>-47094.157103836806</v>
      </c>
      <c r="ED38" s="161">
        <f>IF(AND(ED1&gt;Summary!$K$19,Expenses!$B$18="Yes"),('Monthly CF'!$A$64*Expenses!$B$19*Expenses!$B$17+HLOOKUP('Monthly CF'!ED2,Expenses!$J$6:$T$10,4,0))/-12,HLOOKUP('Monthly CF'!ED2,Expenses!$J$6:$T$10,5,0)/-12)</f>
        <v>-47094.157103836806</v>
      </c>
      <c r="EE38" s="162">
        <f>IF(AND(EE1&gt;Summary!$K$19,Expenses!$B$18="Yes"),('Monthly CF'!$A$64*Expenses!$B$19*Expenses!$B$17+HLOOKUP('Monthly CF'!EE2,Expenses!$J$6:$T$10,4,0))/-12,HLOOKUP('Monthly CF'!EE2,Expenses!$J$6:$T$10,5,0)/-12)</f>
        <v>-47094.157103836806</v>
      </c>
    </row>
    <row r="39" spans="1:135" x14ac:dyDescent="0.35">
      <c r="A39" s="168">
        <f>SUMIF($C$1:$EE$1,"&lt;="&amp;Summary!$K$19,'Monthly CF'!C39:EE39)</f>
        <v>-567462.02591780073</v>
      </c>
      <c r="B39" s="5" t="str">
        <f>Expenses!E13</f>
        <v>Insurance</v>
      </c>
      <c r="C39" s="160"/>
      <c r="D39" s="161">
        <f>-Expenses!$F$13/12*(1+Expenses!$F$17)^('Monthly CF'!D2-1)</f>
        <v>-4125</v>
      </c>
      <c r="E39" s="161">
        <f>-Expenses!$F$13/12*(1+Expenses!$F$17)^('Monthly CF'!E2-1)</f>
        <v>-4125</v>
      </c>
      <c r="F39" s="161">
        <f>-Expenses!$F$13/12*(1+Expenses!$F$17)^('Monthly CF'!F2-1)</f>
        <v>-4125</v>
      </c>
      <c r="G39" s="161">
        <f>-Expenses!$F$13/12*(1+Expenses!$F$17)^('Monthly CF'!G2-1)</f>
        <v>-4125</v>
      </c>
      <c r="H39" s="161">
        <f>-Expenses!$F$13/12*(1+Expenses!$F$17)^('Monthly CF'!H2-1)</f>
        <v>-4125</v>
      </c>
      <c r="I39" s="161">
        <f>-Expenses!$F$13/12*(1+Expenses!$F$17)^('Monthly CF'!I2-1)</f>
        <v>-4125</v>
      </c>
      <c r="J39" s="161">
        <f>-Expenses!$F$13/12*(1+Expenses!$F$17)^('Monthly CF'!J2-1)</f>
        <v>-4125</v>
      </c>
      <c r="K39" s="161">
        <f>-Expenses!$F$13/12*(1+Expenses!$F$17)^('Monthly CF'!K2-1)</f>
        <v>-4125</v>
      </c>
      <c r="L39" s="161">
        <f>-Expenses!$F$13/12*(1+Expenses!$F$17)^('Monthly CF'!L2-1)</f>
        <v>-4125</v>
      </c>
      <c r="M39" s="161">
        <f>-Expenses!$F$13/12*(1+Expenses!$F$17)^('Monthly CF'!M2-1)</f>
        <v>-4125</v>
      </c>
      <c r="N39" s="161">
        <f>-Expenses!$F$13/12*(1+Expenses!$F$17)^('Monthly CF'!N2-1)</f>
        <v>-4125</v>
      </c>
      <c r="O39" s="161">
        <f>-Expenses!$F$13/12*(1+Expenses!$F$17)^('Monthly CF'!O2-1)</f>
        <v>-4125</v>
      </c>
      <c r="P39" s="161">
        <f>-Expenses!$F$13/12*(1+Expenses!$F$17)^('Monthly CF'!P2-1)</f>
        <v>-4248.75</v>
      </c>
      <c r="Q39" s="161">
        <f>-Expenses!$F$13/12*(1+Expenses!$F$17)^('Monthly CF'!Q2-1)</f>
        <v>-4248.75</v>
      </c>
      <c r="R39" s="161">
        <f>-Expenses!$F$13/12*(1+Expenses!$F$17)^('Monthly CF'!R2-1)</f>
        <v>-4248.75</v>
      </c>
      <c r="S39" s="161">
        <f>-Expenses!$F$13/12*(1+Expenses!$F$17)^('Monthly CF'!S2-1)</f>
        <v>-4248.75</v>
      </c>
      <c r="T39" s="161">
        <f>-Expenses!$F$13/12*(1+Expenses!$F$17)^('Monthly CF'!T2-1)</f>
        <v>-4248.75</v>
      </c>
      <c r="U39" s="161">
        <f>-Expenses!$F$13/12*(1+Expenses!$F$17)^('Monthly CF'!U2-1)</f>
        <v>-4248.75</v>
      </c>
      <c r="V39" s="161">
        <f>-Expenses!$F$13/12*(1+Expenses!$F$17)^('Monthly CF'!V2-1)</f>
        <v>-4248.75</v>
      </c>
      <c r="W39" s="161">
        <f>-Expenses!$F$13/12*(1+Expenses!$F$17)^('Monthly CF'!W2-1)</f>
        <v>-4248.75</v>
      </c>
      <c r="X39" s="161">
        <f>-Expenses!$F$13/12*(1+Expenses!$F$17)^('Monthly CF'!X2-1)</f>
        <v>-4248.75</v>
      </c>
      <c r="Y39" s="161">
        <f>-Expenses!$F$13/12*(1+Expenses!$F$17)^('Monthly CF'!Y2-1)</f>
        <v>-4248.75</v>
      </c>
      <c r="Z39" s="161">
        <f>-Expenses!$F$13/12*(1+Expenses!$F$17)^('Monthly CF'!Z2-1)</f>
        <v>-4248.75</v>
      </c>
      <c r="AA39" s="161">
        <f>-Expenses!$F$13/12*(1+Expenses!$F$17)^('Monthly CF'!AA2-1)</f>
        <v>-4248.75</v>
      </c>
      <c r="AB39" s="161">
        <f>-Expenses!$F$13/12*(1+Expenses!$F$17)^('Monthly CF'!AB2-1)</f>
        <v>-4376.2124999999996</v>
      </c>
      <c r="AC39" s="161">
        <f>-Expenses!$F$13/12*(1+Expenses!$F$17)^('Monthly CF'!AC2-1)</f>
        <v>-4376.2124999999996</v>
      </c>
      <c r="AD39" s="161">
        <f>-Expenses!$F$13/12*(1+Expenses!$F$17)^('Monthly CF'!AD2-1)</f>
        <v>-4376.2124999999996</v>
      </c>
      <c r="AE39" s="161">
        <f>-Expenses!$F$13/12*(1+Expenses!$F$17)^('Monthly CF'!AE2-1)</f>
        <v>-4376.2124999999996</v>
      </c>
      <c r="AF39" s="161">
        <f>-Expenses!$F$13/12*(1+Expenses!$F$17)^('Monthly CF'!AF2-1)</f>
        <v>-4376.2124999999996</v>
      </c>
      <c r="AG39" s="161">
        <f>-Expenses!$F$13/12*(1+Expenses!$F$17)^('Monthly CF'!AG2-1)</f>
        <v>-4376.2124999999996</v>
      </c>
      <c r="AH39" s="161">
        <f>-Expenses!$F$13/12*(1+Expenses!$F$17)^('Monthly CF'!AH2-1)</f>
        <v>-4376.2124999999996</v>
      </c>
      <c r="AI39" s="161">
        <f>-Expenses!$F$13/12*(1+Expenses!$F$17)^('Monthly CF'!AI2-1)</f>
        <v>-4376.2124999999996</v>
      </c>
      <c r="AJ39" s="161">
        <f>-Expenses!$F$13/12*(1+Expenses!$F$17)^('Monthly CF'!AJ2-1)</f>
        <v>-4376.2124999999996</v>
      </c>
      <c r="AK39" s="161">
        <f>-Expenses!$F$13/12*(1+Expenses!$F$17)^('Monthly CF'!AK2-1)</f>
        <v>-4376.2124999999996</v>
      </c>
      <c r="AL39" s="161">
        <f>-Expenses!$F$13/12*(1+Expenses!$F$17)^('Monthly CF'!AL2-1)</f>
        <v>-4376.2124999999996</v>
      </c>
      <c r="AM39" s="161">
        <f>-Expenses!$F$13/12*(1+Expenses!$F$17)^('Monthly CF'!AM2-1)</f>
        <v>-4376.2124999999996</v>
      </c>
      <c r="AN39" s="161">
        <f>-Expenses!$F$13/12*(1+Expenses!$F$17)^('Monthly CF'!AN2-1)</f>
        <v>-4507.4988750000002</v>
      </c>
      <c r="AO39" s="161">
        <f>-Expenses!$F$13/12*(1+Expenses!$F$17)^('Monthly CF'!AO2-1)</f>
        <v>-4507.4988750000002</v>
      </c>
      <c r="AP39" s="161">
        <f>-Expenses!$F$13/12*(1+Expenses!$F$17)^('Monthly CF'!AP2-1)</f>
        <v>-4507.4988750000002</v>
      </c>
      <c r="AQ39" s="161">
        <f>-Expenses!$F$13/12*(1+Expenses!$F$17)^('Monthly CF'!AQ2-1)</f>
        <v>-4507.4988750000002</v>
      </c>
      <c r="AR39" s="161">
        <f>-Expenses!$F$13/12*(1+Expenses!$F$17)^('Monthly CF'!AR2-1)</f>
        <v>-4507.4988750000002</v>
      </c>
      <c r="AS39" s="161">
        <f>-Expenses!$F$13/12*(1+Expenses!$F$17)^('Monthly CF'!AS2-1)</f>
        <v>-4507.4988750000002</v>
      </c>
      <c r="AT39" s="161">
        <f>-Expenses!$F$13/12*(1+Expenses!$F$17)^('Monthly CF'!AT2-1)</f>
        <v>-4507.4988750000002</v>
      </c>
      <c r="AU39" s="161">
        <f>-Expenses!$F$13/12*(1+Expenses!$F$17)^('Monthly CF'!AU2-1)</f>
        <v>-4507.4988750000002</v>
      </c>
      <c r="AV39" s="161">
        <f>-Expenses!$F$13/12*(1+Expenses!$F$17)^('Monthly CF'!AV2-1)</f>
        <v>-4507.4988750000002</v>
      </c>
      <c r="AW39" s="161">
        <f>-Expenses!$F$13/12*(1+Expenses!$F$17)^('Monthly CF'!AW2-1)</f>
        <v>-4507.4988750000002</v>
      </c>
      <c r="AX39" s="161">
        <f>-Expenses!$F$13/12*(1+Expenses!$F$17)^('Monthly CF'!AX2-1)</f>
        <v>-4507.4988750000002</v>
      </c>
      <c r="AY39" s="161">
        <f>-Expenses!$F$13/12*(1+Expenses!$F$17)^('Monthly CF'!AY2-1)</f>
        <v>-4507.4988750000002</v>
      </c>
      <c r="AZ39" s="161">
        <f>-Expenses!$F$13/12*(1+Expenses!$F$17)^('Monthly CF'!AZ2-1)</f>
        <v>-4642.7238412500001</v>
      </c>
      <c r="BA39" s="161">
        <f>-Expenses!$F$13/12*(1+Expenses!$F$17)^('Monthly CF'!BA2-1)</f>
        <v>-4642.7238412500001</v>
      </c>
      <c r="BB39" s="161">
        <f>-Expenses!$F$13/12*(1+Expenses!$F$17)^('Monthly CF'!BB2-1)</f>
        <v>-4642.7238412500001</v>
      </c>
      <c r="BC39" s="161">
        <f>-Expenses!$F$13/12*(1+Expenses!$F$17)^('Monthly CF'!BC2-1)</f>
        <v>-4642.7238412500001</v>
      </c>
      <c r="BD39" s="161">
        <f>-Expenses!$F$13/12*(1+Expenses!$F$17)^('Monthly CF'!BD2-1)</f>
        <v>-4642.7238412500001</v>
      </c>
      <c r="BE39" s="161">
        <f>-Expenses!$F$13/12*(1+Expenses!$F$17)^('Monthly CF'!BE2-1)</f>
        <v>-4642.7238412500001</v>
      </c>
      <c r="BF39" s="161">
        <f>-Expenses!$F$13/12*(1+Expenses!$F$17)^('Monthly CF'!BF2-1)</f>
        <v>-4642.7238412500001</v>
      </c>
      <c r="BG39" s="161">
        <f>-Expenses!$F$13/12*(1+Expenses!$F$17)^('Monthly CF'!BG2-1)</f>
        <v>-4642.7238412500001</v>
      </c>
      <c r="BH39" s="161">
        <f>-Expenses!$F$13/12*(1+Expenses!$F$17)^('Monthly CF'!BH2-1)</f>
        <v>-4642.7238412500001</v>
      </c>
      <c r="BI39" s="161">
        <f>-Expenses!$F$13/12*(1+Expenses!$F$17)^('Monthly CF'!BI2-1)</f>
        <v>-4642.7238412500001</v>
      </c>
      <c r="BJ39" s="161">
        <f>-Expenses!$F$13/12*(1+Expenses!$F$17)^('Monthly CF'!BJ2-1)</f>
        <v>-4642.7238412500001</v>
      </c>
      <c r="BK39" s="161">
        <f>-Expenses!$F$13/12*(1+Expenses!$F$17)^('Monthly CF'!BK2-1)</f>
        <v>-4642.7238412500001</v>
      </c>
      <c r="BL39" s="161">
        <f>-Expenses!$F$13/12*(1+Expenses!$F$17)^('Monthly CF'!BL2-1)</f>
        <v>-4782.0055564874992</v>
      </c>
      <c r="BM39" s="161">
        <f>-Expenses!$F$13/12*(1+Expenses!$F$17)^('Monthly CF'!BM2-1)</f>
        <v>-4782.0055564874992</v>
      </c>
      <c r="BN39" s="161">
        <f>-Expenses!$F$13/12*(1+Expenses!$F$17)^('Monthly CF'!BN2-1)</f>
        <v>-4782.0055564874992</v>
      </c>
      <c r="BO39" s="161">
        <f>-Expenses!$F$13/12*(1+Expenses!$F$17)^('Monthly CF'!BO2-1)</f>
        <v>-4782.0055564874992</v>
      </c>
      <c r="BP39" s="161">
        <f>-Expenses!$F$13/12*(1+Expenses!$F$17)^('Monthly CF'!BP2-1)</f>
        <v>-4782.0055564874992</v>
      </c>
      <c r="BQ39" s="161">
        <f>-Expenses!$F$13/12*(1+Expenses!$F$17)^('Monthly CF'!BQ2-1)</f>
        <v>-4782.0055564874992</v>
      </c>
      <c r="BR39" s="161">
        <f>-Expenses!$F$13/12*(1+Expenses!$F$17)^('Monthly CF'!BR2-1)</f>
        <v>-4782.0055564874992</v>
      </c>
      <c r="BS39" s="161">
        <f>-Expenses!$F$13/12*(1+Expenses!$F$17)^('Monthly CF'!BS2-1)</f>
        <v>-4782.0055564874992</v>
      </c>
      <c r="BT39" s="161">
        <f>-Expenses!$F$13/12*(1+Expenses!$F$17)^('Monthly CF'!BT2-1)</f>
        <v>-4782.0055564874992</v>
      </c>
      <c r="BU39" s="161">
        <f>-Expenses!$F$13/12*(1+Expenses!$F$17)^('Monthly CF'!BU2-1)</f>
        <v>-4782.0055564874992</v>
      </c>
      <c r="BV39" s="161">
        <f>-Expenses!$F$13/12*(1+Expenses!$F$17)^('Monthly CF'!BV2-1)</f>
        <v>-4782.0055564874992</v>
      </c>
      <c r="BW39" s="161">
        <f>-Expenses!$F$13/12*(1+Expenses!$F$17)^('Monthly CF'!BW2-1)</f>
        <v>-4782.0055564874992</v>
      </c>
      <c r="BX39" s="161">
        <f>-Expenses!$F$13/12*(1+Expenses!$F$17)^('Monthly CF'!BX2-1)</f>
        <v>-4925.4657231821247</v>
      </c>
      <c r="BY39" s="161">
        <f>-Expenses!$F$13/12*(1+Expenses!$F$17)^('Monthly CF'!BY2-1)</f>
        <v>-4925.4657231821247</v>
      </c>
      <c r="BZ39" s="161">
        <f>-Expenses!$F$13/12*(1+Expenses!$F$17)^('Monthly CF'!BZ2-1)</f>
        <v>-4925.4657231821247</v>
      </c>
      <c r="CA39" s="161">
        <f>-Expenses!$F$13/12*(1+Expenses!$F$17)^('Monthly CF'!CA2-1)</f>
        <v>-4925.4657231821247</v>
      </c>
      <c r="CB39" s="161">
        <f>-Expenses!$F$13/12*(1+Expenses!$F$17)^('Monthly CF'!CB2-1)</f>
        <v>-4925.4657231821247</v>
      </c>
      <c r="CC39" s="161">
        <f>-Expenses!$F$13/12*(1+Expenses!$F$17)^('Monthly CF'!CC2-1)</f>
        <v>-4925.4657231821247</v>
      </c>
      <c r="CD39" s="161">
        <f>-Expenses!$F$13/12*(1+Expenses!$F$17)^('Monthly CF'!CD2-1)</f>
        <v>-4925.4657231821247</v>
      </c>
      <c r="CE39" s="161">
        <f>-Expenses!$F$13/12*(1+Expenses!$F$17)^('Monthly CF'!CE2-1)</f>
        <v>-4925.4657231821247</v>
      </c>
      <c r="CF39" s="161">
        <f>-Expenses!$F$13/12*(1+Expenses!$F$17)^('Monthly CF'!CF2-1)</f>
        <v>-4925.4657231821247</v>
      </c>
      <c r="CG39" s="161">
        <f>-Expenses!$F$13/12*(1+Expenses!$F$17)^('Monthly CF'!CG2-1)</f>
        <v>-4925.4657231821247</v>
      </c>
      <c r="CH39" s="161">
        <f>-Expenses!$F$13/12*(1+Expenses!$F$17)^('Monthly CF'!CH2-1)</f>
        <v>-4925.4657231821247</v>
      </c>
      <c r="CI39" s="161">
        <f>-Expenses!$F$13/12*(1+Expenses!$F$17)^('Monthly CF'!CI2-1)</f>
        <v>-4925.4657231821247</v>
      </c>
      <c r="CJ39" s="161">
        <f>-Expenses!$F$13/12*(1+Expenses!$F$17)^('Monthly CF'!CJ2-1)</f>
        <v>-5073.2296948775884</v>
      </c>
      <c r="CK39" s="161">
        <f>-Expenses!$F$13/12*(1+Expenses!$F$17)^('Monthly CF'!CK2-1)</f>
        <v>-5073.2296948775884</v>
      </c>
      <c r="CL39" s="161">
        <f>-Expenses!$F$13/12*(1+Expenses!$F$17)^('Monthly CF'!CL2-1)</f>
        <v>-5073.2296948775884</v>
      </c>
      <c r="CM39" s="161">
        <f>-Expenses!$F$13/12*(1+Expenses!$F$17)^('Monthly CF'!CM2-1)</f>
        <v>-5073.2296948775884</v>
      </c>
      <c r="CN39" s="161">
        <f>-Expenses!$F$13/12*(1+Expenses!$F$17)^('Monthly CF'!CN2-1)</f>
        <v>-5073.2296948775884</v>
      </c>
      <c r="CO39" s="161">
        <f>-Expenses!$F$13/12*(1+Expenses!$F$17)^('Monthly CF'!CO2-1)</f>
        <v>-5073.2296948775884</v>
      </c>
      <c r="CP39" s="161">
        <f>-Expenses!$F$13/12*(1+Expenses!$F$17)^('Monthly CF'!CP2-1)</f>
        <v>-5073.2296948775884</v>
      </c>
      <c r="CQ39" s="161">
        <f>-Expenses!$F$13/12*(1+Expenses!$F$17)^('Monthly CF'!CQ2-1)</f>
        <v>-5073.2296948775884</v>
      </c>
      <c r="CR39" s="161">
        <f>-Expenses!$F$13/12*(1+Expenses!$F$17)^('Monthly CF'!CR2-1)</f>
        <v>-5073.2296948775884</v>
      </c>
      <c r="CS39" s="161">
        <f>-Expenses!$F$13/12*(1+Expenses!$F$17)^('Monthly CF'!CS2-1)</f>
        <v>-5073.2296948775884</v>
      </c>
      <c r="CT39" s="161">
        <f>-Expenses!$F$13/12*(1+Expenses!$F$17)^('Monthly CF'!CT2-1)</f>
        <v>-5073.2296948775884</v>
      </c>
      <c r="CU39" s="161">
        <f>-Expenses!$F$13/12*(1+Expenses!$F$17)^('Monthly CF'!CU2-1)</f>
        <v>-5073.2296948775884</v>
      </c>
      <c r="CV39" s="161">
        <f>-Expenses!$F$13/12*(1+Expenses!$F$17)^('Monthly CF'!CV2-1)</f>
        <v>-5225.4265857239161</v>
      </c>
      <c r="CW39" s="161">
        <f>-Expenses!$F$13/12*(1+Expenses!$F$17)^('Monthly CF'!CW2-1)</f>
        <v>-5225.4265857239161</v>
      </c>
      <c r="CX39" s="161">
        <f>-Expenses!$F$13/12*(1+Expenses!$F$17)^('Monthly CF'!CX2-1)</f>
        <v>-5225.4265857239161</v>
      </c>
      <c r="CY39" s="161">
        <f>-Expenses!$F$13/12*(1+Expenses!$F$17)^('Monthly CF'!CY2-1)</f>
        <v>-5225.4265857239161</v>
      </c>
      <c r="CZ39" s="161">
        <f>-Expenses!$F$13/12*(1+Expenses!$F$17)^('Monthly CF'!CZ2-1)</f>
        <v>-5225.4265857239161</v>
      </c>
      <c r="DA39" s="161">
        <f>-Expenses!$F$13/12*(1+Expenses!$F$17)^('Monthly CF'!DA2-1)</f>
        <v>-5225.4265857239161</v>
      </c>
      <c r="DB39" s="161">
        <f>-Expenses!$F$13/12*(1+Expenses!$F$17)^('Monthly CF'!DB2-1)</f>
        <v>-5225.4265857239161</v>
      </c>
      <c r="DC39" s="161">
        <f>-Expenses!$F$13/12*(1+Expenses!$F$17)^('Monthly CF'!DC2-1)</f>
        <v>-5225.4265857239161</v>
      </c>
      <c r="DD39" s="161">
        <f>-Expenses!$F$13/12*(1+Expenses!$F$17)^('Monthly CF'!DD2-1)</f>
        <v>-5225.4265857239161</v>
      </c>
      <c r="DE39" s="161">
        <f>-Expenses!$F$13/12*(1+Expenses!$F$17)^('Monthly CF'!DE2-1)</f>
        <v>-5225.4265857239161</v>
      </c>
      <c r="DF39" s="161">
        <f>-Expenses!$F$13/12*(1+Expenses!$F$17)^('Monthly CF'!DF2-1)</f>
        <v>-5225.4265857239161</v>
      </c>
      <c r="DG39" s="161">
        <f>-Expenses!$F$13/12*(1+Expenses!$F$17)^('Monthly CF'!DG2-1)</f>
        <v>-5225.4265857239161</v>
      </c>
      <c r="DH39" s="161">
        <f>-Expenses!$F$13/12*(1+Expenses!$F$17)^('Monthly CF'!DH2-1)</f>
        <v>-5382.189383295633</v>
      </c>
      <c r="DI39" s="161">
        <f>-Expenses!$F$13/12*(1+Expenses!$F$17)^('Monthly CF'!DI2-1)</f>
        <v>-5382.189383295633</v>
      </c>
      <c r="DJ39" s="161">
        <f>-Expenses!$F$13/12*(1+Expenses!$F$17)^('Monthly CF'!DJ2-1)</f>
        <v>-5382.189383295633</v>
      </c>
      <c r="DK39" s="161">
        <f>-Expenses!$F$13/12*(1+Expenses!$F$17)^('Monthly CF'!DK2-1)</f>
        <v>-5382.189383295633</v>
      </c>
      <c r="DL39" s="161">
        <f>-Expenses!$F$13/12*(1+Expenses!$F$17)^('Monthly CF'!DL2-1)</f>
        <v>-5382.189383295633</v>
      </c>
      <c r="DM39" s="161">
        <f>-Expenses!$F$13/12*(1+Expenses!$F$17)^('Monthly CF'!DM2-1)</f>
        <v>-5382.189383295633</v>
      </c>
      <c r="DN39" s="161">
        <f>-Expenses!$F$13/12*(1+Expenses!$F$17)^('Monthly CF'!DN2-1)</f>
        <v>-5382.189383295633</v>
      </c>
      <c r="DO39" s="161">
        <f>-Expenses!$F$13/12*(1+Expenses!$F$17)^('Monthly CF'!DO2-1)</f>
        <v>-5382.189383295633</v>
      </c>
      <c r="DP39" s="161">
        <f>-Expenses!$F$13/12*(1+Expenses!$F$17)^('Monthly CF'!DP2-1)</f>
        <v>-5382.189383295633</v>
      </c>
      <c r="DQ39" s="161">
        <f>-Expenses!$F$13/12*(1+Expenses!$F$17)^('Monthly CF'!DQ2-1)</f>
        <v>-5382.189383295633</v>
      </c>
      <c r="DR39" s="161">
        <f>-Expenses!$F$13/12*(1+Expenses!$F$17)^('Monthly CF'!DR2-1)</f>
        <v>-5382.189383295633</v>
      </c>
      <c r="DS39" s="161">
        <f>-Expenses!$F$13/12*(1+Expenses!$F$17)^('Monthly CF'!DS2-1)</f>
        <v>-5382.189383295633</v>
      </c>
      <c r="DT39" s="161">
        <f>-Expenses!$F$13/12*(1+Expenses!$F$17)^('Monthly CF'!DT2-1)</f>
        <v>-5543.6550647945023</v>
      </c>
      <c r="DU39" s="161">
        <f>-Expenses!$F$13/12*(1+Expenses!$F$17)^('Monthly CF'!DU2-1)</f>
        <v>-5543.6550647945023</v>
      </c>
      <c r="DV39" s="161">
        <f>-Expenses!$F$13/12*(1+Expenses!$F$17)^('Monthly CF'!DV2-1)</f>
        <v>-5543.6550647945023</v>
      </c>
      <c r="DW39" s="161">
        <f>-Expenses!$F$13/12*(1+Expenses!$F$17)^('Monthly CF'!DW2-1)</f>
        <v>-5543.6550647945023</v>
      </c>
      <c r="DX39" s="161">
        <f>-Expenses!$F$13/12*(1+Expenses!$F$17)^('Monthly CF'!DX2-1)</f>
        <v>-5543.6550647945023</v>
      </c>
      <c r="DY39" s="161">
        <f>-Expenses!$F$13/12*(1+Expenses!$F$17)^('Monthly CF'!DY2-1)</f>
        <v>-5543.6550647945023</v>
      </c>
      <c r="DZ39" s="161">
        <f>-Expenses!$F$13/12*(1+Expenses!$F$17)^('Monthly CF'!DZ2-1)</f>
        <v>-5543.6550647945023</v>
      </c>
      <c r="EA39" s="161">
        <f>-Expenses!$F$13/12*(1+Expenses!$F$17)^('Monthly CF'!EA2-1)</f>
        <v>-5543.6550647945023</v>
      </c>
      <c r="EB39" s="161">
        <f>-Expenses!$F$13/12*(1+Expenses!$F$17)^('Monthly CF'!EB2-1)</f>
        <v>-5543.6550647945023</v>
      </c>
      <c r="EC39" s="161">
        <f>-Expenses!$F$13/12*(1+Expenses!$F$17)^('Monthly CF'!EC2-1)</f>
        <v>-5543.6550647945023</v>
      </c>
      <c r="ED39" s="161">
        <f>-Expenses!$F$13/12*(1+Expenses!$F$17)^('Monthly CF'!ED2-1)</f>
        <v>-5543.6550647945023</v>
      </c>
      <c r="EE39" s="162">
        <f>-Expenses!$F$13/12*(1+Expenses!$F$17)^('Monthly CF'!EE2-1)</f>
        <v>-5543.6550647945023</v>
      </c>
    </row>
    <row r="40" spans="1:135" x14ac:dyDescent="0.35">
      <c r="A40" s="168">
        <f>SUMIF($C$1:$EE$1,"&lt;="&amp;Summary!$K$19,'Monthly CF'!C40:EE40)</f>
        <v>-378308.01727853366</v>
      </c>
      <c r="B40" s="5" t="s">
        <v>178</v>
      </c>
      <c r="C40" s="160"/>
      <c r="D40" s="161">
        <f>-Expenses!$F$18/12*Revenue!$A$23*(1+Expenses!$F$17)^('Monthly CF'!D2-1)</f>
        <v>-2750</v>
      </c>
      <c r="E40" s="161">
        <f>-Expenses!$F$18/12*Revenue!$A$23*(1+Expenses!$F$17)^('Monthly CF'!E2-1)</f>
        <v>-2750</v>
      </c>
      <c r="F40" s="161">
        <f>-Expenses!$F$18/12*Revenue!$A$23*(1+Expenses!$F$17)^('Monthly CF'!F2-1)</f>
        <v>-2750</v>
      </c>
      <c r="G40" s="161">
        <f>-Expenses!$F$18/12*Revenue!$A$23*(1+Expenses!$F$17)^('Monthly CF'!G2-1)</f>
        <v>-2750</v>
      </c>
      <c r="H40" s="161">
        <f>-Expenses!$F$18/12*Revenue!$A$23*(1+Expenses!$F$17)^('Monthly CF'!H2-1)</f>
        <v>-2750</v>
      </c>
      <c r="I40" s="161">
        <f>-Expenses!$F$18/12*Revenue!$A$23*(1+Expenses!$F$17)^('Monthly CF'!I2-1)</f>
        <v>-2750</v>
      </c>
      <c r="J40" s="161">
        <f>-Expenses!$F$18/12*Revenue!$A$23*(1+Expenses!$F$17)^('Monthly CF'!J2-1)</f>
        <v>-2750</v>
      </c>
      <c r="K40" s="161">
        <f>-Expenses!$F$18/12*Revenue!$A$23*(1+Expenses!$F$17)^('Monthly CF'!K2-1)</f>
        <v>-2750</v>
      </c>
      <c r="L40" s="161">
        <f>-Expenses!$F$18/12*Revenue!$A$23*(1+Expenses!$F$17)^('Monthly CF'!L2-1)</f>
        <v>-2750</v>
      </c>
      <c r="M40" s="161">
        <f>-Expenses!$F$18/12*Revenue!$A$23*(1+Expenses!$F$17)^('Monthly CF'!M2-1)</f>
        <v>-2750</v>
      </c>
      <c r="N40" s="161">
        <f>-Expenses!$F$18/12*Revenue!$A$23*(1+Expenses!$F$17)^('Monthly CF'!N2-1)</f>
        <v>-2750</v>
      </c>
      <c r="O40" s="161">
        <f>-Expenses!$F$18/12*Revenue!$A$23*(1+Expenses!$F$17)^('Monthly CF'!O2-1)</f>
        <v>-2750</v>
      </c>
      <c r="P40" s="161">
        <f>-Expenses!$F$18/12*Revenue!$A$23*(1+Expenses!$F$17)^('Monthly CF'!P2-1)</f>
        <v>-2832.5</v>
      </c>
      <c r="Q40" s="161">
        <f>-Expenses!$F$18/12*Revenue!$A$23*(1+Expenses!$F$17)^('Monthly CF'!Q2-1)</f>
        <v>-2832.5</v>
      </c>
      <c r="R40" s="161">
        <f>-Expenses!$F$18/12*Revenue!$A$23*(1+Expenses!$F$17)^('Monthly CF'!R2-1)</f>
        <v>-2832.5</v>
      </c>
      <c r="S40" s="161">
        <f>-Expenses!$F$18/12*Revenue!$A$23*(1+Expenses!$F$17)^('Monthly CF'!S2-1)</f>
        <v>-2832.5</v>
      </c>
      <c r="T40" s="161">
        <f>-Expenses!$F$18/12*Revenue!$A$23*(1+Expenses!$F$17)^('Monthly CF'!T2-1)</f>
        <v>-2832.5</v>
      </c>
      <c r="U40" s="161">
        <f>-Expenses!$F$18/12*Revenue!$A$23*(1+Expenses!$F$17)^('Monthly CF'!U2-1)</f>
        <v>-2832.5</v>
      </c>
      <c r="V40" s="161">
        <f>-Expenses!$F$18/12*Revenue!$A$23*(1+Expenses!$F$17)^('Monthly CF'!V2-1)</f>
        <v>-2832.5</v>
      </c>
      <c r="W40" s="161">
        <f>-Expenses!$F$18/12*Revenue!$A$23*(1+Expenses!$F$17)^('Monthly CF'!W2-1)</f>
        <v>-2832.5</v>
      </c>
      <c r="X40" s="161">
        <f>-Expenses!$F$18/12*Revenue!$A$23*(1+Expenses!$F$17)^('Monthly CF'!X2-1)</f>
        <v>-2832.5</v>
      </c>
      <c r="Y40" s="161">
        <f>-Expenses!$F$18/12*Revenue!$A$23*(1+Expenses!$F$17)^('Monthly CF'!Y2-1)</f>
        <v>-2832.5</v>
      </c>
      <c r="Z40" s="161">
        <f>-Expenses!$F$18/12*Revenue!$A$23*(1+Expenses!$F$17)^('Monthly CF'!Z2-1)</f>
        <v>-2832.5</v>
      </c>
      <c r="AA40" s="161">
        <f>-Expenses!$F$18/12*Revenue!$A$23*(1+Expenses!$F$17)^('Monthly CF'!AA2-1)</f>
        <v>-2832.5</v>
      </c>
      <c r="AB40" s="161">
        <f>-Expenses!$F$18/12*Revenue!$A$23*(1+Expenses!$F$17)^('Monthly CF'!AB2-1)</f>
        <v>-2917.4749999999999</v>
      </c>
      <c r="AC40" s="161">
        <f>-Expenses!$F$18/12*Revenue!$A$23*(1+Expenses!$F$17)^('Monthly CF'!AC2-1)</f>
        <v>-2917.4749999999999</v>
      </c>
      <c r="AD40" s="161">
        <f>-Expenses!$F$18/12*Revenue!$A$23*(1+Expenses!$F$17)^('Monthly CF'!AD2-1)</f>
        <v>-2917.4749999999999</v>
      </c>
      <c r="AE40" s="161">
        <f>-Expenses!$F$18/12*Revenue!$A$23*(1+Expenses!$F$17)^('Monthly CF'!AE2-1)</f>
        <v>-2917.4749999999999</v>
      </c>
      <c r="AF40" s="161">
        <f>-Expenses!$F$18/12*Revenue!$A$23*(1+Expenses!$F$17)^('Monthly CF'!AF2-1)</f>
        <v>-2917.4749999999999</v>
      </c>
      <c r="AG40" s="161">
        <f>-Expenses!$F$18/12*Revenue!$A$23*(1+Expenses!$F$17)^('Monthly CF'!AG2-1)</f>
        <v>-2917.4749999999999</v>
      </c>
      <c r="AH40" s="161">
        <f>-Expenses!$F$18/12*Revenue!$A$23*(1+Expenses!$F$17)^('Monthly CF'!AH2-1)</f>
        <v>-2917.4749999999999</v>
      </c>
      <c r="AI40" s="161">
        <f>-Expenses!$F$18/12*Revenue!$A$23*(1+Expenses!$F$17)^('Monthly CF'!AI2-1)</f>
        <v>-2917.4749999999999</v>
      </c>
      <c r="AJ40" s="161">
        <f>-Expenses!$F$18/12*Revenue!$A$23*(1+Expenses!$F$17)^('Monthly CF'!AJ2-1)</f>
        <v>-2917.4749999999999</v>
      </c>
      <c r="AK40" s="161">
        <f>-Expenses!$F$18/12*Revenue!$A$23*(1+Expenses!$F$17)^('Monthly CF'!AK2-1)</f>
        <v>-2917.4749999999999</v>
      </c>
      <c r="AL40" s="161">
        <f>-Expenses!$F$18/12*Revenue!$A$23*(1+Expenses!$F$17)^('Monthly CF'!AL2-1)</f>
        <v>-2917.4749999999999</v>
      </c>
      <c r="AM40" s="161">
        <f>-Expenses!$F$18/12*Revenue!$A$23*(1+Expenses!$F$17)^('Monthly CF'!AM2-1)</f>
        <v>-2917.4749999999999</v>
      </c>
      <c r="AN40" s="161">
        <f>-Expenses!$F$18/12*Revenue!$A$23*(1+Expenses!$F$17)^('Monthly CF'!AN2-1)</f>
        <v>-3004.9992499999998</v>
      </c>
      <c r="AO40" s="161">
        <f>-Expenses!$F$18/12*Revenue!$A$23*(1+Expenses!$F$17)^('Monthly CF'!AO2-1)</f>
        <v>-3004.9992499999998</v>
      </c>
      <c r="AP40" s="161">
        <f>-Expenses!$F$18/12*Revenue!$A$23*(1+Expenses!$F$17)^('Monthly CF'!AP2-1)</f>
        <v>-3004.9992499999998</v>
      </c>
      <c r="AQ40" s="161">
        <f>-Expenses!$F$18/12*Revenue!$A$23*(1+Expenses!$F$17)^('Monthly CF'!AQ2-1)</f>
        <v>-3004.9992499999998</v>
      </c>
      <c r="AR40" s="161">
        <f>-Expenses!$F$18/12*Revenue!$A$23*(1+Expenses!$F$17)^('Monthly CF'!AR2-1)</f>
        <v>-3004.9992499999998</v>
      </c>
      <c r="AS40" s="161">
        <f>-Expenses!$F$18/12*Revenue!$A$23*(1+Expenses!$F$17)^('Monthly CF'!AS2-1)</f>
        <v>-3004.9992499999998</v>
      </c>
      <c r="AT40" s="161">
        <f>-Expenses!$F$18/12*Revenue!$A$23*(1+Expenses!$F$17)^('Monthly CF'!AT2-1)</f>
        <v>-3004.9992499999998</v>
      </c>
      <c r="AU40" s="161">
        <f>-Expenses!$F$18/12*Revenue!$A$23*(1+Expenses!$F$17)^('Monthly CF'!AU2-1)</f>
        <v>-3004.9992499999998</v>
      </c>
      <c r="AV40" s="161">
        <f>-Expenses!$F$18/12*Revenue!$A$23*(1+Expenses!$F$17)^('Monthly CF'!AV2-1)</f>
        <v>-3004.9992499999998</v>
      </c>
      <c r="AW40" s="161">
        <f>-Expenses!$F$18/12*Revenue!$A$23*(1+Expenses!$F$17)^('Monthly CF'!AW2-1)</f>
        <v>-3004.9992499999998</v>
      </c>
      <c r="AX40" s="161">
        <f>-Expenses!$F$18/12*Revenue!$A$23*(1+Expenses!$F$17)^('Monthly CF'!AX2-1)</f>
        <v>-3004.9992499999998</v>
      </c>
      <c r="AY40" s="161">
        <f>-Expenses!$F$18/12*Revenue!$A$23*(1+Expenses!$F$17)^('Monthly CF'!AY2-1)</f>
        <v>-3004.9992499999998</v>
      </c>
      <c r="AZ40" s="161">
        <f>-Expenses!$F$18/12*Revenue!$A$23*(1+Expenses!$F$17)^('Monthly CF'!AZ2-1)</f>
        <v>-3095.1492274999996</v>
      </c>
      <c r="BA40" s="161">
        <f>-Expenses!$F$18/12*Revenue!$A$23*(1+Expenses!$F$17)^('Monthly CF'!BA2-1)</f>
        <v>-3095.1492274999996</v>
      </c>
      <c r="BB40" s="161">
        <f>-Expenses!$F$18/12*Revenue!$A$23*(1+Expenses!$F$17)^('Monthly CF'!BB2-1)</f>
        <v>-3095.1492274999996</v>
      </c>
      <c r="BC40" s="161">
        <f>-Expenses!$F$18/12*Revenue!$A$23*(1+Expenses!$F$17)^('Monthly CF'!BC2-1)</f>
        <v>-3095.1492274999996</v>
      </c>
      <c r="BD40" s="161">
        <f>-Expenses!$F$18/12*Revenue!$A$23*(1+Expenses!$F$17)^('Monthly CF'!BD2-1)</f>
        <v>-3095.1492274999996</v>
      </c>
      <c r="BE40" s="161">
        <f>-Expenses!$F$18/12*Revenue!$A$23*(1+Expenses!$F$17)^('Monthly CF'!BE2-1)</f>
        <v>-3095.1492274999996</v>
      </c>
      <c r="BF40" s="161">
        <f>-Expenses!$F$18/12*Revenue!$A$23*(1+Expenses!$F$17)^('Monthly CF'!BF2-1)</f>
        <v>-3095.1492274999996</v>
      </c>
      <c r="BG40" s="161">
        <f>-Expenses!$F$18/12*Revenue!$A$23*(1+Expenses!$F$17)^('Monthly CF'!BG2-1)</f>
        <v>-3095.1492274999996</v>
      </c>
      <c r="BH40" s="161">
        <f>-Expenses!$F$18/12*Revenue!$A$23*(1+Expenses!$F$17)^('Monthly CF'!BH2-1)</f>
        <v>-3095.1492274999996</v>
      </c>
      <c r="BI40" s="161">
        <f>-Expenses!$F$18/12*Revenue!$A$23*(1+Expenses!$F$17)^('Monthly CF'!BI2-1)</f>
        <v>-3095.1492274999996</v>
      </c>
      <c r="BJ40" s="161">
        <f>-Expenses!$F$18/12*Revenue!$A$23*(1+Expenses!$F$17)^('Monthly CF'!BJ2-1)</f>
        <v>-3095.1492274999996</v>
      </c>
      <c r="BK40" s="161">
        <f>-Expenses!$F$18/12*Revenue!$A$23*(1+Expenses!$F$17)^('Monthly CF'!BK2-1)</f>
        <v>-3095.1492274999996</v>
      </c>
      <c r="BL40" s="161">
        <f>-Expenses!$F$18/12*Revenue!$A$23*(1+Expenses!$F$17)^('Monthly CF'!BL2-1)</f>
        <v>-3188.0037043249995</v>
      </c>
      <c r="BM40" s="161">
        <f>-Expenses!$F$18/12*Revenue!$A$23*(1+Expenses!$F$17)^('Monthly CF'!BM2-1)</f>
        <v>-3188.0037043249995</v>
      </c>
      <c r="BN40" s="161">
        <f>-Expenses!$F$18/12*Revenue!$A$23*(1+Expenses!$F$17)^('Monthly CF'!BN2-1)</f>
        <v>-3188.0037043249995</v>
      </c>
      <c r="BO40" s="161">
        <f>-Expenses!$F$18/12*Revenue!$A$23*(1+Expenses!$F$17)^('Monthly CF'!BO2-1)</f>
        <v>-3188.0037043249995</v>
      </c>
      <c r="BP40" s="161">
        <f>-Expenses!$F$18/12*Revenue!$A$23*(1+Expenses!$F$17)^('Monthly CF'!BP2-1)</f>
        <v>-3188.0037043249995</v>
      </c>
      <c r="BQ40" s="161">
        <f>-Expenses!$F$18/12*Revenue!$A$23*(1+Expenses!$F$17)^('Monthly CF'!BQ2-1)</f>
        <v>-3188.0037043249995</v>
      </c>
      <c r="BR40" s="161">
        <f>-Expenses!$F$18/12*Revenue!$A$23*(1+Expenses!$F$17)^('Monthly CF'!BR2-1)</f>
        <v>-3188.0037043249995</v>
      </c>
      <c r="BS40" s="161">
        <f>-Expenses!$F$18/12*Revenue!$A$23*(1+Expenses!$F$17)^('Monthly CF'!BS2-1)</f>
        <v>-3188.0037043249995</v>
      </c>
      <c r="BT40" s="161">
        <f>-Expenses!$F$18/12*Revenue!$A$23*(1+Expenses!$F$17)^('Monthly CF'!BT2-1)</f>
        <v>-3188.0037043249995</v>
      </c>
      <c r="BU40" s="161">
        <f>-Expenses!$F$18/12*Revenue!$A$23*(1+Expenses!$F$17)^('Monthly CF'!BU2-1)</f>
        <v>-3188.0037043249995</v>
      </c>
      <c r="BV40" s="161">
        <f>-Expenses!$F$18/12*Revenue!$A$23*(1+Expenses!$F$17)^('Monthly CF'!BV2-1)</f>
        <v>-3188.0037043249995</v>
      </c>
      <c r="BW40" s="161">
        <f>-Expenses!$F$18/12*Revenue!$A$23*(1+Expenses!$F$17)^('Monthly CF'!BW2-1)</f>
        <v>-3188.0037043249995</v>
      </c>
      <c r="BX40" s="161">
        <f>-Expenses!$F$18/12*Revenue!$A$23*(1+Expenses!$F$17)^('Monthly CF'!BX2-1)</f>
        <v>-3283.64381545475</v>
      </c>
      <c r="BY40" s="161">
        <f>-Expenses!$F$18/12*Revenue!$A$23*(1+Expenses!$F$17)^('Monthly CF'!BY2-1)</f>
        <v>-3283.64381545475</v>
      </c>
      <c r="BZ40" s="161">
        <f>-Expenses!$F$18/12*Revenue!$A$23*(1+Expenses!$F$17)^('Monthly CF'!BZ2-1)</f>
        <v>-3283.64381545475</v>
      </c>
      <c r="CA40" s="161">
        <f>-Expenses!$F$18/12*Revenue!$A$23*(1+Expenses!$F$17)^('Monthly CF'!CA2-1)</f>
        <v>-3283.64381545475</v>
      </c>
      <c r="CB40" s="161">
        <f>-Expenses!$F$18/12*Revenue!$A$23*(1+Expenses!$F$17)^('Monthly CF'!CB2-1)</f>
        <v>-3283.64381545475</v>
      </c>
      <c r="CC40" s="161">
        <f>-Expenses!$F$18/12*Revenue!$A$23*(1+Expenses!$F$17)^('Monthly CF'!CC2-1)</f>
        <v>-3283.64381545475</v>
      </c>
      <c r="CD40" s="161">
        <f>-Expenses!$F$18/12*Revenue!$A$23*(1+Expenses!$F$17)^('Monthly CF'!CD2-1)</f>
        <v>-3283.64381545475</v>
      </c>
      <c r="CE40" s="161">
        <f>-Expenses!$F$18/12*Revenue!$A$23*(1+Expenses!$F$17)^('Monthly CF'!CE2-1)</f>
        <v>-3283.64381545475</v>
      </c>
      <c r="CF40" s="161">
        <f>-Expenses!$F$18/12*Revenue!$A$23*(1+Expenses!$F$17)^('Monthly CF'!CF2-1)</f>
        <v>-3283.64381545475</v>
      </c>
      <c r="CG40" s="161">
        <f>-Expenses!$F$18/12*Revenue!$A$23*(1+Expenses!$F$17)^('Monthly CF'!CG2-1)</f>
        <v>-3283.64381545475</v>
      </c>
      <c r="CH40" s="161">
        <f>-Expenses!$F$18/12*Revenue!$A$23*(1+Expenses!$F$17)^('Monthly CF'!CH2-1)</f>
        <v>-3283.64381545475</v>
      </c>
      <c r="CI40" s="161">
        <f>-Expenses!$F$18/12*Revenue!$A$23*(1+Expenses!$F$17)^('Monthly CF'!CI2-1)</f>
        <v>-3283.64381545475</v>
      </c>
      <c r="CJ40" s="161">
        <f>-Expenses!$F$18/12*Revenue!$A$23*(1+Expenses!$F$17)^('Monthly CF'!CJ2-1)</f>
        <v>-3382.1531299183926</v>
      </c>
      <c r="CK40" s="161">
        <f>-Expenses!$F$18/12*Revenue!$A$23*(1+Expenses!$F$17)^('Monthly CF'!CK2-1)</f>
        <v>-3382.1531299183926</v>
      </c>
      <c r="CL40" s="161">
        <f>-Expenses!$F$18/12*Revenue!$A$23*(1+Expenses!$F$17)^('Monthly CF'!CL2-1)</f>
        <v>-3382.1531299183926</v>
      </c>
      <c r="CM40" s="161">
        <f>-Expenses!$F$18/12*Revenue!$A$23*(1+Expenses!$F$17)^('Monthly CF'!CM2-1)</f>
        <v>-3382.1531299183926</v>
      </c>
      <c r="CN40" s="161">
        <f>-Expenses!$F$18/12*Revenue!$A$23*(1+Expenses!$F$17)^('Monthly CF'!CN2-1)</f>
        <v>-3382.1531299183926</v>
      </c>
      <c r="CO40" s="161">
        <f>-Expenses!$F$18/12*Revenue!$A$23*(1+Expenses!$F$17)^('Monthly CF'!CO2-1)</f>
        <v>-3382.1531299183926</v>
      </c>
      <c r="CP40" s="161">
        <f>-Expenses!$F$18/12*Revenue!$A$23*(1+Expenses!$F$17)^('Monthly CF'!CP2-1)</f>
        <v>-3382.1531299183926</v>
      </c>
      <c r="CQ40" s="161">
        <f>-Expenses!$F$18/12*Revenue!$A$23*(1+Expenses!$F$17)^('Monthly CF'!CQ2-1)</f>
        <v>-3382.1531299183926</v>
      </c>
      <c r="CR40" s="161">
        <f>-Expenses!$F$18/12*Revenue!$A$23*(1+Expenses!$F$17)^('Monthly CF'!CR2-1)</f>
        <v>-3382.1531299183926</v>
      </c>
      <c r="CS40" s="161">
        <f>-Expenses!$F$18/12*Revenue!$A$23*(1+Expenses!$F$17)^('Monthly CF'!CS2-1)</f>
        <v>-3382.1531299183926</v>
      </c>
      <c r="CT40" s="161">
        <f>-Expenses!$F$18/12*Revenue!$A$23*(1+Expenses!$F$17)^('Monthly CF'!CT2-1)</f>
        <v>-3382.1531299183926</v>
      </c>
      <c r="CU40" s="161">
        <f>-Expenses!$F$18/12*Revenue!$A$23*(1+Expenses!$F$17)^('Monthly CF'!CU2-1)</f>
        <v>-3382.1531299183926</v>
      </c>
      <c r="CV40" s="161">
        <f>-Expenses!$F$18/12*Revenue!$A$23*(1+Expenses!$F$17)^('Monthly CF'!CV2-1)</f>
        <v>-3483.6177238159439</v>
      </c>
      <c r="CW40" s="161">
        <f>-Expenses!$F$18/12*Revenue!$A$23*(1+Expenses!$F$17)^('Monthly CF'!CW2-1)</f>
        <v>-3483.6177238159439</v>
      </c>
      <c r="CX40" s="161">
        <f>-Expenses!$F$18/12*Revenue!$A$23*(1+Expenses!$F$17)^('Monthly CF'!CX2-1)</f>
        <v>-3483.6177238159439</v>
      </c>
      <c r="CY40" s="161">
        <f>-Expenses!$F$18/12*Revenue!$A$23*(1+Expenses!$F$17)^('Monthly CF'!CY2-1)</f>
        <v>-3483.6177238159439</v>
      </c>
      <c r="CZ40" s="161">
        <f>-Expenses!$F$18/12*Revenue!$A$23*(1+Expenses!$F$17)^('Monthly CF'!CZ2-1)</f>
        <v>-3483.6177238159439</v>
      </c>
      <c r="DA40" s="161">
        <f>-Expenses!$F$18/12*Revenue!$A$23*(1+Expenses!$F$17)^('Monthly CF'!DA2-1)</f>
        <v>-3483.6177238159439</v>
      </c>
      <c r="DB40" s="161">
        <f>-Expenses!$F$18/12*Revenue!$A$23*(1+Expenses!$F$17)^('Monthly CF'!DB2-1)</f>
        <v>-3483.6177238159439</v>
      </c>
      <c r="DC40" s="161">
        <f>-Expenses!$F$18/12*Revenue!$A$23*(1+Expenses!$F$17)^('Monthly CF'!DC2-1)</f>
        <v>-3483.6177238159439</v>
      </c>
      <c r="DD40" s="161">
        <f>-Expenses!$F$18/12*Revenue!$A$23*(1+Expenses!$F$17)^('Monthly CF'!DD2-1)</f>
        <v>-3483.6177238159439</v>
      </c>
      <c r="DE40" s="161">
        <f>-Expenses!$F$18/12*Revenue!$A$23*(1+Expenses!$F$17)^('Monthly CF'!DE2-1)</f>
        <v>-3483.6177238159439</v>
      </c>
      <c r="DF40" s="161">
        <f>-Expenses!$F$18/12*Revenue!$A$23*(1+Expenses!$F$17)^('Monthly CF'!DF2-1)</f>
        <v>-3483.6177238159439</v>
      </c>
      <c r="DG40" s="161">
        <f>-Expenses!$F$18/12*Revenue!$A$23*(1+Expenses!$F$17)^('Monthly CF'!DG2-1)</f>
        <v>-3483.6177238159439</v>
      </c>
      <c r="DH40" s="161">
        <f>-Expenses!$F$18/12*Revenue!$A$23*(1+Expenses!$F$17)^('Monthly CF'!DH2-1)</f>
        <v>-3588.1262555304224</v>
      </c>
      <c r="DI40" s="161">
        <f>-Expenses!$F$18/12*Revenue!$A$23*(1+Expenses!$F$17)^('Monthly CF'!DI2-1)</f>
        <v>-3588.1262555304224</v>
      </c>
      <c r="DJ40" s="161">
        <f>-Expenses!$F$18/12*Revenue!$A$23*(1+Expenses!$F$17)^('Monthly CF'!DJ2-1)</f>
        <v>-3588.1262555304224</v>
      </c>
      <c r="DK40" s="161">
        <f>-Expenses!$F$18/12*Revenue!$A$23*(1+Expenses!$F$17)^('Monthly CF'!DK2-1)</f>
        <v>-3588.1262555304224</v>
      </c>
      <c r="DL40" s="161">
        <f>-Expenses!$F$18/12*Revenue!$A$23*(1+Expenses!$F$17)^('Monthly CF'!DL2-1)</f>
        <v>-3588.1262555304224</v>
      </c>
      <c r="DM40" s="161">
        <f>-Expenses!$F$18/12*Revenue!$A$23*(1+Expenses!$F$17)^('Monthly CF'!DM2-1)</f>
        <v>-3588.1262555304224</v>
      </c>
      <c r="DN40" s="161">
        <f>-Expenses!$F$18/12*Revenue!$A$23*(1+Expenses!$F$17)^('Monthly CF'!DN2-1)</f>
        <v>-3588.1262555304224</v>
      </c>
      <c r="DO40" s="161">
        <f>-Expenses!$F$18/12*Revenue!$A$23*(1+Expenses!$F$17)^('Monthly CF'!DO2-1)</f>
        <v>-3588.1262555304224</v>
      </c>
      <c r="DP40" s="161">
        <f>-Expenses!$F$18/12*Revenue!$A$23*(1+Expenses!$F$17)^('Monthly CF'!DP2-1)</f>
        <v>-3588.1262555304224</v>
      </c>
      <c r="DQ40" s="161">
        <f>-Expenses!$F$18/12*Revenue!$A$23*(1+Expenses!$F$17)^('Monthly CF'!DQ2-1)</f>
        <v>-3588.1262555304224</v>
      </c>
      <c r="DR40" s="161">
        <f>-Expenses!$F$18/12*Revenue!$A$23*(1+Expenses!$F$17)^('Monthly CF'!DR2-1)</f>
        <v>-3588.1262555304224</v>
      </c>
      <c r="DS40" s="161">
        <f>-Expenses!$F$18/12*Revenue!$A$23*(1+Expenses!$F$17)^('Monthly CF'!DS2-1)</f>
        <v>-3588.1262555304224</v>
      </c>
      <c r="DT40" s="161">
        <f>-Expenses!$F$18/12*Revenue!$A$23*(1+Expenses!$F$17)^('Monthly CF'!DT2-1)</f>
        <v>-3695.7700431963349</v>
      </c>
      <c r="DU40" s="161">
        <f>-Expenses!$F$18/12*Revenue!$A$23*(1+Expenses!$F$17)^('Monthly CF'!DU2-1)</f>
        <v>-3695.7700431963349</v>
      </c>
      <c r="DV40" s="161">
        <f>-Expenses!$F$18/12*Revenue!$A$23*(1+Expenses!$F$17)^('Monthly CF'!DV2-1)</f>
        <v>-3695.7700431963349</v>
      </c>
      <c r="DW40" s="161">
        <f>-Expenses!$F$18/12*Revenue!$A$23*(1+Expenses!$F$17)^('Monthly CF'!DW2-1)</f>
        <v>-3695.7700431963349</v>
      </c>
      <c r="DX40" s="161">
        <f>-Expenses!$F$18/12*Revenue!$A$23*(1+Expenses!$F$17)^('Monthly CF'!DX2-1)</f>
        <v>-3695.7700431963349</v>
      </c>
      <c r="DY40" s="161">
        <f>-Expenses!$F$18/12*Revenue!$A$23*(1+Expenses!$F$17)^('Monthly CF'!DY2-1)</f>
        <v>-3695.7700431963349</v>
      </c>
      <c r="DZ40" s="161">
        <f>-Expenses!$F$18/12*Revenue!$A$23*(1+Expenses!$F$17)^('Monthly CF'!DZ2-1)</f>
        <v>-3695.7700431963349</v>
      </c>
      <c r="EA40" s="161">
        <f>-Expenses!$F$18/12*Revenue!$A$23*(1+Expenses!$F$17)^('Monthly CF'!EA2-1)</f>
        <v>-3695.7700431963349</v>
      </c>
      <c r="EB40" s="161">
        <f>-Expenses!$F$18/12*Revenue!$A$23*(1+Expenses!$F$17)^('Monthly CF'!EB2-1)</f>
        <v>-3695.7700431963349</v>
      </c>
      <c r="EC40" s="161">
        <f>-Expenses!$F$18/12*Revenue!$A$23*(1+Expenses!$F$17)^('Monthly CF'!EC2-1)</f>
        <v>-3695.7700431963349</v>
      </c>
      <c r="ED40" s="161">
        <f>-Expenses!$F$18/12*Revenue!$A$23*(1+Expenses!$F$17)^('Monthly CF'!ED2-1)</f>
        <v>-3695.7700431963349</v>
      </c>
      <c r="EE40" s="162">
        <f>-Expenses!$F$18/12*Revenue!$A$23*(1+Expenses!$F$17)^('Monthly CF'!EE2-1)</f>
        <v>-3695.7700431963349</v>
      </c>
    </row>
    <row r="41" spans="1:135" x14ac:dyDescent="0.35">
      <c r="A41" s="168">
        <f>SUMIF($C$1:$EE$1,"&lt;="&amp;Summary!$K$19,'Monthly CF'!C41:EE41)</f>
        <v>-11675514.431966143</v>
      </c>
      <c r="B41" s="14" t="s">
        <v>179</v>
      </c>
      <c r="C41" s="166"/>
      <c r="D41" s="164">
        <f>SUM(D29:D40)</f>
        <v>-82820.5</v>
      </c>
      <c r="E41" s="164">
        <f t="shared" ref="E41:BP41" si="18">SUM(E29:E40)</f>
        <v>-82937.520479335843</v>
      </c>
      <c r="F41" s="164">
        <f t="shared" si="18"/>
        <v>-83054.888622918545</v>
      </c>
      <c r="G41" s="164">
        <f t="shared" si="18"/>
        <v>-83172.605528800428</v>
      </c>
      <c r="H41" s="164">
        <f t="shared" si="18"/>
        <v>-83328.075684652955</v>
      </c>
      <c r="I41" s="164">
        <f t="shared" si="18"/>
        <v>-83484.201582035967</v>
      </c>
      <c r="J41" s="164">
        <f t="shared" si="18"/>
        <v>-83640.986192624841</v>
      </c>
      <c r="K41" s="164">
        <f t="shared" si="18"/>
        <v>-83798.43250194029</v>
      </c>
      <c r="L41" s="164">
        <f t="shared" si="18"/>
        <v>-83956.543509413139</v>
      </c>
      <c r="M41" s="164">
        <f t="shared" si="18"/>
        <v>-84115.322228449382</v>
      </c>
      <c r="N41" s="164">
        <f t="shared" si="18"/>
        <v>-84274.771686495456</v>
      </c>
      <c r="O41" s="164">
        <f t="shared" si="18"/>
        <v>-84434.894925104047</v>
      </c>
      <c r="P41" s="164">
        <f t="shared" si="18"/>
        <v>-86654.045000000013</v>
      </c>
      <c r="Q41" s="164">
        <f t="shared" si="18"/>
        <v>-86808.601909416844</v>
      </c>
      <c r="R41" s="164">
        <f t="shared" si="18"/>
        <v>-86963.726658495259</v>
      </c>
      <c r="S41" s="164">
        <f t="shared" si="18"/>
        <v>-87079.870453961397</v>
      </c>
      <c r="T41" s="164">
        <f t="shared" si="18"/>
        <v>-87196.327369007864</v>
      </c>
      <c r="U41" s="164">
        <f t="shared" si="18"/>
        <v>-87313.098263207707</v>
      </c>
      <c r="V41" s="164">
        <f t="shared" si="18"/>
        <v>-87430.183998539782</v>
      </c>
      <c r="W41" s="164">
        <f t="shared" si="18"/>
        <v>-87547.585439395712</v>
      </c>
      <c r="X41" s="164">
        <f t="shared" si="18"/>
        <v>-87665.303452586726</v>
      </c>
      <c r="Y41" s="164">
        <f t="shared" si="18"/>
        <v>-87783.338907350568</v>
      </c>
      <c r="Z41" s="164">
        <f t="shared" si="18"/>
        <v>-87901.692675358441</v>
      </c>
      <c r="AA41" s="164">
        <f t="shared" si="18"/>
        <v>-88020.365630721935</v>
      </c>
      <c r="AB41" s="164">
        <f t="shared" si="18"/>
        <v>-89574.384650000007</v>
      </c>
      <c r="AC41" s="164">
        <f t="shared" si="18"/>
        <v>-89685.623613893229</v>
      </c>
      <c r="AD41" s="164">
        <f t="shared" si="18"/>
        <v>-89797.136923080587</v>
      </c>
      <c r="AE41" s="164">
        <f t="shared" si="18"/>
        <v>-89908.925254171598</v>
      </c>
      <c r="AF41" s="164">
        <f t="shared" si="18"/>
        <v>-90020.989285444477</v>
      </c>
      <c r="AG41" s="164">
        <f t="shared" si="18"/>
        <v>-90133.329696850255</v>
      </c>
      <c r="AH41" s="164">
        <f t="shared" si="18"/>
        <v>-90245.94717001688</v>
      </c>
      <c r="AI41" s="164">
        <f t="shared" si="18"/>
        <v>-90358.842388253426</v>
      </c>
      <c r="AJ41" s="164">
        <f t="shared" si="18"/>
        <v>-90472.016036554152</v>
      </c>
      <c r="AK41" s="164">
        <f t="shared" si="18"/>
        <v>-90585.468801602678</v>
      </c>
      <c r="AL41" s="164">
        <f t="shared" si="18"/>
        <v>-90699.201371776231</v>
      </c>
      <c r="AM41" s="164">
        <f t="shared" si="18"/>
        <v>-90813.214437149756</v>
      </c>
      <c r="AN41" s="164">
        <f t="shared" si="18"/>
        <v>-92261.616189500011</v>
      </c>
      <c r="AO41" s="164">
        <f t="shared" si="18"/>
        <v>-92376.192322310046</v>
      </c>
      <c r="AP41" s="164">
        <f t="shared" si="18"/>
        <v>-92491.051030773</v>
      </c>
      <c r="AQ41" s="164">
        <f t="shared" si="18"/>
        <v>-92606.193011796757</v>
      </c>
      <c r="AR41" s="164">
        <f t="shared" si="18"/>
        <v>-92721.618964007837</v>
      </c>
      <c r="AS41" s="164">
        <f t="shared" si="18"/>
        <v>-92837.329587755783</v>
      </c>
      <c r="AT41" s="164">
        <f t="shared" si="18"/>
        <v>-92953.325585117404</v>
      </c>
      <c r="AU41" s="164">
        <f t="shared" si="18"/>
        <v>-93069.607659901056</v>
      </c>
      <c r="AV41" s="164">
        <f t="shared" si="18"/>
        <v>-93186.176517650776</v>
      </c>
      <c r="AW41" s="164">
        <f t="shared" si="18"/>
        <v>-93303.032865650777</v>
      </c>
      <c r="AX41" s="164">
        <f t="shared" si="18"/>
        <v>-93420.177412929537</v>
      </c>
      <c r="AY41" s="164">
        <f t="shared" si="18"/>
        <v>-93537.610870264252</v>
      </c>
      <c r="AZ41" s="164">
        <f t="shared" si="18"/>
        <v>-95029.464675185038</v>
      </c>
      <c r="BA41" s="164">
        <f t="shared" si="18"/>
        <v>-95147.478091979341</v>
      </c>
      <c r="BB41" s="164">
        <f t="shared" si="18"/>
        <v>-95265.782561696222</v>
      </c>
      <c r="BC41" s="164">
        <f t="shared" si="18"/>
        <v>-95384.378802150692</v>
      </c>
      <c r="BD41" s="164">
        <f t="shared" si="18"/>
        <v>-95503.267532928076</v>
      </c>
      <c r="BE41" s="164">
        <f t="shared" si="18"/>
        <v>-95622.449475388465</v>
      </c>
      <c r="BF41" s="164">
        <f t="shared" si="18"/>
        <v>-95741.925352670951</v>
      </c>
      <c r="BG41" s="164">
        <f t="shared" si="18"/>
        <v>-95861.695889698094</v>
      </c>
      <c r="BH41" s="164">
        <f t="shared" si="18"/>
        <v>-95981.761813180303</v>
      </c>
      <c r="BI41" s="164">
        <f t="shared" si="18"/>
        <v>-96102.123851620316</v>
      </c>
      <c r="BJ41" s="164">
        <f t="shared" si="18"/>
        <v>-96222.782735317436</v>
      </c>
      <c r="BK41" s="164">
        <f t="shared" si="18"/>
        <v>-96343.739196372204</v>
      </c>
      <c r="BL41" s="164">
        <f t="shared" si="18"/>
        <v>-97880.348615440584</v>
      </c>
      <c r="BM41" s="164">
        <f t="shared" si="18"/>
        <v>-98001.902434738746</v>
      </c>
      <c r="BN41" s="164">
        <f t="shared" si="18"/>
        <v>-98123.756038547101</v>
      </c>
      <c r="BO41" s="164">
        <f t="shared" si="18"/>
        <v>-98245.910166215195</v>
      </c>
      <c r="BP41" s="164">
        <f t="shared" si="18"/>
        <v>-98368.365558915917</v>
      </c>
      <c r="BQ41" s="164">
        <f t="shared" ref="BQ41:EB41" si="19">SUM(BQ29:BQ40)</f>
        <v>-98491.122959650107</v>
      </c>
      <c r="BR41" s="164">
        <f t="shared" si="19"/>
        <v>-98614.183113251071</v>
      </c>
      <c r="BS41" s="164">
        <f t="shared" si="19"/>
        <v>-98737.54676638903</v>
      </c>
      <c r="BT41" s="164">
        <f t="shared" si="19"/>
        <v>-98861.214667575739</v>
      </c>
      <c r="BU41" s="164">
        <f t="shared" si="19"/>
        <v>-98985.187567168919</v>
      </c>
      <c r="BV41" s="164">
        <f t="shared" si="19"/>
        <v>-99109.466217376976</v>
      </c>
      <c r="BW41" s="164">
        <f t="shared" si="19"/>
        <v>-99234.051372263362</v>
      </c>
      <c r="BX41" s="164">
        <f t="shared" si="19"/>
        <v>-100816.75907390383</v>
      </c>
      <c r="BY41" s="164">
        <f t="shared" si="19"/>
        <v>-100941.95950778091</v>
      </c>
      <c r="BZ41" s="164">
        <f t="shared" si="19"/>
        <v>-101067.46871970354</v>
      </c>
      <c r="CA41" s="164">
        <f t="shared" si="19"/>
        <v>-101193.28747120168</v>
      </c>
      <c r="CB41" s="164">
        <f t="shared" si="19"/>
        <v>-101319.41652568342</v>
      </c>
      <c r="CC41" s="164">
        <f t="shared" si="19"/>
        <v>-101445.85664843966</v>
      </c>
      <c r="CD41" s="164">
        <f t="shared" si="19"/>
        <v>-101572.60860664863</v>
      </c>
      <c r="CE41" s="164">
        <f t="shared" si="19"/>
        <v>-101699.67316938072</v>
      </c>
      <c r="CF41" s="164">
        <f t="shared" si="19"/>
        <v>-101827.05110760301</v>
      </c>
      <c r="CG41" s="164">
        <f t="shared" si="19"/>
        <v>-101954.743194184</v>
      </c>
      <c r="CH41" s="164">
        <f t="shared" si="19"/>
        <v>-102082.75020389829</v>
      </c>
      <c r="CI41" s="164">
        <f t="shared" si="19"/>
        <v>-102211.0729134313</v>
      </c>
      <c r="CJ41" s="164">
        <f t="shared" si="19"/>
        <v>-103841.26184612096</v>
      </c>
      <c r="CK41" s="164">
        <f t="shared" si="19"/>
        <v>-103970.21829301436</v>
      </c>
      <c r="CL41" s="164">
        <f t="shared" si="19"/>
        <v>-104099.49278129467</v>
      </c>
      <c r="CM41" s="164">
        <f t="shared" si="19"/>
        <v>-104229.08609533776</v>
      </c>
      <c r="CN41" s="164">
        <f t="shared" si="19"/>
        <v>-104358.99902145396</v>
      </c>
      <c r="CO41" s="164">
        <f t="shared" si="19"/>
        <v>-104489.23234789286</v>
      </c>
      <c r="CP41" s="164">
        <f t="shared" si="19"/>
        <v>-104619.78686484811</v>
      </c>
      <c r="CQ41" s="164">
        <f t="shared" si="19"/>
        <v>-104750.66336446218</v>
      </c>
      <c r="CR41" s="164">
        <f t="shared" si="19"/>
        <v>-104881.86264083112</v>
      </c>
      <c r="CS41" s="164">
        <f t="shared" si="19"/>
        <v>-105013.38549000956</v>
      </c>
      <c r="CT41" s="164">
        <f t="shared" si="19"/>
        <v>-105145.23271001526</v>
      </c>
      <c r="CU41" s="164">
        <f t="shared" si="19"/>
        <v>-105277.40510083426</v>
      </c>
      <c r="CV41" s="164">
        <f t="shared" si="19"/>
        <v>-106956.49970150462</v>
      </c>
      <c r="CW41" s="164">
        <f t="shared" si="19"/>
        <v>-107089.32484180482</v>
      </c>
      <c r="CX41" s="164">
        <f t="shared" si="19"/>
        <v>-107222.47756473353</v>
      </c>
      <c r="CY41" s="164">
        <f t="shared" si="19"/>
        <v>-107355.9586781979</v>
      </c>
      <c r="CZ41" s="164">
        <f t="shared" si="19"/>
        <v>-107489.76899209758</v>
      </c>
      <c r="DA41" s="164">
        <f t="shared" si="19"/>
        <v>-107623.90931832965</v>
      </c>
      <c r="DB41" s="164">
        <f t="shared" si="19"/>
        <v>-107758.38047079358</v>
      </c>
      <c r="DC41" s="164">
        <f t="shared" si="19"/>
        <v>-107893.18326539606</v>
      </c>
      <c r="DD41" s="164">
        <f t="shared" si="19"/>
        <v>-108028.31852005608</v>
      </c>
      <c r="DE41" s="164">
        <f t="shared" si="19"/>
        <v>-108163.78705470986</v>
      </c>
      <c r="DF41" s="164">
        <f t="shared" si="19"/>
        <v>-108299.58969131575</v>
      </c>
      <c r="DG41" s="164">
        <f t="shared" si="19"/>
        <v>-108435.72725385928</v>
      </c>
      <c r="DH41" s="164">
        <f t="shared" si="19"/>
        <v>-110165.19469254976</v>
      </c>
      <c r="DI41" s="164">
        <f t="shared" si="19"/>
        <v>-110302.00458705897</v>
      </c>
      <c r="DJ41" s="164">
        <f t="shared" si="19"/>
        <v>-110439.15189167556</v>
      </c>
      <c r="DK41" s="164">
        <f t="shared" si="19"/>
        <v>-110576.63743854384</v>
      </c>
      <c r="DL41" s="164">
        <f t="shared" si="19"/>
        <v>-110714.46206186054</v>
      </c>
      <c r="DM41" s="164">
        <f t="shared" si="19"/>
        <v>-110852.62659787957</v>
      </c>
      <c r="DN41" s="164">
        <f t="shared" si="19"/>
        <v>-110991.13188491741</v>
      </c>
      <c r="DO41" s="164">
        <f t="shared" si="19"/>
        <v>-111129.97876335795</v>
      </c>
      <c r="DP41" s="164">
        <f t="shared" si="19"/>
        <v>-111269.16807565778</v>
      </c>
      <c r="DQ41" s="164">
        <f t="shared" si="19"/>
        <v>-111408.70066635116</v>
      </c>
      <c r="DR41" s="164">
        <f t="shared" si="19"/>
        <v>-111548.57738205524</v>
      </c>
      <c r="DS41" s="164">
        <f t="shared" si="19"/>
        <v>-111688.79907147508</v>
      </c>
      <c r="DT41" s="164">
        <f t="shared" si="19"/>
        <v>-113470.15053332626</v>
      </c>
      <c r="DU41" s="164">
        <f t="shared" si="19"/>
        <v>-113611.06472467072</v>
      </c>
      <c r="DV41" s="164">
        <f t="shared" si="19"/>
        <v>-113752.32644842583</v>
      </c>
      <c r="DW41" s="164">
        <f t="shared" si="19"/>
        <v>-113893.93656170016</v>
      </c>
      <c r="DX41" s="164">
        <f t="shared" si="19"/>
        <v>-114035.89592371637</v>
      </c>
      <c r="DY41" s="164">
        <f t="shared" si="19"/>
        <v>-114178.20539581595</v>
      </c>
      <c r="DZ41" s="164">
        <f t="shared" si="19"/>
        <v>-114320.86584146493</v>
      </c>
      <c r="EA41" s="164">
        <f t="shared" si="19"/>
        <v>-114463.8781262587</v>
      </c>
      <c r="EB41" s="164">
        <f t="shared" si="19"/>
        <v>-114607.24311792752</v>
      </c>
      <c r="EC41" s="164">
        <f t="shared" ref="EC41:EE41" si="20">SUM(EC29:EC40)</f>
        <v>-114750.9616863417</v>
      </c>
      <c r="ED41" s="164">
        <f t="shared" si="20"/>
        <v>-114895.0347035169</v>
      </c>
      <c r="EE41" s="165">
        <f t="shared" si="20"/>
        <v>-115039.46304361934</v>
      </c>
    </row>
    <row r="42" spans="1:135" x14ac:dyDescent="0.35">
      <c r="B42" s="5"/>
      <c r="C42" s="160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/>
      <c r="BC42" s="161"/>
      <c r="BD42" s="161"/>
      <c r="BE42" s="161"/>
      <c r="BF42" s="161"/>
      <c r="BG42" s="161"/>
      <c r="BH42" s="161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  <c r="BS42" s="161"/>
      <c r="BT42" s="161"/>
      <c r="BU42" s="161"/>
      <c r="BV42" s="161"/>
      <c r="BW42" s="161"/>
      <c r="BX42" s="161"/>
      <c r="BY42" s="161"/>
      <c r="BZ42" s="161"/>
      <c r="CA42" s="161"/>
      <c r="CB42" s="161"/>
      <c r="CC42" s="161"/>
      <c r="CD42" s="161"/>
      <c r="CE42" s="161"/>
      <c r="CF42" s="161"/>
      <c r="CG42" s="161"/>
      <c r="CH42" s="161"/>
      <c r="CI42" s="161"/>
      <c r="CJ42" s="161"/>
      <c r="CK42" s="161"/>
      <c r="CL42" s="161"/>
      <c r="CM42" s="161"/>
      <c r="CN42" s="161"/>
      <c r="CO42" s="161"/>
      <c r="CP42" s="161"/>
      <c r="CQ42" s="161"/>
      <c r="CR42" s="161"/>
      <c r="CS42" s="161"/>
      <c r="CT42" s="161"/>
      <c r="CU42" s="161"/>
      <c r="CV42" s="161"/>
      <c r="CW42" s="161"/>
      <c r="CX42" s="161"/>
      <c r="CY42" s="161"/>
      <c r="CZ42" s="161"/>
      <c r="DA42" s="161"/>
      <c r="DB42" s="161"/>
      <c r="DC42" s="161"/>
      <c r="DD42" s="161"/>
      <c r="DE42" s="161"/>
      <c r="DF42" s="161"/>
      <c r="DG42" s="161"/>
      <c r="DH42" s="161"/>
      <c r="DI42" s="161"/>
      <c r="DJ42" s="161"/>
      <c r="DK42" s="161"/>
      <c r="DL42" s="161"/>
      <c r="DM42" s="161"/>
      <c r="DN42" s="161"/>
      <c r="DO42" s="161"/>
      <c r="DP42" s="161"/>
      <c r="DQ42" s="161"/>
      <c r="DR42" s="161"/>
      <c r="DS42" s="161"/>
      <c r="DT42" s="161"/>
      <c r="DU42" s="161"/>
      <c r="DV42" s="161"/>
      <c r="DW42" s="161"/>
      <c r="DX42" s="161"/>
      <c r="DY42" s="161"/>
      <c r="DZ42" s="161"/>
      <c r="EA42" s="161"/>
      <c r="EB42" s="161"/>
      <c r="EC42" s="161"/>
      <c r="ED42" s="161"/>
      <c r="EE42" s="162"/>
    </row>
    <row r="43" spans="1:135" x14ac:dyDescent="0.35">
      <c r="A43" s="168">
        <f>SUMIF($C$1:$EE$1,"&lt;="&amp;Summary!$K$19,'Monthly CF'!C43:EE43)</f>
        <v>23603689.324742094</v>
      </c>
      <c r="B43" s="14" t="s">
        <v>180</v>
      </c>
      <c r="C43" s="166"/>
      <c r="D43" s="164">
        <f>SUM(D26,D41)</f>
        <v>148629.50000000003</v>
      </c>
      <c r="E43" s="164">
        <f t="shared" ref="E43:BP43" si="21">SUM(E26,E41)</f>
        <v>149445.70795362099</v>
      </c>
      <c r="F43" s="164">
        <f t="shared" si="21"/>
        <v>150265.34634046876</v>
      </c>
      <c r="G43" s="164">
        <f t="shared" si="21"/>
        <v>151088.42939576035</v>
      </c>
      <c r="H43" s="164">
        <f t="shared" si="21"/>
        <v>152812.65267568702</v>
      </c>
      <c r="I43" s="164">
        <f t="shared" si="21"/>
        <v>154547.66379979992</v>
      </c>
      <c r="J43" s="164">
        <f t="shared" si="21"/>
        <v>156293.52188039024</v>
      </c>
      <c r="K43" s="164">
        <f t="shared" si="21"/>
        <v>158050.28633192903</v>
      </c>
      <c r="L43" s="164">
        <f t="shared" si="21"/>
        <v>159818.01687254704</v>
      </c>
      <c r="M43" s="164">
        <f t="shared" si="21"/>
        <v>161596.77352552227</v>
      </c>
      <c r="N43" s="164">
        <f t="shared" si="21"/>
        <v>163386.61662077354</v>
      </c>
      <c r="O43" s="164">
        <f t="shared" si="21"/>
        <v>165187.60679636223</v>
      </c>
      <c r="P43" s="164">
        <f t="shared" si="21"/>
        <v>168275.20500000022</v>
      </c>
      <c r="Q43" s="164">
        <f t="shared" si="21"/>
        <v>169932.51876905205</v>
      </c>
      <c r="R43" s="164">
        <f t="shared" si="21"/>
        <v>171598.39977602256</v>
      </c>
      <c r="S43" s="164">
        <f t="shared" si="21"/>
        <v>172323.66450076012</v>
      </c>
      <c r="T43" s="164">
        <f t="shared" si="21"/>
        <v>173051.3581875251</v>
      </c>
      <c r="U43" s="164">
        <f t="shared" si="21"/>
        <v>173781.48892284938</v>
      </c>
      <c r="V43" s="164">
        <f t="shared" si="21"/>
        <v>174514.06482007037</v>
      </c>
      <c r="W43" s="164">
        <f t="shared" si="21"/>
        <v>175249.0940194196</v>
      </c>
      <c r="X43" s="164">
        <f t="shared" si="21"/>
        <v>175986.58468811159</v>
      </c>
      <c r="Y43" s="164">
        <f t="shared" si="21"/>
        <v>176726.54502043291</v>
      </c>
      <c r="Z43" s="164">
        <f t="shared" si="21"/>
        <v>177468.98323783162</v>
      </c>
      <c r="AA43" s="164">
        <f t="shared" si="21"/>
        <v>178213.90758900714</v>
      </c>
      <c r="AB43" s="164">
        <f t="shared" si="21"/>
        <v>181020.70035000035</v>
      </c>
      <c r="AC43" s="164">
        <f t="shared" si="21"/>
        <v>181576.8218647766</v>
      </c>
      <c r="AD43" s="164">
        <f t="shared" si="21"/>
        <v>182134.31492523447</v>
      </c>
      <c r="AE43" s="164">
        <f t="shared" si="21"/>
        <v>182693.18291397562</v>
      </c>
      <c r="AF43" s="164">
        <f t="shared" si="21"/>
        <v>183253.42922194407</v>
      </c>
      <c r="AG43" s="164">
        <f t="shared" si="21"/>
        <v>183815.05724844692</v>
      </c>
      <c r="AH43" s="164">
        <f t="shared" si="21"/>
        <v>184378.07040117483</v>
      </c>
      <c r="AI43" s="164">
        <f t="shared" si="21"/>
        <v>184942.47209622269</v>
      </c>
      <c r="AJ43" s="164">
        <f t="shared" si="21"/>
        <v>185508.26575811053</v>
      </c>
      <c r="AK43" s="164">
        <f t="shared" si="21"/>
        <v>186075.45481980406</v>
      </c>
      <c r="AL43" s="164">
        <f t="shared" si="21"/>
        <v>186644.04272273561</v>
      </c>
      <c r="AM43" s="164">
        <f t="shared" si="21"/>
        <v>187214.03291682497</v>
      </c>
      <c r="AN43" s="164">
        <f t="shared" si="21"/>
        <v>186451.32136050059</v>
      </c>
      <c r="AO43" s="164">
        <f t="shared" si="21"/>
        <v>187024.12652072008</v>
      </c>
      <c r="AP43" s="164">
        <f t="shared" si="21"/>
        <v>187598.34437299168</v>
      </c>
      <c r="AQ43" s="164">
        <f t="shared" si="21"/>
        <v>188173.97840139508</v>
      </c>
      <c r="AR43" s="164">
        <f t="shared" si="21"/>
        <v>188751.03209860262</v>
      </c>
      <c r="AS43" s="164">
        <f t="shared" si="21"/>
        <v>189329.50896590058</v>
      </c>
      <c r="AT43" s="164">
        <f t="shared" si="21"/>
        <v>189909.41251321032</v>
      </c>
      <c r="AU43" s="164">
        <f t="shared" si="21"/>
        <v>190490.74625910961</v>
      </c>
      <c r="AV43" s="164">
        <f t="shared" si="21"/>
        <v>191073.51373085403</v>
      </c>
      <c r="AW43" s="164">
        <f t="shared" si="21"/>
        <v>191657.71846439835</v>
      </c>
      <c r="AX43" s="164">
        <f t="shared" si="21"/>
        <v>192243.36400441779</v>
      </c>
      <c r="AY43" s="164">
        <f t="shared" si="21"/>
        <v>192830.45390432997</v>
      </c>
      <c r="AZ43" s="164">
        <f t="shared" si="21"/>
        <v>192044.86100131582</v>
      </c>
      <c r="BA43" s="164">
        <f t="shared" si="21"/>
        <v>192634.85031634191</v>
      </c>
      <c r="BB43" s="164">
        <f t="shared" si="21"/>
        <v>193226.29470418164</v>
      </c>
      <c r="BC43" s="164">
        <f t="shared" si="21"/>
        <v>193819.19775343713</v>
      </c>
      <c r="BD43" s="164">
        <f t="shared" si="21"/>
        <v>194413.56306156091</v>
      </c>
      <c r="BE43" s="164">
        <f t="shared" si="21"/>
        <v>195009.39423487784</v>
      </c>
      <c r="BF43" s="164">
        <f t="shared" si="21"/>
        <v>195606.69488860678</v>
      </c>
      <c r="BG43" s="164">
        <f t="shared" si="21"/>
        <v>196205.46864688315</v>
      </c>
      <c r="BH43" s="164">
        <f t="shared" si="21"/>
        <v>196805.71914277988</v>
      </c>
      <c r="BI43" s="164">
        <f t="shared" si="21"/>
        <v>197407.45001833054</v>
      </c>
      <c r="BJ43" s="164">
        <f t="shared" si="21"/>
        <v>198010.66492455063</v>
      </c>
      <c r="BK43" s="164">
        <f t="shared" si="21"/>
        <v>198615.36752146005</v>
      </c>
      <c r="BL43" s="164">
        <f t="shared" si="21"/>
        <v>197806.20683135558</v>
      </c>
      <c r="BM43" s="164">
        <f t="shared" si="21"/>
        <v>198413.89582583244</v>
      </c>
      <c r="BN43" s="164">
        <f t="shared" si="21"/>
        <v>199023.08354530745</v>
      </c>
      <c r="BO43" s="164">
        <f t="shared" si="21"/>
        <v>199633.7736860406</v>
      </c>
      <c r="BP43" s="164">
        <f t="shared" si="21"/>
        <v>200245.96995340797</v>
      </c>
      <c r="BQ43" s="164">
        <f t="shared" ref="BQ43:EB43" si="22">SUM(BQ26,BQ41)</f>
        <v>200859.67606192443</v>
      </c>
      <c r="BR43" s="164">
        <f t="shared" si="22"/>
        <v>201474.89573526528</v>
      </c>
      <c r="BS43" s="164">
        <f t="shared" si="22"/>
        <v>202091.63270628982</v>
      </c>
      <c r="BT43" s="164">
        <f t="shared" si="22"/>
        <v>202709.89071706356</v>
      </c>
      <c r="BU43" s="164">
        <f t="shared" si="22"/>
        <v>203329.67351888074</v>
      </c>
      <c r="BV43" s="164">
        <f t="shared" si="22"/>
        <v>203950.98487228743</v>
      </c>
      <c r="BW43" s="164">
        <f t="shared" si="22"/>
        <v>204573.8285471042</v>
      </c>
      <c r="BX43" s="164">
        <f t="shared" si="22"/>
        <v>203740.39303629647</v>
      </c>
      <c r="BY43" s="164">
        <f t="shared" si="22"/>
        <v>204366.3127006077</v>
      </c>
      <c r="BZ43" s="164">
        <f t="shared" si="22"/>
        <v>204993.77605166682</v>
      </c>
      <c r="CA43" s="164">
        <f t="shared" si="22"/>
        <v>205622.78689662198</v>
      </c>
      <c r="CB43" s="164">
        <f t="shared" si="22"/>
        <v>206253.34905201051</v>
      </c>
      <c r="CC43" s="164">
        <f t="shared" si="22"/>
        <v>206885.46634378238</v>
      </c>
      <c r="CD43" s="164">
        <f t="shared" si="22"/>
        <v>207519.14260732359</v>
      </c>
      <c r="CE43" s="164">
        <f t="shared" si="22"/>
        <v>208154.38168747889</v>
      </c>
      <c r="CF43" s="164">
        <f t="shared" si="22"/>
        <v>208791.18743857578</v>
      </c>
      <c r="CG43" s="164">
        <f t="shared" si="22"/>
        <v>209429.56372444748</v>
      </c>
      <c r="CH43" s="164">
        <f t="shared" si="22"/>
        <v>210069.51441845635</v>
      </c>
      <c r="CI43" s="164">
        <f t="shared" si="22"/>
        <v>210711.0434035176</v>
      </c>
      <c r="CJ43" s="164">
        <f t="shared" si="22"/>
        <v>209852.60482738572</v>
      </c>
      <c r="CK43" s="164">
        <f t="shared" si="22"/>
        <v>210497.30208162623</v>
      </c>
      <c r="CL43" s="164">
        <f t="shared" si="22"/>
        <v>211143.58933321718</v>
      </c>
      <c r="CM43" s="164">
        <f t="shared" si="22"/>
        <v>211791.47050352098</v>
      </c>
      <c r="CN43" s="164">
        <f t="shared" si="22"/>
        <v>212440.94952357112</v>
      </c>
      <c r="CO43" s="164">
        <f t="shared" si="22"/>
        <v>213092.0303340962</v>
      </c>
      <c r="CP43" s="164">
        <f t="shared" si="22"/>
        <v>213744.7168855436</v>
      </c>
      <c r="CQ43" s="164">
        <f t="shared" si="22"/>
        <v>214399.01313810362</v>
      </c>
      <c r="CR43" s="164">
        <f t="shared" si="22"/>
        <v>215054.92306173345</v>
      </c>
      <c r="CS43" s="164">
        <f t="shared" si="22"/>
        <v>215712.45063618128</v>
      </c>
      <c r="CT43" s="164">
        <f t="shared" si="22"/>
        <v>216371.59985101043</v>
      </c>
      <c r="CU43" s="164">
        <f t="shared" si="22"/>
        <v>217032.37470562349</v>
      </c>
      <c r="CV43" s="164">
        <f t="shared" si="22"/>
        <v>216148.18297220769</v>
      </c>
      <c r="CW43" s="164">
        <f t="shared" si="22"/>
        <v>216812.22114407551</v>
      </c>
      <c r="CX43" s="164">
        <f t="shared" si="22"/>
        <v>217477.89701321413</v>
      </c>
      <c r="CY43" s="164">
        <f t="shared" si="22"/>
        <v>218145.21461862707</v>
      </c>
      <c r="CZ43" s="164">
        <f t="shared" si="22"/>
        <v>218814.17800927861</v>
      </c>
      <c r="DA43" s="164">
        <f t="shared" si="22"/>
        <v>219484.79124411946</v>
      </c>
      <c r="DB43" s="164">
        <f t="shared" si="22"/>
        <v>220157.05839211022</v>
      </c>
      <c r="DC43" s="164">
        <f t="shared" si="22"/>
        <v>220830.98353224708</v>
      </c>
      <c r="DD43" s="164">
        <f t="shared" si="22"/>
        <v>221506.57075358578</v>
      </c>
      <c r="DE43" s="164">
        <f t="shared" si="22"/>
        <v>222183.82415526704</v>
      </c>
      <c r="DF43" s="164">
        <f t="shared" si="22"/>
        <v>222862.74784654114</v>
      </c>
      <c r="DG43" s="164">
        <f t="shared" si="22"/>
        <v>223543.34594679263</v>
      </c>
      <c r="DH43" s="164">
        <f t="shared" si="22"/>
        <v>222632.62846137432</v>
      </c>
      <c r="DI43" s="164">
        <f t="shared" si="22"/>
        <v>223316.58777839813</v>
      </c>
      <c r="DJ43" s="164">
        <f t="shared" si="22"/>
        <v>224002.233923611</v>
      </c>
      <c r="DK43" s="164">
        <f t="shared" si="22"/>
        <v>224689.57105718629</v>
      </c>
      <c r="DL43" s="164">
        <f t="shared" si="22"/>
        <v>225378.60334955744</v>
      </c>
      <c r="DM43" s="164">
        <f t="shared" si="22"/>
        <v>226069.33498144342</v>
      </c>
      <c r="DN43" s="164">
        <f t="shared" si="22"/>
        <v>226761.77014387402</v>
      </c>
      <c r="DO43" s="164">
        <f t="shared" si="22"/>
        <v>227455.91303821484</v>
      </c>
      <c r="DP43" s="164">
        <f t="shared" si="22"/>
        <v>228151.7678761938</v>
      </c>
      <c r="DQ43" s="164">
        <f t="shared" si="22"/>
        <v>228849.33887992552</v>
      </c>
      <c r="DR43" s="164">
        <f t="shared" si="22"/>
        <v>229548.63028193772</v>
      </c>
      <c r="DS43" s="164">
        <f t="shared" si="22"/>
        <v>230249.64632519675</v>
      </c>
      <c r="DT43" s="164">
        <f t="shared" si="22"/>
        <v>229311.60731521586</v>
      </c>
      <c r="DU43" s="164">
        <f t="shared" si="22"/>
        <v>230016.08541175036</v>
      </c>
      <c r="DV43" s="164">
        <f t="shared" si="22"/>
        <v>230722.30094131955</v>
      </c>
      <c r="DW43" s="164">
        <f t="shared" si="22"/>
        <v>231430.25818890214</v>
      </c>
      <c r="DX43" s="164">
        <f t="shared" si="22"/>
        <v>232139.96145004453</v>
      </c>
      <c r="DY43" s="164">
        <f t="shared" si="22"/>
        <v>232851.41503088712</v>
      </c>
      <c r="DZ43" s="164">
        <f t="shared" si="22"/>
        <v>233564.62324819047</v>
      </c>
      <c r="EA43" s="164">
        <f t="shared" si="22"/>
        <v>234279.59042936165</v>
      </c>
      <c r="EB43" s="164">
        <f t="shared" si="22"/>
        <v>234996.32091247989</v>
      </c>
      <c r="EC43" s="164">
        <f t="shared" ref="EC43:EE43" si="23">SUM(EC26,EC41)</f>
        <v>235714.81904632357</v>
      </c>
      <c r="ED43" s="164">
        <f t="shared" si="23"/>
        <v>236435.0891903961</v>
      </c>
      <c r="EE43" s="165">
        <f t="shared" si="23"/>
        <v>237157.13571495295</v>
      </c>
    </row>
    <row r="44" spans="1:135" x14ac:dyDescent="0.35">
      <c r="B44" s="5"/>
      <c r="C44" s="160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1"/>
      <c r="BV44" s="161"/>
      <c r="BW44" s="161"/>
      <c r="BX44" s="161"/>
      <c r="BY44" s="161"/>
      <c r="BZ44" s="161"/>
      <c r="CA44" s="161"/>
      <c r="CB44" s="161"/>
      <c r="CC44" s="161"/>
      <c r="CD44" s="161"/>
      <c r="CE44" s="161"/>
      <c r="CF44" s="161"/>
      <c r="CG44" s="161"/>
      <c r="CH44" s="161"/>
      <c r="CI44" s="161"/>
      <c r="CJ44" s="161"/>
      <c r="CK44" s="161"/>
      <c r="CL44" s="161"/>
      <c r="CM44" s="161"/>
      <c r="CN44" s="161"/>
      <c r="CO44" s="161"/>
      <c r="CP44" s="161"/>
      <c r="CQ44" s="161"/>
      <c r="CR44" s="161"/>
      <c r="CS44" s="161"/>
      <c r="CT44" s="161"/>
      <c r="CU44" s="161"/>
      <c r="CV44" s="161"/>
      <c r="CW44" s="161"/>
      <c r="CX44" s="161"/>
      <c r="CY44" s="161"/>
      <c r="CZ44" s="161"/>
      <c r="DA44" s="161"/>
      <c r="DB44" s="161"/>
      <c r="DC44" s="161"/>
      <c r="DD44" s="161"/>
      <c r="DE44" s="161"/>
      <c r="DF44" s="161"/>
      <c r="DG44" s="161"/>
      <c r="DH44" s="161"/>
      <c r="DI44" s="161"/>
      <c r="DJ44" s="161"/>
      <c r="DK44" s="161"/>
      <c r="DL44" s="161"/>
      <c r="DM44" s="161"/>
      <c r="DN44" s="161"/>
      <c r="DO44" s="161"/>
      <c r="DP44" s="161"/>
      <c r="DQ44" s="161"/>
      <c r="DR44" s="161"/>
      <c r="DS44" s="161"/>
      <c r="DT44" s="161"/>
      <c r="DU44" s="161"/>
      <c r="DV44" s="161"/>
      <c r="DW44" s="161"/>
      <c r="DX44" s="161"/>
      <c r="DY44" s="161"/>
      <c r="DZ44" s="161"/>
      <c r="EA44" s="161"/>
      <c r="EB44" s="161"/>
      <c r="EC44" s="161"/>
      <c r="ED44" s="161"/>
      <c r="EE44" s="162"/>
    </row>
    <row r="45" spans="1:135" x14ac:dyDescent="0.35">
      <c r="A45" s="168">
        <f>SUMIF($C$1:$EE$1,"&lt;="&amp;Summary!$K$19,'Monthly CF'!C45:EE45)</f>
        <v>-1963500.0000000016</v>
      </c>
      <c r="B45" s="5" t="s">
        <v>181</v>
      </c>
      <c r="C45" s="160"/>
      <c r="D45" s="161">
        <f>-'Construction Budget'!H49</f>
        <v>0</v>
      </c>
      <c r="E45" s="161">
        <f>-'Construction Budget'!I49</f>
        <v>-165229.16666666669</v>
      </c>
      <c r="F45" s="161">
        <f>-'Construction Budget'!J49</f>
        <v>-220229.16666666669</v>
      </c>
      <c r="G45" s="161">
        <f>-'Construction Budget'!K49</f>
        <v>-220229.16666666669</v>
      </c>
      <c r="H45" s="161">
        <f>-'Construction Budget'!L49</f>
        <v>-220229.16666666669</v>
      </c>
      <c r="I45" s="161">
        <f>-'Construction Budget'!M49</f>
        <v>-192729.16666666669</v>
      </c>
      <c r="J45" s="161">
        <f>-'Construction Budget'!N49</f>
        <v>-192729.16666666669</v>
      </c>
      <c r="K45" s="161">
        <f>-'Construction Budget'!O49</f>
        <v>-137729.16666666666</v>
      </c>
      <c r="L45" s="161">
        <f>-'Construction Budget'!P49</f>
        <v>-137729.16666666666</v>
      </c>
      <c r="M45" s="161">
        <f>-'Construction Budget'!Q49</f>
        <v>-38729.166666666664</v>
      </c>
      <c r="N45" s="161">
        <f>-'Construction Budget'!R49</f>
        <v>-38729.166666666664</v>
      </c>
      <c r="O45" s="161">
        <f>-'Construction Budget'!S49</f>
        <v>-38729.166666666664</v>
      </c>
      <c r="P45" s="161">
        <f>-'Construction Budget'!T49</f>
        <v>-27729.166666666664</v>
      </c>
      <c r="Q45" s="161">
        <f>-'Construction Budget'!U49</f>
        <v>-27729.166666666664</v>
      </c>
      <c r="R45" s="161">
        <f>-'Construction Budget'!V49</f>
        <v>-27729.166666666664</v>
      </c>
      <c r="S45" s="161">
        <f>-'Construction Budget'!W49</f>
        <v>-27729.166666666664</v>
      </c>
      <c r="T45" s="161">
        <f>-'Construction Budget'!X49</f>
        <v>-27729.166666666664</v>
      </c>
      <c r="U45" s="161">
        <f>-'Construction Budget'!Y49</f>
        <v>-27729.166666666664</v>
      </c>
      <c r="V45" s="161">
        <f>-'Construction Budget'!Z49</f>
        <v>-27729.166666666664</v>
      </c>
      <c r="W45" s="161">
        <f>-'Construction Budget'!AA49</f>
        <v>-27729.166666666664</v>
      </c>
      <c r="X45" s="161">
        <f>-'Construction Budget'!AB49</f>
        <v>-27729.166666666664</v>
      </c>
      <c r="Y45" s="161">
        <f>-'Construction Budget'!AC49</f>
        <v>-27729.166666666664</v>
      </c>
      <c r="Z45" s="161">
        <f>-'Construction Budget'!AD49</f>
        <v>-27729.166666666664</v>
      </c>
      <c r="AA45" s="161">
        <f>-'Construction Budget'!AE49</f>
        <v>-27729.166666666664</v>
      </c>
      <c r="AB45" s="161">
        <f>-'Construction Budget'!AF49</f>
        <v>-27729.166666666664</v>
      </c>
      <c r="AC45" s="161">
        <f>-'Construction Budget'!AG49</f>
        <v>0</v>
      </c>
      <c r="AD45" s="161">
        <f>-'Construction Budget'!AH49</f>
        <v>0</v>
      </c>
      <c r="AE45" s="161">
        <f>-'Construction Budget'!AI49</f>
        <v>0</v>
      </c>
      <c r="AF45" s="161">
        <f>-'Construction Budget'!AJ49</f>
        <v>0</v>
      </c>
      <c r="AG45" s="161">
        <f>-'Construction Budget'!AK49</f>
        <v>0</v>
      </c>
      <c r="AH45" s="161">
        <f>-'Construction Budget'!AL49</f>
        <v>0</v>
      </c>
      <c r="AI45" s="161">
        <f>-'Construction Budget'!AM49</f>
        <v>0</v>
      </c>
      <c r="AJ45" s="161">
        <f>-'Construction Budget'!AN49</f>
        <v>0</v>
      </c>
      <c r="AK45" s="161">
        <f>-'Construction Budget'!AO49</f>
        <v>0</v>
      </c>
      <c r="AL45" s="161">
        <f>-'Construction Budget'!AP49</f>
        <v>0</v>
      </c>
      <c r="AM45" s="161">
        <f>-'Construction Budget'!AQ49</f>
        <v>0</v>
      </c>
      <c r="AN45" s="161">
        <f>-'Construction Budget'!AR49</f>
        <v>0</v>
      </c>
      <c r="AO45" s="161">
        <f>-'Construction Budget'!AS49</f>
        <v>0</v>
      </c>
      <c r="AP45" s="161">
        <f>-'Construction Budget'!AT49</f>
        <v>0</v>
      </c>
      <c r="AQ45" s="161">
        <f>-'Construction Budget'!AU49</f>
        <v>0</v>
      </c>
      <c r="AR45" s="161">
        <f>-'Construction Budget'!AV49</f>
        <v>0</v>
      </c>
      <c r="AS45" s="161">
        <f>-'Construction Budget'!AW49</f>
        <v>0</v>
      </c>
      <c r="AT45" s="161">
        <f>-'Construction Budget'!AX49</f>
        <v>0</v>
      </c>
      <c r="AU45" s="161">
        <f>-'Construction Budget'!AY49</f>
        <v>0</v>
      </c>
      <c r="AV45" s="161">
        <f>-'Construction Budget'!AZ49</f>
        <v>0</v>
      </c>
      <c r="AW45" s="161">
        <f>-'Construction Budget'!BA49</f>
        <v>0</v>
      </c>
      <c r="AX45" s="161">
        <f>-'Construction Budget'!BB49</f>
        <v>0</v>
      </c>
      <c r="AY45" s="161">
        <f>-'Construction Budget'!BC49</f>
        <v>0</v>
      </c>
      <c r="AZ45" s="161">
        <f>-'Construction Budget'!BD49</f>
        <v>0</v>
      </c>
      <c r="BA45" s="161">
        <f>-'Construction Budget'!BE49</f>
        <v>0</v>
      </c>
      <c r="BB45" s="161">
        <f>-'Construction Budget'!BF49</f>
        <v>0</v>
      </c>
      <c r="BC45" s="161">
        <f>-'Construction Budget'!BG49</f>
        <v>0</v>
      </c>
      <c r="BD45" s="161">
        <f>-'Construction Budget'!BH49</f>
        <v>0</v>
      </c>
      <c r="BE45" s="161">
        <f>-'Construction Budget'!BI49</f>
        <v>0</v>
      </c>
      <c r="BF45" s="161">
        <f>-'Construction Budget'!BJ49</f>
        <v>0</v>
      </c>
      <c r="BG45" s="161">
        <f>-'Construction Budget'!BK49</f>
        <v>0</v>
      </c>
      <c r="BH45" s="161">
        <f>-'Construction Budget'!BL49</f>
        <v>0</v>
      </c>
      <c r="BI45" s="161">
        <f>-'Construction Budget'!BM49</f>
        <v>0</v>
      </c>
      <c r="BJ45" s="161">
        <f>-'Construction Budget'!BN49</f>
        <v>0</v>
      </c>
      <c r="BK45" s="161">
        <f>-'Construction Budget'!BO49</f>
        <v>0</v>
      </c>
      <c r="BL45" s="161">
        <f>-'Construction Budget'!BP49</f>
        <v>0</v>
      </c>
      <c r="BM45" s="161">
        <f>-'Construction Budget'!BQ49</f>
        <v>0</v>
      </c>
      <c r="BN45" s="161">
        <f>-'Construction Budget'!BR49</f>
        <v>0</v>
      </c>
      <c r="BO45" s="161">
        <f>-'Construction Budget'!BS49</f>
        <v>0</v>
      </c>
      <c r="BP45" s="161">
        <f>-'Construction Budget'!BT49</f>
        <v>0</v>
      </c>
      <c r="BQ45" s="161">
        <f>-'Construction Budget'!BU49</f>
        <v>0</v>
      </c>
      <c r="BR45" s="161">
        <f>-'Construction Budget'!BV49</f>
        <v>0</v>
      </c>
      <c r="BS45" s="161">
        <f>-'Construction Budget'!BW49</f>
        <v>0</v>
      </c>
      <c r="BT45" s="161">
        <f>-'Construction Budget'!BX49</f>
        <v>0</v>
      </c>
      <c r="BU45" s="161">
        <f>-'Construction Budget'!BY49</f>
        <v>0</v>
      </c>
      <c r="BV45" s="161">
        <f>-'Construction Budget'!BZ49</f>
        <v>0</v>
      </c>
      <c r="BW45" s="161">
        <f>-'Construction Budget'!CA49</f>
        <v>0</v>
      </c>
      <c r="BX45" s="161">
        <f>-'Construction Budget'!CB49</f>
        <v>0</v>
      </c>
      <c r="BY45" s="161">
        <f>-'Construction Budget'!CC49</f>
        <v>0</v>
      </c>
      <c r="BZ45" s="161">
        <f>-'Construction Budget'!CD49</f>
        <v>0</v>
      </c>
      <c r="CA45" s="161">
        <f>-'Construction Budget'!CE49</f>
        <v>0</v>
      </c>
      <c r="CB45" s="161">
        <f>-'Construction Budget'!CF49</f>
        <v>0</v>
      </c>
      <c r="CC45" s="161">
        <f>-'Construction Budget'!CG49</f>
        <v>0</v>
      </c>
      <c r="CD45" s="161">
        <f>-'Construction Budget'!CH49</f>
        <v>0</v>
      </c>
      <c r="CE45" s="161">
        <f>-'Construction Budget'!CI49</f>
        <v>0</v>
      </c>
      <c r="CF45" s="161">
        <f>-'Construction Budget'!CJ49</f>
        <v>0</v>
      </c>
      <c r="CG45" s="161">
        <f>-'Construction Budget'!CK49</f>
        <v>0</v>
      </c>
      <c r="CH45" s="161">
        <f>-'Construction Budget'!CL49</f>
        <v>0</v>
      </c>
      <c r="CI45" s="161">
        <f>-'Construction Budget'!CM49</f>
        <v>0</v>
      </c>
      <c r="CJ45" s="161">
        <f>-'Construction Budget'!CN49</f>
        <v>0</v>
      </c>
      <c r="CK45" s="161">
        <f>-'Construction Budget'!CO49</f>
        <v>0</v>
      </c>
      <c r="CL45" s="161">
        <f>-'Construction Budget'!CP49</f>
        <v>0</v>
      </c>
      <c r="CM45" s="161">
        <f>-'Construction Budget'!CQ49</f>
        <v>0</v>
      </c>
      <c r="CN45" s="161">
        <f>-'Construction Budget'!CR49</f>
        <v>0</v>
      </c>
      <c r="CO45" s="161">
        <f>-'Construction Budget'!CS49</f>
        <v>0</v>
      </c>
      <c r="CP45" s="161">
        <f>-'Construction Budget'!CT49</f>
        <v>0</v>
      </c>
      <c r="CQ45" s="161">
        <f>-'Construction Budget'!CU49</f>
        <v>0</v>
      </c>
      <c r="CR45" s="161">
        <f>-'Construction Budget'!CV49</f>
        <v>0</v>
      </c>
      <c r="CS45" s="161">
        <f>-'Construction Budget'!CW49</f>
        <v>0</v>
      </c>
      <c r="CT45" s="161">
        <f>-'Construction Budget'!CX49</f>
        <v>0</v>
      </c>
      <c r="CU45" s="161">
        <f>-'Construction Budget'!CY49</f>
        <v>0</v>
      </c>
      <c r="CV45" s="161">
        <f>-'Construction Budget'!CZ49</f>
        <v>0</v>
      </c>
      <c r="CW45" s="161">
        <f>-'Construction Budget'!DA49</f>
        <v>0</v>
      </c>
      <c r="CX45" s="161">
        <f>-'Construction Budget'!DB49</f>
        <v>0</v>
      </c>
      <c r="CY45" s="161">
        <f>-'Construction Budget'!DC49</f>
        <v>0</v>
      </c>
      <c r="CZ45" s="161">
        <f>-'Construction Budget'!DD49</f>
        <v>0</v>
      </c>
      <c r="DA45" s="161">
        <f>-'Construction Budget'!DE49</f>
        <v>0</v>
      </c>
      <c r="DB45" s="161">
        <f>-'Construction Budget'!DF49</f>
        <v>0</v>
      </c>
      <c r="DC45" s="161">
        <f>-'Construction Budget'!DG49</f>
        <v>0</v>
      </c>
      <c r="DD45" s="161">
        <f>-'Construction Budget'!DH49</f>
        <v>0</v>
      </c>
      <c r="DE45" s="161">
        <f>-'Construction Budget'!DI49</f>
        <v>0</v>
      </c>
      <c r="DF45" s="161">
        <f>-'Construction Budget'!DJ49</f>
        <v>0</v>
      </c>
      <c r="DG45" s="161">
        <f>-'Construction Budget'!DK49</f>
        <v>0</v>
      </c>
      <c r="DH45" s="161">
        <f>-'Construction Budget'!DL49</f>
        <v>0</v>
      </c>
      <c r="DI45" s="161">
        <f>-'Construction Budget'!DM49</f>
        <v>0</v>
      </c>
      <c r="DJ45" s="161">
        <f>-'Construction Budget'!DN49</f>
        <v>0</v>
      </c>
      <c r="DK45" s="161">
        <f>-'Construction Budget'!DO49</f>
        <v>0</v>
      </c>
      <c r="DL45" s="161">
        <f>-'Construction Budget'!DP49</f>
        <v>0</v>
      </c>
      <c r="DM45" s="161">
        <f>-'Construction Budget'!DQ49</f>
        <v>0</v>
      </c>
      <c r="DN45" s="161">
        <f>-'Construction Budget'!DR49</f>
        <v>0</v>
      </c>
      <c r="DO45" s="161">
        <f>-'Construction Budget'!DS49</f>
        <v>0</v>
      </c>
      <c r="DP45" s="161">
        <f>-'Construction Budget'!DT49</f>
        <v>0</v>
      </c>
      <c r="DQ45" s="161">
        <f>-'Construction Budget'!DU49</f>
        <v>0</v>
      </c>
      <c r="DR45" s="161">
        <f>-'Construction Budget'!DV49</f>
        <v>0</v>
      </c>
      <c r="DS45" s="161">
        <f>-'Construction Budget'!DW49</f>
        <v>0</v>
      </c>
      <c r="DT45" s="161">
        <f>-'Construction Budget'!DX49</f>
        <v>0</v>
      </c>
      <c r="DU45" s="161">
        <f>-'Construction Budget'!DY49</f>
        <v>0</v>
      </c>
      <c r="DV45" s="161">
        <f>-'Construction Budget'!DZ49</f>
        <v>0</v>
      </c>
      <c r="DW45" s="161">
        <f>-'Construction Budget'!EA49</f>
        <v>0</v>
      </c>
      <c r="DX45" s="161">
        <f>-'Construction Budget'!EB49</f>
        <v>0</v>
      </c>
      <c r="DY45" s="161">
        <f>-'Construction Budget'!EC49</f>
        <v>0</v>
      </c>
      <c r="DZ45" s="161">
        <f>-'Construction Budget'!ED49</f>
        <v>0</v>
      </c>
      <c r="EA45" s="161">
        <f>-'Construction Budget'!EE49</f>
        <v>0</v>
      </c>
      <c r="EB45" s="161">
        <f>-'Construction Budget'!EF49</f>
        <v>0</v>
      </c>
      <c r="EC45" s="161">
        <f>-'Construction Budget'!EG49</f>
        <v>0</v>
      </c>
      <c r="ED45" s="161">
        <f>-'Construction Budget'!EH49</f>
        <v>0</v>
      </c>
      <c r="EE45" s="162">
        <f>-'Construction Budget'!EI49</f>
        <v>0</v>
      </c>
    </row>
    <row r="46" spans="1:135" x14ac:dyDescent="0.35">
      <c r="B46" s="5"/>
      <c r="C46" s="160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/>
      <c r="BC46" s="161"/>
      <c r="BD46" s="161"/>
      <c r="BE46" s="161"/>
      <c r="BF46" s="161"/>
      <c r="BG46" s="161"/>
      <c r="BH46" s="161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  <c r="BW46" s="161"/>
      <c r="BX46" s="161"/>
      <c r="BY46" s="161"/>
      <c r="BZ46" s="161"/>
      <c r="CA46" s="161"/>
      <c r="CB46" s="161"/>
      <c r="CC46" s="161"/>
      <c r="CD46" s="161"/>
      <c r="CE46" s="161"/>
      <c r="CF46" s="161"/>
      <c r="CG46" s="161"/>
      <c r="CH46" s="161"/>
      <c r="CI46" s="161"/>
      <c r="CJ46" s="161"/>
      <c r="CK46" s="161"/>
      <c r="CL46" s="161"/>
      <c r="CM46" s="161"/>
      <c r="CN46" s="161"/>
      <c r="CO46" s="161"/>
      <c r="CP46" s="161"/>
      <c r="CQ46" s="161"/>
      <c r="CR46" s="161"/>
      <c r="CS46" s="161"/>
      <c r="CT46" s="161"/>
      <c r="CU46" s="161"/>
      <c r="CV46" s="161"/>
      <c r="CW46" s="161"/>
      <c r="CX46" s="161"/>
      <c r="CY46" s="161"/>
      <c r="CZ46" s="161"/>
      <c r="DA46" s="161"/>
      <c r="DB46" s="161"/>
      <c r="DC46" s="161"/>
      <c r="DD46" s="161"/>
      <c r="DE46" s="161"/>
      <c r="DF46" s="161"/>
      <c r="DG46" s="161"/>
      <c r="DH46" s="161"/>
      <c r="DI46" s="161"/>
      <c r="DJ46" s="161"/>
      <c r="DK46" s="161"/>
      <c r="DL46" s="161"/>
      <c r="DM46" s="161"/>
      <c r="DN46" s="161"/>
      <c r="DO46" s="161"/>
      <c r="DP46" s="161"/>
      <c r="DQ46" s="161"/>
      <c r="DR46" s="161"/>
      <c r="DS46" s="161"/>
      <c r="DT46" s="161"/>
      <c r="DU46" s="161"/>
      <c r="DV46" s="161"/>
      <c r="DW46" s="161"/>
      <c r="DX46" s="161"/>
      <c r="DY46" s="161"/>
      <c r="DZ46" s="161"/>
      <c r="EA46" s="161"/>
      <c r="EB46" s="161"/>
      <c r="EC46" s="161"/>
      <c r="ED46" s="161"/>
      <c r="EE46" s="162"/>
    </row>
    <row r="47" spans="1:135" x14ac:dyDescent="0.35">
      <c r="A47" s="168">
        <f>SUMIF($C$1:$EE$1,"&lt;="&amp;Summary!$K$19,'Monthly CF'!C47:EE47)</f>
        <v>21640189.32474209</v>
      </c>
      <c r="B47" s="14" t="s">
        <v>182</v>
      </c>
      <c r="C47" s="163"/>
      <c r="D47" s="164">
        <f>IF(D1&gt;Summary!$K$19,0,SUM(D43,D45))</f>
        <v>148629.50000000003</v>
      </c>
      <c r="E47" s="164">
        <f>IF(E1&gt;Summary!$K$19,0,SUM(E43,E45))</f>
        <v>-15783.458713045693</v>
      </c>
      <c r="F47" s="164">
        <f>IF(F1&gt;Summary!$K$19,0,SUM(F43,F45))</f>
        <v>-69963.820326197922</v>
      </c>
      <c r="G47" s="164">
        <f>IF(G1&gt;Summary!$K$19,0,SUM(G43,G45))</f>
        <v>-69140.737270906335</v>
      </c>
      <c r="H47" s="164">
        <f>IF(H1&gt;Summary!$K$19,0,SUM(H43,H45))</f>
        <v>-67416.513990979671</v>
      </c>
      <c r="I47" s="164">
        <f>IF(I1&gt;Summary!$K$19,0,SUM(I43,I45))</f>
        <v>-38181.502866866766</v>
      </c>
      <c r="J47" s="164">
        <f>IF(J1&gt;Summary!$K$19,0,SUM(J43,J45))</f>
        <v>-36435.644786276447</v>
      </c>
      <c r="K47" s="164">
        <f>IF(K1&gt;Summary!$K$19,0,SUM(K43,K45))</f>
        <v>20321.119665262377</v>
      </c>
      <c r="L47" s="164">
        <f>IF(L1&gt;Summary!$K$19,0,SUM(L43,L45))</f>
        <v>22088.850205880386</v>
      </c>
      <c r="M47" s="164">
        <f>IF(M1&gt;Summary!$K$19,0,SUM(M43,M45))</f>
        <v>122867.60685885561</v>
      </c>
      <c r="N47" s="164">
        <f>IF(N1&gt;Summary!$K$19,0,SUM(N43,N45))</f>
        <v>124657.44995410688</v>
      </c>
      <c r="O47" s="164">
        <f>IF(O1&gt;Summary!$K$19,0,SUM(O43,O45))</f>
        <v>126458.44012969558</v>
      </c>
      <c r="P47" s="164">
        <f>IF(P1&gt;Summary!$K$19,0,SUM(P43,P45))</f>
        <v>140546.03833333356</v>
      </c>
      <c r="Q47" s="164">
        <f>IF(Q1&gt;Summary!$K$19,0,SUM(Q43,Q45))</f>
        <v>142203.3521023854</v>
      </c>
      <c r="R47" s="164">
        <f>IF(R1&gt;Summary!$K$19,0,SUM(R43,R45))</f>
        <v>143869.2331093559</v>
      </c>
      <c r="S47" s="164">
        <f>IF(S1&gt;Summary!$K$19,0,SUM(S43,S45))</f>
        <v>144594.49783409346</v>
      </c>
      <c r="T47" s="164">
        <f>IF(T1&gt;Summary!$K$19,0,SUM(T43,T45))</f>
        <v>145322.19152085844</v>
      </c>
      <c r="U47" s="164">
        <f>IF(U1&gt;Summary!$K$19,0,SUM(U43,U45))</f>
        <v>146052.32225618273</v>
      </c>
      <c r="V47" s="164">
        <f>IF(V1&gt;Summary!$K$19,0,SUM(V43,V45))</f>
        <v>146784.89815340372</v>
      </c>
      <c r="W47" s="164">
        <f>IF(W1&gt;Summary!$K$19,0,SUM(W43,W45))</f>
        <v>147519.92735275294</v>
      </c>
      <c r="X47" s="164">
        <f>IF(X1&gt;Summary!$K$19,0,SUM(X43,X45))</f>
        <v>148257.41802144493</v>
      </c>
      <c r="Y47" s="164">
        <f>IF(Y1&gt;Summary!$K$19,0,SUM(Y43,Y45))</f>
        <v>148997.37835376625</v>
      </c>
      <c r="Z47" s="164">
        <f>IF(Z1&gt;Summary!$K$19,0,SUM(Z43,Z45))</f>
        <v>149739.81657116496</v>
      </c>
      <c r="AA47" s="164">
        <f>IF(AA1&gt;Summary!$K$19,0,SUM(AA43,AA45))</f>
        <v>150484.74092234048</v>
      </c>
      <c r="AB47" s="164">
        <f>IF(AB1&gt;Summary!$K$19,0,SUM(AB43,AB45))</f>
        <v>153291.53368333369</v>
      </c>
      <c r="AC47" s="164">
        <f>IF(AC1&gt;Summary!$K$19,0,SUM(AC43,AC45))</f>
        <v>181576.8218647766</v>
      </c>
      <c r="AD47" s="164">
        <f>IF(AD1&gt;Summary!$K$19,0,SUM(AD43,AD45))</f>
        <v>182134.31492523447</v>
      </c>
      <c r="AE47" s="164">
        <f>IF(AE1&gt;Summary!$K$19,0,SUM(AE43,AE45))</f>
        <v>182693.18291397562</v>
      </c>
      <c r="AF47" s="164">
        <f>IF(AF1&gt;Summary!$K$19,0,SUM(AF43,AF45))</f>
        <v>183253.42922194407</v>
      </c>
      <c r="AG47" s="164">
        <f>IF(AG1&gt;Summary!$K$19,0,SUM(AG43,AG45))</f>
        <v>183815.05724844692</v>
      </c>
      <c r="AH47" s="164">
        <f>IF(AH1&gt;Summary!$K$19,0,SUM(AH43,AH45))</f>
        <v>184378.07040117483</v>
      </c>
      <c r="AI47" s="164">
        <f>IF(AI1&gt;Summary!$K$19,0,SUM(AI43,AI45))</f>
        <v>184942.47209622269</v>
      </c>
      <c r="AJ47" s="164">
        <f>IF(AJ1&gt;Summary!$K$19,0,SUM(AJ43,AJ45))</f>
        <v>185508.26575811053</v>
      </c>
      <c r="AK47" s="164">
        <f>IF(AK1&gt;Summary!$K$19,0,SUM(AK43,AK45))</f>
        <v>186075.45481980406</v>
      </c>
      <c r="AL47" s="164">
        <f>IF(AL1&gt;Summary!$K$19,0,SUM(AL43,AL45))</f>
        <v>186644.04272273561</v>
      </c>
      <c r="AM47" s="164">
        <f>IF(AM1&gt;Summary!$K$19,0,SUM(AM43,AM45))</f>
        <v>187214.03291682497</v>
      </c>
      <c r="AN47" s="164">
        <f>IF(AN1&gt;Summary!$K$19,0,SUM(AN43,AN45))</f>
        <v>186451.32136050059</v>
      </c>
      <c r="AO47" s="164">
        <f>IF(AO1&gt;Summary!$K$19,0,SUM(AO43,AO45))</f>
        <v>187024.12652072008</v>
      </c>
      <c r="AP47" s="164">
        <f>IF(AP1&gt;Summary!$K$19,0,SUM(AP43,AP45))</f>
        <v>187598.34437299168</v>
      </c>
      <c r="AQ47" s="164">
        <f>IF(AQ1&gt;Summary!$K$19,0,SUM(AQ43,AQ45))</f>
        <v>188173.97840139508</v>
      </c>
      <c r="AR47" s="164">
        <f>IF(AR1&gt;Summary!$K$19,0,SUM(AR43,AR45))</f>
        <v>188751.03209860262</v>
      </c>
      <c r="AS47" s="164">
        <f>IF(AS1&gt;Summary!$K$19,0,SUM(AS43,AS45))</f>
        <v>189329.50896590058</v>
      </c>
      <c r="AT47" s="164">
        <f>IF(AT1&gt;Summary!$K$19,0,SUM(AT43,AT45))</f>
        <v>189909.41251321032</v>
      </c>
      <c r="AU47" s="164">
        <f>IF(AU1&gt;Summary!$K$19,0,SUM(AU43,AU45))</f>
        <v>190490.74625910961</v>
      </c>
      <c r="AV47" s="164">
        <f>IF(AV1&gt;Summary!$K$19,0,SUM(AV43,AV45))</f>
        <v>191073.51373085403</v>
      </c>
      <c r="AW47" s="164">
        <f>IF(AW1&gt;Summary!$K$19,0,SUM(AW43,AW45))</f>
        <v>191657.71846439835</v>
      </c>
      <c r="AX47" s="164">
        <f>IF(AX1&gt;Summary!$K$19,0,SUM(AX43,AX45))</f>
        <v>192243.36400441779</v>
      </c>
      <c r="AY47" s="164">
        <f>IF(AY1&gt;Summary!$K$19,0,SUM(AY43,AY45))</f>
        <v>192830.45390432997</v>
      </c>
      <c r="AZ47" s="164">
        <f>IF(AZ1&gt;Summary!$K$19,0,SUM(AZ43,AZ45))</f>
        <v>192044.86100131582</v>
      </c>
      <c r="BA47" s="164">
        <f>IF(BA1&gt;Summary!$K$19,0,SUM(BA43,BA45))</f>
        <v>192634.85031634191</v>
      </c>
      <c r="BB47" s="164">
        <f>IF(BB1&gt;Summary!$K$19,0,SUM(BB43,BB45))</f>
        <v>193226.29470418164</v>
      </c>
      <c r="BC47" s="164">
        <f>IF(BC1&gt;Summary!$K$19,0,SUM(BC43,BC45))</f>
        <v>193819.19775343713</v>
      </c>
      <c r="BD47" s="164">
        <f>IF(BD1&gt;Summary!$K$19,0,SUM(BD43,BD45))</f>
        <v>194413.56306156091</v>
      </c>
      <c r="BE47" s="164">
        <f>IF(BE1&gt;Summary!$K$19,0,SUM(BE43,BE45))</f>
        <v>195009.39423487784</v>
      </c>
      <c r="BF47" s="164">
        <f>IF(BF1&gt;Summary!$K$19,0,SUM(BF43,BF45))</f>
        <v>195606.69488860678</v>
      </c>
      <c r="BG47" s="164">
        <f>IF(BG1&gt;Summary!$K$19,0,SUM(BG43,BG45))</f>
        <v>196205.46864688315</v>
      </c>
      <c r="BH47" s="164">
        <f>IF(BH1&gt;Summary!$K$19,0,SUM(BH43,BH45))</f>
        <v>196805.71914277988</v>
      </c>
      <c r="BI47" s="164">
        <f>IF(BI1&gt;Summary!$K$19,0,SUM(BI43,BI45))</f>
        <v>197407.45001833054</v>
      </c>
      <c r="BJ47" s="164">
        <f>IF(BJ1&gt;Summary!$K$19,0,SUM(BJ43,BJ45))</f>
        <v>198010.66492455063</v>
      </c>
      <c r="BK47" s="164">
        <f>IF(BK1&gt;Summary!$K$19,0,SUM(BK43,BK45))</f>
        <v>198615.36752146005</v>
      </c>
      <c r="BL47" s="164">
        <f>IF(BL1&gt;Summary!$K$19,0,SUM(BL43,BL45))</f>
        <v>197806.20683135558</v>
      </c>
      <c r="BM47" s="164">
        <f>IF(BM1&gt;Summary!$K$19,0,SUM(BM43,BM45))</f>
        <v>198413.89582583244</v>
      </c>
      <c r="BN47" s="164">
        <f>IF(BN1&gt;Summary!$K$19,0,SUM(BN43,BN45))</f>
        <v>199023.08354530745</v>
      </c>
      <c r="BO47" s="164">
        <f>IF(BO1&gt;Summary!$K$19,0,SUM(BO43,BO45))</f>
        <v>199633.7736860406</v>
      </c>
      <c r="BP47" s="164">
        <f>IF(BP1&gt;Summary!$K$19,0,SUM(BP43,BP45))</f>
        <v>200245.96995340797</v>
      </c>
      <c r="BQ47" s="164">
        <f>IF(BQ1&gt;Summary!$K$19,0,SUM(BQ43,BQ45))</f>
        <v>200859.67606192443</v>
      </c>
      <c r="BR47" s="164">
        <f>IF(BR1&gt;Summary!$K$19,0,SUM(BR43,BR45))</f>
        <v>201474.89573526528</v>
      </c>
      <c r="BS47" s="164">
        <f>IF(BS1&gt;Summary!$K$19,0,SUM(BS43,BS45))</f>
        <v>202091.63270628982</v>
      </c>
      <c r="BT47" s="164">
        <f>IF(BT1&gt;Summary!$K$19,0,SUM(BT43,BT45))</f>
        <v>202709.89071706356</v>
      </c>
      <c r="BU47" s="164">
        <f>IF(BU1&gt;Summary!$K$19,0,SUM(BU43,BU45))</f>
        <v>203329.67351888074</v>
      </c>
      <c r="BV47" s="164">
        <f>IF(BV1&gt;Summary!$K$19,0,SUM(BV43,BV45))</f>
        <v>203950.98487228743</v>
      </c>
      <c r="BW47" s="164">
        <f>IF(BW1&gt;Summary!$K$19,0,SUM(BW43,BW45))</f>
        <v>204573.8285471042</v>
      </c>
      <c r="BX47" s="164">
        <f>IF(BX1&gt;Summary!$K$19,0,SUM(BX43,BX45))</f>
        <v>203740.39303629647</v>
      </c>
      <c r="BY47" s="164">
        <f>IF(BY1&gt;Summary!$K$19,0,SUM(BY43,BY45))</f>
        <v>204366.3127006077</v>
      </c>
      <c r="BZ47" s="164">
        <f>IF(BZ1&gt;Summary!$K$19,0,SUM(BZ43,BZ45))</f>
        <v>204993.77605166682</v>
      </c>
      <c r="CA47" s="164">
        <f>IF(CA1&gt;Summary!$K$19,0,SUM(CA43,CA45))</f>
        <v>205622.78689662198</v>
      </c>
      <c r="CB47" s="164">
        <f>IF(CB1&gt;Summary!$K$19,0,SUM(CB43,CB45))</f>
        <v>206253.34905201051</v>
      </c>
      <c r="CC47" s="164">
        <f>IF(CC1&gt;Summary!$K$19,0,SUM(CC43,CC45))</f>
        <v>206885.46634378238</v>
      </c>
      <c r="CD47" s="164">
        <f>IF(CD1&gt;Summary!$K$19,0,SUM(CD43,CD45))</f>
        <v>207519.14260732359</v>
      </c>
      <c r="CE47" s="164">
        <f>IF(CE1&gt;Summary!$K$19,0,SUM(CE43,CE45))</f>
        <v>208154.38168747889</v>
      </c>
      <c r="CF47" s="164">
        <f>IF(CF1&gt;Summary!$K$19,0,SUM(CF43,CF45))</f>
        <v>208791.18743857578</v>
      </c>
      <c r="CG47" s="164">
        <f>IF(CG1&gt;Summary!$K$19,0,SUM(CG43,CG45))</f>
        <v>209429.56372444748</v>
      </c>
      <c r="CH47" s="164">
        <f>IF(CH1&gt;Summary!$K$19,0,SUM(CH43,CH45))</f>
        <v>210069.51441845635</v>
      </c>
      <c r="CI47" s="164">
        <f>IF(CI1&gt;Summary!$K$19,0,SUM(CI43,CI45))</f>
        <v>210711.0434035176</v>
      </c>
      <c r="CJ47" s="164">
        <f>IF(CJ1&gt;Summary!$K$19,0,SUM(CJ43,CJ45))</f>
        <v>209852.60482738572</v>
      </c>
      <c r="CK47" s="164">
        <f>IF(CK1&gt;Summary!$K$19,0,SUM(CK43,CK45))</f>
        <v>210497.30208162623</v>
      </c>
      <c r="CL47" s="164">
        <f>IF(CL1&gt;Summary!$K$19,0,SUM(CL43,CL45))</f>
        <v>211143.58933321718</v>
      </c>
      <c r="CM47" s="164">
        <f>IF(CM1&gt;Summary!$K$19,0,SUM(CM43,CM45))</f>
        <v>211791.47050352098</v>
      </c>
      <c r="CN47" s="164">
        <f>IF(CN1&gt;Summary!$K$19,0,SUM(CN43,CN45))</f>
        <v>212440.94952357112</v>
      </c>
      <c r="CO47" s="164">
        <f>IF(CO1&gt;Summary!$K$19,0,SUM(CO43,CO45))</f>
        <v>213092.0303340962</v>
      </c>
      <c r="CP47" s="164">
        <f>IF(CP1&gt;Summary!$K$19,0,SUM(CP43,CP45))</f>
        <v>213744.7168855436</v>
      </c>
      <c r="CQ47" s="164">
        <f>IF(CQ1&gt;Summary!$K$19,0,SUM(CQ43,CQ45))</f>
        <v>214399.01313810362</v>
      </c>
      <c r="CR47" s="164">
        <f>IF(CR1&gt;Summary!$K$19,0,SUM(CR43,CR45))</f>
        <v>215054.92306173345</v>
      </c>
      <c r="CS47" s="164">
        <f>IF(CS1&gt;Summary!$K$19,0,SUM(CS43,CS45))</f>
        <v>215712.45063618128</v>
      </c>
      <c r="CT47" s="164">
        <f>IF(CT1&gt;Summary!$K$19,0,SUM(CT43,CT45))</f>
        <v>216371.59985101043</v>
      </c>
      <c r="CU47" s="164">
        <f>IF(CU1&gt;Summary!$K$19,0,SUM(CU43,CU45))</f>
        <v>217032.37470562349</v>
      </c>
      <c r="CV47" s="164">
        <f>IF(CV1&gt;Summary!$K$19,0,SUM(CV43,CV45))</f>
        <v>216148.18297220769</v>
      </c>
      <c r="CW47" s="164">
        <f>IF(CW1&gt;Summary!$K$19,0,SUM(CW43,CW45))</f>
        <v>216812.22114407551</v>
      </c>
      <c r="CX47" s="164">
        <f>IF(CX1&gt;Summary!$K$19,0,SUM(CX43,CX45))</f>
        <v>217477.89701321413</v>
      </c>
      <c r="CY47" s="164">
        <f>IF(CY1&gt;Summary!$K$19,0,SUM(CY43,CY45))</f>
        <v>218145.21461862707</v>
      </c>
      <c r="CZ47" s="164">
        <f>IF(CZ1&gt;Summary!$K$19,0,SUM(CZ43,CZ45))</f>
        <v>218814.17800927861</v>
      </c>
      <c r="DA47" s="164">
        <f>IF(DA1&gt;Summary!$K$19,0,SUM(DA43,DA45))</f>
        <v>219484.79124411946</v>
      </c>
      <c r="DB47" s="164">
        <f>IF(DB1&gt;Summary!$K$19,0,SUM(DB43,DB45))</f>
        <v>220157.05839211022</v>
      </c>
      <c r="DC47" s="164">
        <f>IF(DC1&gt;Summary!$K$19,0,SUM(DC43,DC45))</f>
        <v>220830.98353224708</v>
      </c>
      <c r="DD47" s="164">
        <f>IF(DD1&gt;Summary!$K$19,0,SUM(DD43,DD45))</f>
        <v>221506.57075358578</v>
      </c>
      <c r="DE47" s="164">
        <f>IF(DE1&gt;Summary!$K$19,0,SUM(DE43,DE45))</f>
        <v>222183.82415526704</v>
      </c>
      <c r="DF47" s="164">
        <f>IF(DF1&gt;Summary!$K$19,0,SUM(DF43,DF45))</f>
        <v>222862.74784654114</v>
      </c>
      <c r="DG47" s="164">
        <f>IF(DG1&gt;Summary!$K$19,0,SUM(DG43,DG45))</f>
        <v>223543.34594679263</v>
      </c>
      <c r="DH47" s="164">
        <f>IF(DH1&gt;Summary!$K$19,0,SUM(DH43,DH45))</f>
        <v>222632.62846137432</v>
      </c>
      <c r="DI47" s="164">
        <f>IF(DI1&gt;Summary!$K$19,0,SUM(DI43,DI45))</f>
        <v>223316.58777839813</v>
      </c>
      <c r="DJ47" s="164">
        <f>IF(DJ1&gt;Summary!$K$19,0,SUM(DJ43,DJ45))</f>
        <v>224002.233923611</v>
      </c>
      <c r="DK47" s="164">
        <f>IF(DK1&gt;Summary!$K$19,0,SUM(DK43,DK45))</f>
        <v>224689.57105718629</v>
      </c>
      <c r="DL47" s="164">
        <f>IF(DL1&gt;Summary!$K$19,0,SUM(DL43,DL45))</f>
        <v>225378.60334955744</v>
      </c>
      <c r="DM47" s="164">
        <f>IF(DM1&gt;Summary!$K$19,0,SUM(DM43,DM45))</f>
        <v>226069.33498144342</v>
      </c>
      <c r="DN47" s="164">
        <f>IF(DN1&gt;Summary!$K$19,0,SUM(DN43,DN45))</f>
        <v>226761.77014387402</v>
      </c>
      <c r="DO47" s="164">
        <f>IF(DO1&gt;Summary!$K$19,0,SUM(DO43,DO45))</f>
        <v>227455.91303821484</v>
      </c>
      <c r="DP47" s="164">
        <f>IF(DP1&gt;Summary!$K$19,0,SUM(DP43,DP45))</f>
        <v>228151.7678761938</v>
      </c>
      <c r="DQ47" s="164">
        <f>IF(DQ1&gt;Summary!$K$19,0,SUM(DQ43,DQ45))</f>
        <v>228849.33887992552</v>
      </c>
      <c r="DR47" s="164">
        <f>IF(DR1&gt;Summary!$K$19,0,SUM(DR43,DR45))</f>
        <v>229548.63028193772</v>
      </c>
      <c r="DS47" s="164">
        <f>IF(DS1&gt;Summary!$K$19,0,SUM(DS43,DS45))</f>
        <v>230249.64632519675</v>
      </c>
      <c r="DT47" s="164">
        <f>IF(DT1&gt;Summary!$K$19,0,SUM(DT43,DT45))</f>
        <v>0</v>
      </c>
      <c r="DU47" s="164">
        <f>IF(DU1&gt;Summary!$K$19,0,SUM(DU43,DU45))</f>
        <v>0</v>
      </c>
      <c r="DV47" s="164">
        <f>IF(DV1&gt;Summary!$K$19,0,SUM(DV43,DV45))</f>
        <v>0</v>
      </c>
      <c r="DW47" s="164">
        <f>IF(DW1&gt;Summary!$K$19,0,SUM(DW43,DW45))</f>
        <v>0</v>
      </c>
      <c r="DX47" s="164">
        <f>IF(DX1&gt;Summary!$K$19,0,SUM(DX43,DX45))</f>
        <v>0</v>
      </c>
      <c r="DY47" s="164">
        <f>IF(DY1&gt;Summary!$K$19,0,SUM(DY43,DY45))</f>
        <v>0</v>
      </c>
      <c r="DZ47" s="164">
        <f>IF(DZ1&gt;Summary!$K$19,0,SUM(DZ43,DZ45))</f>
        <v>0</v>
      </c>
      <c r="EA47" s="164">
        <f>IF(EA1&gt;Summary!$K$19,0,SUM(EA43,EA45))</f>
        <v>0</v>
      </c>
      <c r="EB47" s="164">
        <f>IF(EB1&gt;Summary!$K$19,0,SUM(EB43,EB45))</f>
        <v>0</v>
      </c>
      <c r="EC47" s="164">
        <f>IF(EC1&gt;Summary!$K$19,0,SUM(EC43,EC45))</f>
        <v>0</v>
      </c>
      <c r="ED47" s="164">
        <f>IF(ED1&gt;Summary!$K$19,0,SUM(ED43,ED45))</f>
        <v>0</v>
      </c>
      <c r="EE47" s="165">
        <f>IF(EE1&gt;Summary!$K$19,0,SUM(EE43,EE45))</f>
        <v>0</v>
      </c>
    </row>
    <row r="48" spans="1:135" x14ac:dyDescent="0.35">
      <c r="B48" s="5"/>
      <c r="C48" s="160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61"/>
      <c r="BI48" s="161"/>
      <c r="BJ48" s="161"/>
      <c r="BK48" s="161"/>
      <c r="BL48" s="161"/>
      <c r="BM48" s="161"/>
      <c r="BN48" s="161"/>
      <c r="BO48" s="161"/>
      <c r="BP48" s="161"/>
      <c r="BQ48" s="161"/>
      <c r="BR48" s="161"/>
      <c r="BS48" s="161"/>
      <c r="BT48" s="161"/>
      <c r="BU48" s="161"/>
      <c r="BV48" s="161"/>
      <c r="BW48" s="161"/>
      <c r="BX48" s="161"/>
      <c r="BY48" s="161"/>
      <c r="BZ48" s="161"/>
      <c r="CA48" s="161"/>
      <c r="CB48" s="161"/>
      <c r="CC48" s="161"/>
      <c r="CD48" s="161"/>
      <c r="CE48" s="161"/>
      <c r="CF48" s="161"/>
      <c r="CG48" s="161"/>
      <c r="CH48" s="161"/>
      <c r="CI48" s="161"/>
      <c r="CJ48" s="161"/>
      <c r="CK48" s="161"/>
      <c r="CL48" s="161"/>
      <c r="CM48" s="161"/>
      <c r="CN48" s="161"/>
      <c r="CO48" s="161"/>
      <c r="CP48" s="161"/>
      <c r="CQ48" s="161"/>
      <c r="CR48" s="161"/>
      <c r="CS48" s="161"/>
      <c r="CT48" s="161"/>
      <c r="CU48" s="161"/>
      <c r="CV48" s="161"/>
      <c r="CW48" s="161"/>
      <c r="CX48" s="161"/>
      <c r="CY48" s="161"/>
      <c r="CZ48" s="161"/>
      <c r="DA48" s="161"/>
      <c r="DB48" s="161"/>
      <c r="DC48" s="161"/>
      <c r="DD48" s="161"/>
      <c r="DE48" s="161"/>
      <c r="DF48" s="161"/>
      <c r="DG48" s="161"/>
      <c r="DH48" s="161"/>
      <c r="DI48" s="161"/>
      <c r="DJ48" s="161"/>
      <c r="DK48" s="161"/>
      <c r="DL48" s="161"/>
      <c r="DM48" s="161"/>
      <c r="DN48" s="161"/>
      <c r="DO48" s="161"/>
      <c r="DP48" s="161"/>
      <c r="DQ48" s="161"/>
      <c r="DR48" s="161"/>
      <c r="DS48" s="161"/>
      <c r="DT48" s="161"/>
      <c r="DU48" s="161"/>
      <c r="DV48" s="161"/>
      <c r="DW48" s="161"/>
      <c r="DX48" s="161"/>
      <c r="DY48" s="161"/>
      <c r="DZ48" s="161"/>
      <c r="EA48" s="161"/>
      <c r="EB48" s="161"/>
      <c r="EC48" s="161"/>
      <c r="ED48" s="161"/>
      <c r="EE48" s="162"/>
    </row>
    <row r="49" spans="1:135" x14ac:dyDescent="0.35">
      <c r="B49" s="156" t="s">
        <v>183</v>
      </c>
      <c r="C49" s="160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1"/>
      <c r="BV49" s="161"/>
      <c r="BW49" s="161"/>
      <c r="BX49" s="161"/>
      <c r="BY49" s="161"/>
      <c r="BZ49" s="161"/>
      <c r="CA49" s="161"/>
      <c r="CB49" s="161"/>
      <c r="CC49" s="161"/>
      <c r="CD49" s="161"/>
      <c r="CE49" s="161"/>
      <c r="CF49" s="161"/>
      <c r="CG49" s="161"/>
      <c r="CH49" s="161"/>
      <c r="CI49" s="161"/>
      <c r="CJ49" s="161"/>
      <c r="CK49" s="161"/>
      <c r="CL49" s="161"/>
      <c r="CM49" s="161"/>
      <c r="CN49" s="161"/>
      <c r="CO49" s="161"/>
      <c r="CP49" s="161"/>
      <c r="CQ49" s="161"/>
      <c r="CR49" s="161"/>
      <c r="CS49" s="161"/>
      <c r="CT49" s="161"/>
      <c r="CU49" s="161"/>
      <c r="CV49" s="161"/>
      <c r="CW49" s="161"/>
      <c r="CX49" s="161"/>
      <c r="CY49" s="161"/>
      <c r="CZ49" s="161"/>
      <c r="DA49" s="161"/>
      <c r="DB49" s="161"/>
      <c r="DC49" s="161"/>
      <c r="DD49" s="161"/>
      <c r="DE49" s="161"/>
      <c r="DF49" s="161"/>
      <c r="DG49" s="161"/>
      <c r="DH49" s="161"/>
      <c r="DI49" s="161"/>
      <c r="DJ49" s="161"/>
      <c r="DK49" s="161"/>
      <c r="DL49" s="161"/>
      <c r="DM49" s="161"/>
      <c r="DN49" s="161"/>
      <c r="DO49" s="161"/>
      <c r="DP49" s="161"/>
      <c r="DQ49" s="161"/>
      <c r="DR49" s="161"/>
      <c r="DS49" s="161"/>
      <c r="DT49" s="161"/>
      <c r="DU49" s="161"/>
      <c r="DV49" s="161"/>
      <c r="DW49" s="161"/>
      <c r="DX49" s="161"/>
      <c r="DY49" s="161"/>
      <c r="DZ49" s="161"/>
      <c r="EA49" s="161"/>
      <c r="EB49" s="161"/>
      <c r="EC49" s="161"/>
      <c r="ED49" s="161"/>
      <c r="EE49" s="162"/>
    </row>
    <row r="50" spans="1:135" x14ac:dyDescent="0.35">
      <c r="A50" s="168">
        <f>SUMIF($C$1:$EE$1,"&lt;="&amp;Summary!$K$19,'Monthly CF'!C50:EE50)</f>
        <v>56000000</v>
      </c>
      <c r="B50" s="5" t="s">
        <v>184</v>
      </c>
      <c r="C50" s="160">
        <f>Summary!E2</f>
        <v>26000000</v>
      </c>
      <c r="D50" s="161">
        <f>IF(D1&gt;=Summary!$K$19,0,IF('Monthly CF'!D1=Summary!$E$13,Summary!$E$14,0))</f>
        <v>0</v>
      </c>
      <c r="E50" s="161">
        <f>IF(E1&gt;=Summary!$K$19,0,IF('Monthly CF'!E1=Summary!$E$13,Summary!$E$14,0))</f>
        <v>0</v>
      </c>
      <c r="F50" s="161">
        <f>IF(F1&gt;=Summary!$K$19,0,IF('Monthly CF'!F1=Summary!$E$13,Summary!$E$14,0))</f>
        <v>0</v>
      </c>
      <c r="G50" s="161">
        <f>IF(G1&gt;=Summary!$K$19,0,IF('Monthly CF'!G1=Summary!$E$13,Summary!$E$14,0))</f>
        <v>0</v>
      </c>
      <c r="H50" s="161">
        <f>IF(H1&gt;=Summary!$K$19,0,IF('Monthly CF'!H1=Summary!$E$13,Summary!$E$14,0))</f>
        <v>0</v>
      </c>
      <c r="I50" s="161">
        <f>IF(I1&gt;=Summary!$K$19,0,IF('Monthly CF'!I1=Summary!$E$13,Summary!$E$14,0))</f>
        <v>0</v>
      </c>
      <c r="J50" s="161">
        <f>IF(J1&gt;=Summary!$K$19,0,IF('Monthly CF'!J1=Summary!$E$13,Summary!$E$14,0))</f>
        <v>0</v>
      </c>
      <c r="K50" s="161">
        <f>IF(K1&gt;=Summary!$K$19,0,IF('Monthly CF'!K1=Summary!$E$13,Summary!$E$14,0))</f>
        <v>0</v>
      </c>
      <c r="L50" s="161">
        <f>IF(L1&gt;=Summary!$K$19,0,IF('Monthly CF'!L1=Summary!$E$13,Summary!$E$14,0))</f>
        <v>0</v>
      </c>
      <c r="M50" s="161">
        <f>IF(M1&gt;=Summary!$K$19,0,IF('Monthly CF'!M1=Summary!$E$13,Summary!$E$14,0))</f>
        <v>0</v>
      </c>
      <c r="N50" s="161">
        <f>IF(N1&gt;=Summary!$K$19,0,IF('Monthly CF'!N1=Summary!$E$13,Summary!$E$14,0))</f>
        <v>0</v>
      </c>
      <c r="O50" s="161">
        <f>IF(O1&gt;=Summary!$K$19,0,IF('Monthly CF'!O1=Summary!$E$13,Summary!$E$14,0))</f>
        <v>0</v>
      </c>
      <c r="P50" s="161">
        <f>IF(P1&gt;=Summary!$K$19,0,IF('Monthly CF'!P1=Summary!$E$13,Summary!$E$14,0))</f>
        <v>0</v>
      </c>
      <c r="Q50" s="161">
        <f>IF(Q1&gt;=Summary!$K$19,0,IF('Monthly CF'!Q1=Summary!$E$13,Summary!$E$14,0))</f>
        <v>0</v>
      </c>
      <c r="R50" s="161">
        <f>IF(R1&gt;=Summary!$K$19,0,IF('Monthly CF'!R1=Summary!$E$13,Summary!$E$14,0))</f>
        <v>0</v>
      </c>
      <c r="S50" s="161">
        <f>IF(S1&gt;=Summary!$K$19,0,IF('Monthly CF'!S1=Summary!$E$13,Summary!$E$14,0))</f>
        <v>0</v>
      </c>
      <c r="T50" s="161">
        <f>IF(T1&gt;=Summary!$K$19,0,IF('Monthly CF'!T1=Summary!$E$13,Summary!$E$14,0))</f>
        <v>0</v>
      </c>
      <c r="U50" s="161">
        <f>IF(U1&gt;=Summary!$K$19,0,IF('Monthly CF'!U1=Summary!$E$13,Summary!$E$14,0))</f>
        <v>0</v>
      </c>
      <c r="V50" s="161">
        <f>IF(V1&gt;=Summary!$K$19,0,IF('Monthly CF'!V1=Summary!$E$13,Summary!$E$14,0))</f>
        <v>0</v>
      </c>
      <c r="W50" s="161">
        <f>IF(W1&gt;=Summary!$K$19,0,IF('Monthly CF'!W1=Summary!$E$13,Summary!$E$14,0))</f>
        <v>0</v>
      </c>
      <c r="X50" s="161">
        <f>IF(X1&gt;=Summary!$K$19,0,IF('Monthly CF'!X1=Summary!$E$13,Summary!$E$14,0))</f>
        <v>0</v>
      </c>
      <c r="Y50" s="161">
        <f>IF(Y1&gt;=Summary!$K$19,0,IF('Monthly CF'!Y1=Summary!$E$13,Summary!$E$14,0))</f>
        <v>0</v>
      </c>
      <c r="Z50" s="161">
        <f>IF(Z1&gt;=Summary!$K$19,0,IF('Monthly CF'!Z1=Summary!$E$13,Summary!$E$14,0))</f>
        <v>0</v>
      </c>
      <c r="AA50" s="161">
        <f>IF(AA1&gt;=Summary!$K$19,0,IF('Monthly CF'!AA1=Summary!$E$13,Summary!$E$14,0))</f>
        <v>0</v>
      </c>
      <c r="AB50" s="161">
        <f>IF(AB1&gt;=Summary!$K$19,0,IF('Monthly CF'!AB1=Summary!$E$13,Summary!$E$14,0))</f>
        <v>0</v>
      </c>
      <c r="AC50" s="161">
        <f>IF(AC1&gt;=Summary!$K$19,0,IF('Monthly CF'!AC1=Summary!$E$13,Summary!$E$14,0))</f>
        <v>0</v>
      </c>
      <c r="AD50" s="161">
        <f>IF(AD1&gt;=Summary!$K$19,0,IF('Monthly CF'!AD1=Summary!$E$13,Summary!$E$14,0))</f>
        <v>0</v>
      </c>
      <c r="AE50" s="161">
        <f>IF(AE1&gt;=Summary!$K$19,0,IF('Monthly CF'!AE1=Summary!$E$13,Summary!$E$14,0))</f>
        <v>0</v>
      </c>
      <c r="AF50" s="161">
        <f>IF(AF1&gt;=Summary!$K$19,0,IF('Monthly CF'!AF1=Summary!$E$13,Summary!$E$14,0))</f>
        <v>0</v>
      </c>
      <c r="AG50" s="161">
        <f>IF(AG1&gt;=Summary!$K$19,0,IF('Monthly CF'!AG1=Summary!$E$13,Summary!$E$14,0))</f>
        <v>0</v>
      </c>
      <c r="AH50" s="161">
        <f>IF(AH1&gt;=Summary!$K$19,0,IF('Monthly CF'!AH1=Summary!$E$13,Summary!$E$14,0))</f>
        <v>0</v>
      </c>
      <c r="AI50" s="161">
        <f>IF(AI1&gt;=Summary!$K$19,0,IF('Monthly CF'!AI1=Summary!$E$13,Summary!$E$14,0))</f>
        <v>0</v>
      </c>
      <c r="AJ50" s="161">
        <f>IF(AJ1&gt;=Summary!$K$19,0,IF('Monthly CF'!AJ1=Summary!$E$13,Summary!$E$14,0))</f>
        <v>0</v>
      </c>
      <c r="AK50" s="161">
        <f>IF(AK1&gt;=Summary!$K$19,0,IF('Monthly CF'!AK1=Summary!$E$13,Summary!$E$14,0))</f>
        <v>0</v>
      </c>
      <c r="AL50" s="161">
        <f>IF(AL1&gt;=Summary!$K$19,0,IF('Monthly CF'!AL1=Summary!$E$13,Summary!$E$14,0))</f>
        <v>0</v>
      </c>
      <c r="AM50" s="161">
        <f>IF(AM1&gt;=Summary!$K$19,0,IF('Monthly CF'!AM1=Summary!$E$13,Summary!$E$14,0))</f>
        <v>0</v>
      </c>
      <c r="AN50" s="161">
        <f>IF(AN1&gt;=Summary!$K$19,0,IF('Monthly CF'!AN1=Summary!$E$13,Summary!$E$14,0))</f>
        <v>0</v>
      </c>
      <c r="AO50" s="161">
        <f>IF(AO1&gt;=Summary!$K$19,0,IF('Monthly CF'!AO1=Summary!$E$13,Summary!$E$14,0))</f>
        <v>0</v>
      </c>
      <c r="AP50" s="161">
        <f>IF(AP1&gt;=Summary!$K$19,0,IF('Monthly CF'!AP1=Summary!$E$13,Summary!$E$14,0))</f>
        <v>0</v>
      </c>
      <c r="AQ50" s="161">
        <f>IF(AQ1&gt;=Summary!$K$19,0,IF('Monthly CF'!AQ1=Summary!$E$13,Summary!$E$14,0))</f>
        <v>0</v>
      </c>
      <c r="AR50" s="161">
        <f>IF(AR1&gt;=Summary!$K$19,0,IF('Monthly CF'!AR1=Summary!$E$13,Summary!$E$14,0))</f>
        <v>0</v>
      </c>
      <c r="AS50" s="161">
        <f>IF(AS1&gt;=Summary!$K$19,0,IF('Monthly CF'!AS1=Summary!$E$13,Summary!$E$14,0))</f>
        <v>0</v>
      </c>
      <c r="AT50" s="161">
        <f>IF(AT1&gt;=Summary!$K$19,0,IF('Monthly CF'!AT1=Summary!$E$13,Summary!$E$14,0))</f>
        <v>0</v>
      </c>
      <c r="AU50" s="161">
        <f>IF(AU1&gt;=Summary!$K$19,0,IF('Monthly CF'!AU1=Summary!$E$13,Summary!$E$14,0))</f>
        <v>0</v>
      </c>
      <c r="AV50" s="161">
        <f>IF(AV1&gt;=Summary!$K$19,0,IF('Monthly CF'!AV1=Summary!$E$13,Summary!$E$14,0))</f>
        <v>0</v>
      </c>
      <c r="AW50" s="161">
        <f>IF(AW1&gt;=Summary!$K$19,0,IF('Monthly CF'!AW1=Summary!$E$13,Summary!$E$14,0))</f>
        <v>0</v>
      </c>
      <c r="AX50" s="161">
        <f>IF(AX1&gt;=Summary!$K$19,0,IF('Monthly CF'!AX1=Summary!$E$13,Summary!$E$14,0))</f>
        <v>0</v>
      </c>
      <c r="AY50" s="161">
        <f>IF(AY1&gt;=Summary!$K$19,0,IF('Monthly CF'!AY1=Summary!$E$13,Summary!$E$14,0))</f>
        <v>0</v>
      </c>
      <c r="AZ50" s="161">
        <f>IF(AZ1&gt;=Summary!$K$19,0,IF('Monthly CF'!AZ1=Summary!$E$13,Summary!$E$14,0))</f>
        <v>0</v>
      </c>
      <c r="BA50" s="161">
        <f>IF(BA1&gt;=Summary!$K$19,0,IF('Monthly CF'!BA1=Summary!$E$13,Summary!$E$14,0))</f>
        <v>0</v>
      </c>
      <c r="BB50" s="161">
        <f>IF(BB1&gt;=Summary!$K$19,0,IF('Monthly CF'!BB1=Summary!$E$13,Summary!$E$14,0))</f>
        <v>0</v>
      </c>
      <c r="BC50" s="161">
        <f>IF(BC1&gt;=Summary!$K$19,0,IF('Monthly CF'!BC1=Summary!$E$13,Summary!$E$14,0))</f>
        <v>0</v>
      </c>
      <c r="BD50" s="161">
        <f>IF(BD1&gt;=Summary!$K$19,0,IF('Monthly CF'!BD1=Summary!$E$13,Summary!$E$14,0))</f>
        <v>0</v>
      </c>
      <c r="BE50" s="161">
        <f>IF(BE1&gt;=Summary!$K$19,0,IF('Monthly CF'!BE1=Summary!$E$13,Summary!$E$14,0))</f>
        <v>0</v>
      </c>
      <c r="BF50" s="161">
        <f>IF(BF1&gt;=Summary!$K$19,0,IF('Monthly CF'!BF1=Summary!$E$13,Summary!$E$14,0))</f>
        <v>0</v>
      </c>
      <c r="BG50" s="161">
        <f>IF(BG1&gt;=Summary!$K$19,0,IF('Monthly CF'!BG1=Summary!$E$13,Summary!$E$14,0))</f>
        <v>0</v>
      </c>
      <c r="BH50" s="161">
        <f>IF(BH1&gt;=Summary!$K$19,0,IF('Monthly CF'!BH1=Summary!$E$13,Summary!$E$14,0))</f>
        <v>0</v>
      </c>
      <c r="BI50" s="161">
        <f>IF(BI1&gt;=Summary!$K$19,0,IF('Monthly CF'!BI1=Summary!$E$13,Summary!$E$14,0))</f>
        <v>0</v>
      </c>
      <c r="BJ50" s="161">
        <f>IF(BJ1&gt;=Summary!$K$19,0,IF('Monthly CF'!BJ1=Summary!$E$13,Summary!$E$14,0))</f>
        <v>0</v>
      </c>
      <c r="BK50" s="161">
        <f>IF(BK1&gt;=Summary!$K$19,0,IF('Monthly CF'!BK1=Summary!$E$13,Summary!$E$14,0))</f>
        <v>30000000</v>
      </c>
      <c r="BL50" s="161">
        <f>IF(BL1&gt;=Summary!$K$19,0,IF('Monthly CF'!BL1=Summary!$E$13,Summary!$E$14,0))</f>
        <v>0</v>
      </c>
      <c r="BM50" s="161">
        <f>IF(BM1&gt;=Summary!$K$19,0,IF('Monthly CF'!BM1=Summary!$E$13,Summary!$E$14,0))</f>
        <v>0</v>
      </c>
      <c r="BN50" s="161">
        <f>IF(BN1&gt;=Summary!$K$19,0,IF('Monthly CF'!BN1=Summary!$E$13,Summary!$E$14,0))</f>
        <v>0</v>
      </c>
      <c r="BO50" s="161">
        <f>IF(BO1&gt;=Summary!$K$19,0,IF('Monthly CF'!BO1=Summary!$E$13,Summary!$E$14,0))</f>
        <v>0</v>
      </c>
      <c r="BP50" s="161">
        <f>IF(BP1&gt;=Summary!$K$19,0,IF('Monthly CF'!BP1=Summary!$E$13,Summary!$E$14,0))</f>
        <v>0</v>
      </c>
      <c r="BQ50" s="161">
        <f>IF(BQ1&gt;=Summary!$K$19,0,IF('Monthly CF'!BQ1=Summary!$E$13,Summary!$E$14,0))</f>
        <v>0</v>
      </c>
      <c r="BR50" s="161">
        <f>IF(BR1&gt;=Summary!$K$19,0,IF('Monthly CF'!BR1=Summary!$E$13,Summary!$E$14,0))</f>
        <v>0</v>
      </c>
      <c r="BS50" s="161">
        <f>IF(BS1&gt;=Summary!$K$19,0,IF('Monthly CF'!BS1=Summary!$E$13,Summary!$E$14,0))</f>
        <v>0</v>
      </c>
      <c r="BT50" s="161">
        <f>IF(BT1&gt;=Summary!$K$19,0,IF('Monthly CF'!BT1=Summary!$E$13,Summary!$E$14,0))</f>
        <v>0</v>
      </c>
      <c r="BU50" s="161">
        <f>IF(BU1&gt;=Summary!$K$19,0,IF('Monthly CF'!BU1=Summary!$E$13,Summary!$E$14,0))</f>
        <v>0</v>
      </c>
      <c r="BV50" s="161">
        <f>IF(BV1&gt;=Summary!$K$19,0,IF('Monthly CF'!BV1=Summary!$E$13,Summary!$E$14,0))</f>
        <v>0</v>
      </c>
      <c r="BW50" s="161">
        <f>IF(BW1&gt;=Summary!$K$19,0,IF('Monthly CF'!BW1=Summary!$E$13,Summary!$E$14,0))</f>
        <v>0</v>
      </c>
      <c r="BX50" s="161">
        <f>IF(BX1&gt;=Summary!$K$19,0,IF('Monthly CF'!BX1=Summary!$E$13,Summary!$E$14,0))</f>
        <v>0</v>
      </c>
      <c r="BY50" s="161">
        <f>IF(BY1&gt;=Summary!$K$19,0,IF('Monthly CF'!BY1=Summary!$E$13,Summary!$E$14,0))</f>
        <v>0</v>
      </c>
      <c r="BZ50" s="161">
        <f>IF(BZ1&gt;=Summary!$K$19,0,IF('Monthly CF'!BZ1=Summary!$E$13,Summary!$E$14,0))</f>
        <v>0</v>
      </c>
      <c r="CA50" s="161">
        <f>IF(CA1&gt;=Summary!$K$19,0,IF('Monthly CF'!CA1=Summary!$E$13,Summary!$E$14,0))</f>
        <v>0</v>
      </c>
      <c r="CB50" s="161">
        <f>IF(CB1&gt;=Summary!$K$19,0,IF('Monthly CF'!CB1=Summary!$E$13,Summary!$E$14,0))</f>
        <v>0</v>
      </c>
      <c r="CC50" s="161">
        <f>IF(CC1&gt;=Summary!$K$19,0,IF('Monthly CF'!CC1=Summary!$E$13,Summary!$E$14,0))</f>
        <v>0</v>
      </c>
      <c r="CD50" s="161">
        <f>IF(CD1&gt;=Summary!$K$19,0,IF('Monthly CF'!CD1=Summary!$E$13,Summary!$E$14,0))</f>
        <v>0</v>
      </c>
      <c r="CE50" s="161">
        <f>IF(CE1&gt;=Summary!$K$19,0,IF('Monthly CF'!CE1=Summary!$E$13,Summary!$E$14,0))</f>
        <v>0</v>
      </c>
      <c r="CF50" s="161">
        <f>IF(CF1&gt;=Summary!$K$19,0,IF('Monthly CF'!CF1=Summary!$E$13,Summary!$E$14,0))</f>
        <v>0</v>
      </c>
      <c r="CG50" s="161">
        <f>IF(CG1&gt;=Summary!$K$19,0,IF('Monthly CF'!CG1=Summary!$E$13,Summary!$E$14,0))</f>
        <v>0</v>
      </c>
      <c r="CH50" s="161">
        <f>IF(CH1&gt;=Summary!$K$19,0,IF('Monthly CF'!CH1=Summary!$E$13,Summary!$E$14,0))</f>
        <v>0</v>
      </c>
      <c r="CI50" s="161">
        <f>IF(CI1&gt;=Summary!$K$19,0,IF('Monthly CF'!CI1=Summary!$E$13,Summary!$E$14,0))</f>
        <v>0</v>
      </c>
      <c r="CJ50" s="161">
        <f>IF(CJ1&gt;=Summary!$K$19,0,IF('Monthly CF'!CJ1=Summary!$E$13,Summary!$E$14,0))</f>
        <v>0</v>
      </c>
      <c r="CK50" s="161">
        <f>IF(CK1&gt;=Summary!$K$19,0,IF('Monthly CF'!CK1=Summary!$E$13,Summary!$E$14,0))</f>
        <v>0</v>
      </c>
      <c r="CL50" s="161">
        <f>IF(CL1&gt;=Summary!$K$19,0,IF('Monthly CF'!CL1=Summary!$E$13,Summary!$E$14,0))</f>
        <v>0</v>
      </c>
      <c r="CM50" s="161">
        <f>IF(CM1&gt;=Summary!$K$19,0,IF('Monthly CF'!CM1=Summary!$E$13,Summary!$E$14,0))</f>
        <v>0</v>
      </c>
      <c r="CN50" s="161">
        <f>IF(CN1&gt;=Summary!$K$19,0,IF('Monthly CF'!CN1=Summary!$E$13,Summary!$E$14,0))</f>
        <v>0</v>
      </c>
      <c r="CO50" s="161">
        <f>IF(CO1&gt;=Summary!$K$19,0,IF('Monthly CF'!CO1=Summary!$E$13,Summary!$E$14,0))</f>
        <v>0</v>
      </c>
      <c r="CP50" s="161">
        <f>IF(CP1&gt;=Summary!$K$19,0,IF('Monthly CF'!CP1=Summary!$E$13,Summary!$E$14,0))</f>
        <v>0</v>
      </c>
      <c r="CQ50" s="161">
        <f>IF(CQ1&gt;=Summary!$K$19,0,IF('Monthly CF'!CQ1=Summary!$E$13,Summary!$E$14,0))</f>
        <v>0</v>
      </c>
      <c r="CR50" s="161">
        <f>IF(CR1&gt;=Summary!$K$19,0,IF('Monthly CF'!CR1=Summary!$E$13,Summary!$E$14,0))</f>
        <v>0</v>
      </c>
      <c r="CS50" s="161">
        <f>IF(CS1&gt;=Summary!$K$19,0,IF('Monthly CF'!CS1=Summary!$E$13,Summary!$E$14,0))</f>
        <v>0</v>
      </c>
      <c r="CT50" s="161">
        <f>IF(CT1&gt;=Summary!$K$19,0,IF('Monthly CF'!CT1=Summary!$E$13,Summary!$E$14,0))</f>
        <v>0</v>
      </c>
      <c r="CU50" s="161">
        <f>IF(CU1&gt;=Summary!$K$19,0,IF('Monthly CF'!CU1=Summary!$E$13,Summary!$E$14,0))</f>
        <v>0</v>
      </c>
      <c r="CV50" s="161">
        <f>IF(CV1&gt;=Summary!$K$19,0,IF('Monthly CF'!CV1=Summary!$E$13,Summary!$E$14,0))</f>
        <v>0</v>
      </c>
      <c r="CW50" s="161">
        <f>IF(CW1&gt;=Summary!$K$19,0,IF('Monthly CF'!CW1=Summary!$E$13,Summary!$E$14,0))</f>
        <v>0</v>
      </c>
      <c r="CX50" s="161">
        <f>IF(CX1&gt;=Summary!$K$19,0,IF('Monthly CF'!CX1=Summary!$E$13,Summary!$E$14,0))</f>
        <v>0</v>
      </c>
      <c r="CY50" s="161">
        <f>IF(CY1&gt;=Summary!$K$19,0,IF('Monthly CF'!CY1=Summary!$E$13,Summary!$E$14,0))</f>
        <v>0</v>
      </c>
      <c r="CZ50" s="161">
        <f>IF(CZ1&gt;=Summary!$K$19,0,IF('Monthly CF'!CZ1=Summary!$E$13,Summary!$E$14,0))</f>
        <v>0</v>
      </c>
      <c r="DA50" s="161">
        <f>IF(DA1&gt;=Summary!$K$19,0,IF('Monthly CF'!DA1=Summary!$E$13,Summary!$E$14,0))</f>
        <v>0</v>
      </c>
      <c r="DB50" s="161">
        <f>IF(DB1&gt;=Summary!$K$19,0,IF('Monthly CF'!DB1=Summary!$E$13,Summary!$E$14,0))</f>
        <v>0</v>
      </c>
      <c r="DC50" s="161">
        <f>IF(DC1&gt;=Summary!$K$19,0,IF('Monthly CF'!DC1=Summary!$E$13,Summary!$E$14,0))</f>
        <v>0</v>
      </c>
      <c r="DD50" s="161">
        <f>IF(DD1&gt;=Summary!$K$19,0,IF('Monthly CF'!DD1=Summary!$E$13,Summary!$E$14,0))</f>
        <v>0</v>
      </c>
      <c r="DE50" s="161">
        <f>IF(DE1&gt;=Summary!$K$19,0,IF('Monthly CF'!DE1=Summary!$E$13,Summary!$E$14,0))</f>
        <v>0</v>
      </c>
      <c r="DF50" s="161">
        <f>IF(DF1&gt;=Summary!$K$19,0,IF('Monthly CF'!DF1=Summary!$E$13,Summary!$E$14,0))</f>
        <v>0</v>
      </c>
      <c r="DG50" s="161">
        <f>IF(DG1&gt;=Summary!$K$19,0,IF('Monthly CF'!DG1=Summary!$E$13,Summary!$E$14,0))</f>
        <v>0</v>
      </c>
      <c r="DH50" s="161">
        <f>IF(DH1&gt;=Summary!$K$19,0,IF('Monthly CF'!DH1=Summary!$E$13,Summary!$E$14,0))</f>
        <v>0</v>
      </c>
      <c r="DI50" s="161">
        <f>IF(DI1&gt;=Summary!$K$19,0,IF('Monthly CF'!DI1=Summary!$E$13,Summary!$E$14,0))</f>
        <v>0</v>
      </c>
      <c r="DJ50" s="161">
        <f>IF(DJ1&gt;=Summary!$K$19,0,IF('Monthly CF'!DJ1=Summary!$E$13,Summary!$E$14,0))</f>
        <v>0</v>
      </c>
      <c r="DK50" s="161">
        <f>IF(DK1&gt;=Summary!$K$19,0,IF('Monthly CF'!DK1=Summary!$E$13,Summary!$E$14,0))</f>
        <v>0</v>
      </c>
      <c r="DL50" s="161">
        <f>IF(DL1&gt;=Summary!$K$19,0,IF('Monthly CF'!DL1=Summary!$E$13,Summary!$E$14,0))</f>
        <v>0</v>
      </c>
      <c r="DM50" s="161">
        <f>IF(DM1&gt;=Summary!$K$19,0,IF('Monthly CF'!DM1=Summary!$E$13,Summary!$E$14,0))</f>
        <v>0</v>
      </c>
      <c r="DN50" s="161">
        <f>IF(DN1&gt;=Summary!$K$19,0,IF('Monthly CF'!DN1=Summary!$E$13,Summary!$E$14,0))</f>
        <v>0</v>
      </c>
      <c r="DO50" s="161">
        <f>IF(DO1&gt;=Summary!$K$19,0,IF('Monthly CF'!DO1=Summary!$E$13,Summary!$E$14,0))</f>
        <v>0</v>
      </c>
      <c r="DP50" s="161">
        <f>IF(DP1&gt;=Summary!$K$19,0,IF('Monthly CF'!DP1=Summary!$E$13,Summary!$E$14,0))</f>
        <v>0</v>
      </c>
      <c r="DQ50" s="161">
        <f>IF(DQ1&gt;=Summary!$K$19,0,IF('Monthly CF'!DQ1=Summary!$E$13,Summary!$E$14,0))</f>
        <v>0</v>
      </c>
      <c r="DR50" s="161">
        <f>IF(DR1&gt;=Summary!$K$19,0,IF('Monthly CF'!DR1=Summary!$E$13,Summary!$E$14,0))</f>
        <v>0</v>
      </c>
      <c r="DS50" s="161">
        <f>IF(DS1&gt;=Summary!$K$19,0,IF('Monthly CF'!DS1=Summary!$E$13,Summary!$E$14,0))</f>
        <v>0</v>
      </c>
      <c r="DT50" s="161">
        <f>IF(DT1&gt;=Summary!$K$19,0,IF('Monthly CF'!DT1=Summary!$E$13,Summary!$E$14,0))</f>
        <v>0</v>
      </c>
      <c r="DU50" s="161">
        <f>IF(DU1&gt;=Summary!$K$19,0,IF('Monthly CF'!DU1=Summary!$E$13,Summary!$E$14,0))</f>
        <v>0</v>
      </c>
      <c r="DV50" s="161">
        <f>IF(DV1&gt;=Summary!$K$19,0,IF('Monthly CF'!DV1=Summary!$E$13,Summary!$E$14,0))</f>
        <v>0</v>
      </c>
      <c r="DW50" s="161">
        <f>IF(DW1&gt;=Summary!$K$19,0,IF('Monthly CF'!DW1=Summary!$E$13,Summary!$E$14,0))</f>
        <v>0</v>
      </c>
      <c r="DX50" s="161">
        <f>IF(DX1&gt;=Summary!$K$19,0,IF('Monthly CF'!DX1=Summary!$E$13,Summary!$E$14,0))</f>
        <v>0</v>
      </c>
      <c r="DY50" s="161">
        <f>IF(DY1&gt;=Summary!$K$19,0,IF('Monthly CF'!DY1=Summary!$E$13,Summary!$E$14,0))</f>
        <v>0</v>
      </c>
      <c r="DZ50" s="161">
        <f>IF(DZ1&gt;=Summary!$K$19,0,IF('Monthly CF'!DZ1=Summary!$E$13,Summary!$E$14,0))</f>
        <v>0</v>
      </c>
      <c r="EA50" s="161">
        <f>IF(EA1&gt;=Summary!$K$19,0,IF('Monthly CF'!EA1=Summary!$E$13,Summary!$E$14,0))</f>
        <v>0</v>
      </c>
      <c r="EB50" s="161">
        <f>IF(EB1&gt;=Summary!$K$19,0,IF('Monthly CF'!EB1=Summary!$E$13,Summary!$E$14,0))</f>
        <v>0</v>
      </c>
      <c r="EC50" s="161">
        <f>IF(EC1&gt;=Summary!$K$19,0,IF('Monthly CF'!EC1=Summary!$E$13,Summary!$E$14,0))</f>
        <v>0</v>
      </c>
      <c r="ED50" s="161">
        <f>IF(ED1&gt;=Summary!$K$19,0,IF('Monthly CF'!ED1=Summary!$E$13,Summary!$E$14,0))</f>
        <v>0</v>
      </c>
      <c r="EE50" s="162">
        <f>IF(EE1&gt;=Summary!$K$19,0,IF('Monthly CF'!EE1=Summary!$E$13,Summary!$E$14,0))</f>
        <v>0</v>
      </c>
    </row>
    <row r="51" spans="1:135" x14ac:dyDescent="0.35">
      <c r="A51" s="168">
        <f>SUMIF($C$1:$EE$1,"&lt;="&amp;Summary!$K$19,'Monthly CF'!C51:EE51)</f>
        <v>-13136461.571055762</v>
      </c>
      <c r="B51" s="5" t="s">
        <v>185</v>
      </c>
      <c r="C51" s="160"/>
      <c r="D51" s="161">
        <f>-SUM(Financing!C5,Financing!C15)</f>
        <v>-86666.666666666672</v>
      </c>
      <c r="E51" s="161">
        <f>-SUM(Financing!D5,Financing!D15)</f>
        <v>-86666.666666666672</v>
      </c>
      <c r="F51" s="161">
        <f>-SUM(Financing!E5,Financing!E15)</f>
        <v>-86666.666666666672</v>
      </c>
      <c r="G51" s="161">
        <f>-SUM(Financing!F5,Financing!F15)</f>
        <v>-86666.666666666672</v>
      </c>
      <c r="H51" s="161">
        <f>-SUM(Financing!G5,Financing!G15)</f>
        <v>-86666.666666666672</v>
      </c>
      <c r="I51" s="161">
        <f>-SUM(Financing!H5,Financing!H15)</f>
        <v>-86666.666666666672</v>
      </c>
      <c r="J51" s="161">
        <f>-SUM(Financing!I5,Financing!I15)</f>
        <v>-86666.666666666672</v>
      </c>
      <c r="K51" s="161">
        <f>-SUM(Financing!J5,Financing!J15)</f>
        <v>-86666.666666666672</v>
      </c>
      <c r="L51" s="161">
        <f>-SUM(Financing!K5,Financing!K15)</f>
        <v>-86666.666666666672</v>
      </c>
      <c r="M51" s="161">
        <f>-SUM(Financing!L5,Financing!L15)</f>
        <v>-86666.666666666672</v>
      </c>
      <c r="N51" s="161">
        <f>-SUM(Financing!M5,Financing!M15)</f>
        <v>-86666.666666666672</v>
      </c>
      <c r="O51" s="161">
        <f>-SUM(Financing!N5,Financing!N15)</f>
        <v>-86666.666666666672</v>
      </c>
      <c r="P51" s="161">
        <f>-SUM(Financing!O5,Financing!O15)</f>
        <v>-86666.666666666672</v>
      </c>
      <c r="Q51" s="161">
        <f>-SUM(Financing!P5,Financing!P15)</f>
        <v>-86666.666666666672</v>
      </c>
      <c r="R51" s="161">
        <f>-SUM(Financing!Q5,Financing!Q15)</f>
        <v>-86666.666666666672</v>
      </c>
      <c r="S51" s="161">
        <f>-SUM(Financing!R5,Financing!R15)</f>
        <v>-86666.666666666672</v>
      </c>
      <c r="T51" s="161">
        <f>-SUM(Financing!S5,Financing!S15)</f>
        <v>-86666.666666666672</v>
      </c>
      <c r="U51" s="161">
        <f>-SUM(Financing!T5,Financing!T15)</f>
        <v>-86666.666666666672</v>
      </c>
      <c r="V51" s="161">
        <f>-SUM(Financing!U5,Financing!U15)</f>
        <v>-86666.666666666672</v>
      </c>
      <c r="W51" s="161">
        <f>-SUM(Financing!V5,Financing!V15)</f>
        <v>-86666.666666666672</v>
      </c>
      <c r="X51" s="161">
        <f>-SUM(Financing!W5,Financing!W15)</f>
        <v>-86666.666666666672</v>
      </c>
      <c r="Y51" s="161">
        <f>-SUM(Financing!X5,Financing!X15)</f>
        <v>-86666.666666666672</v>
      </c>
      <c r="Z51" s="161">
        <f>-SUM(Financing!Y5,Financing!Y15)</f>
        <v>-86666.666666666672</v>
      </c>
      <c r="AA51" s="161">
        <f>-SUM(Financing!Z5,Financing!Z15)</f>
        <v>-86666.666666666672</v>
      </c>
      <c r="AB51" s="161">
        <f>-SUM(Financing!AA5,Financing!AA15)</f>
        <v>-86666.666666666672</v>
      </c>
      <c r="AC51" s="161">
        <f>-SUM(Financing!AB5,Financing!AB15)</f>
        <v>-86666.666666666672</v>
      </c>
      <c r="AD51" s="161">
        <f>-SUM(Financing!AC5,Financing!AC15)</f>
        <v>-86666.666666666672</v>
      </c>
      <c r="AE51" s="161">
        <f>-SUM(Financing!AD5,Financing!AD15)</f>
        <v>-86666.666666666672</v>
      </c>
      <c r="AF51" s="161">
        <f>-SUM(Financing!AE5,Financing!AE15)</f>
        <v>-86666.666666666672</v>
      </c>
      <c r="AG51" s="161">
        <f>-SUM(Financing!AF5,Financing!AF15)</f>
        <v>-86666.666666666672</v>
      </c>
      <c r="AH51" s="161">
        <f>-SUM(Financing!AG5,Financing!AG15)</f>
        <v>-86666.666666666672</v>
      </c>
      <c r="AI51" s="161">
        <f>-SUM(Financing!AH5,Financing!AH15)</f>
        <v>-86666.666666666672</v>
      </c>
      <c r="AJ51" s="161">
        <f>-SUM(Financing!AI5,Financing!AI15)</f>
        <v>-86666.666666666672</v>
      </c>
      <c r="AK51" s="161">
        <f>-SUM(Financing!AJ5,Financing!AJ15)</f>
        <v>-86666.666666666672</v>
      </c>
      <c r="AL51" s="161">
        <f>-SUM(Financing!AK5,Financing!AK15)</f>
        <v>-86666.666666666672</v>
      </c>
      <c r="AM51" s="161">
        <f>-SUM(Financing!AL5,Financing!AL15)</f>
        <v>-86666.666666666672</v>
      </c>
      <c r="AN51" s="161">
        <f>-SUM(Financing!AM5,Financing!AM15)</f>
        <v>-124127.97682101946</v>
      </c>
      <c r="AO51" s="161">
        <f>-SUM(Financing!AN5,Financing!AN15)</f>
        <v>-124127.97682101946</v>
      </c>
      <c r="AP51" s="161">
        <f>-SUM(Financing!AO5,Financing!AO15)</f>
        <v>-124127.97682101946</v>
      </c>
      <c r="AQ51" s="161">
        <f>-SUM(Financing!AP5,Financing!AP15)</f>
        <v>-124127.97682101946</v>
      </c>
      <c r="AR51" s="161">
        <f>-SUM(Financing!AQ5,Financing!AQ15)</f>
        <v>-124127.97682101946</v>
      </c>
      <c r="AS51" s="161">
        <f>-SUM(Financing!AR5,Financing!AR15)</f>
        <v>-124127.97682101946</v>
      </c>
      <c r="AT51" s="161">
        <f>-SUM(Financing!AS5,Financing!AS15)</f>
        <v>-124127.97682101946</v>
      </c>
      <c r="AU51" s="161">
        <f>-SUM(Financing!AT5,Financing!AT15)</f>
        <v>-124127.97682101946</v>
      </c>
      <c r="AV51" s="161">
        <f>-SUM(Financing!AU5,Financing!AU15)</f>
        <v>-124127.97682101946</v>
      </c>
      <c r="AW51" s="161">
        <f>-SUM(Financing!AV5,Financing!AV15)</f>
        <v>-124127.97682101946</v>
      </c>
      <c r="AX51" s="161">
        <f>-SUM(Financing!AW5,Financing!AW15)</f>
        <v>-124127.97682101946</v>
      </c>
      <c r="AY51" s="161">
        <f>-SUM(Financing!AX5,Financing!AX15)</f>
        <v>-124127.97682101946</v>
      </c>
      <c r="AZ51" s="161">
        <f>-SUM(Financing!AY5,Financing!AY15)</f>
        <v>-124127.97682101946</v>
      </c>
      <c r="BA51" s="161">
        <f>-SUM(Financing!AZ5,Financing!AZ15)</f>
        <v>-124127.97682101946</v>
      </c>
      <c r="BB51" s="161">
        <f>-SUM(Financing!BA5,Financing!BA15)</f>
        <v>-124127.97682101946</v>
      </c>
      <c r="BC51" s="161">
        <f>-SUM(Financing!BB5,Financing!BB15)</f>
        <v>-124127.97682101946</v>
      </c>
      <c r="BD51" s="161">
        <f>-SUM(Financing!BC5,Financing!BC15)</f>
        <v>-124127.97682101946</v>
      </c>
      <c r="BE51" s="161">
        <f>-SUM(Financing!BD5,Financing!BD15)</f>
        <v>-124127.97682101946</v>
      </c>
      <c r="BF51" s="161">
        <f>-SUM(Financing!BE5,Financing!BE15)</f>
        <v>-124127.97682101946</v>
      </c>
      <c r="BG51" s="161">
        <f>-SUM(Financing!BF5,Financing!BF15)</f>
        <v>-124127.97682101946</v>
      </c>
      <c r="BH51" s="161">
        <f>-SUM(Financing!BG5,Financing!BG15)</f>
        <v>-124127.97682101946</v>
      </c>
      <c r="BI51" s="161">
        <f>-SUM(Financing!BH5,Financing!BH15)</f>
        <v>-124127.97682101946</v>
      </c>
      <c r="BJ51" s="161">
        <f>-SUM(Financing!BI5,Financing!BI15)</f>
        <v>-124127.97682101946</v>
      </c>
      <c r="BK51" s="161">
        <f>-SUM(Financing!BJ5,Financing!BJ15)</f>
        <v>-124127.97682101946</v>
      </c>
      <c r="BL51" s="161">
        <f>-SUM(Financing!BK5,Financing!BK15)</f>
        <v>-100000</v>
      </c>
      <c r="BM51" s="161">
        <f>-SUM(Financing!BL5,Financing!BL15)</f>
        <v>-100000</v>
      </c>
      <c r="BN51" s="161">
        <f>-SUM(Financing!BM5,Financing!BM15)</f>
        <v>-100000</v>
      </c>
      <c r="BO51" s="161">
        <f>-SUM(Financing!BN5,Financing!BN15)</f>
        <v>-100000</v>
      </c>
      <c r="BP51" s="161">
        <f>-SUM(Financing!BO5,Financing!BO15)</f>
        <v>-100000</v>
      </c>
      <c r="BQ51" s="161">
        <f>-SUM(Financing!BP5,Financing!BP15)</f>
        <v>-100000</v>
      </c>
      <c r="BR51" s="161">
        <f>-SUM(Financing!BQ5,Financing!BQ15)</f>
        <v>-100000</v>
      </c>
      <c r="BS51" s="161">
        <f>-SUM(Financing!BR5,Financing!BR15)</f>
        <v>-100000</v>
      </c>
      <c r="BT51" s="161">
        <f>-SUM(Financing!BS5,Financing!BS15)</f>
        <v>-100000</v>
      </c>
      <c r="BU51" s="161">
        <f>-SUM(Financing!BT5,Financing!BT15)</f>
        <v>-100000</v>
      </c>
      <c r="BV51" s="161">
        <f>-SUM(Financing!BU5,Financing!BU15)</f>
        <v>-100000</v>
      </c>
      <c r="BW51" s="161">
        <f>-SUM(Financing!BV5,Financing!BV15)</f>
        <v>-100000</v>
      </c>
      <c r="BX51" s="161">
        <f>-SUM(Financing!BW5,Financing!BW15)</f>
        <v>-100000</v>
      </c>
      <c r="BY51" s="161">
        <f>-SUM(Financing!BX5,Financing!BX15)</f>
        <v>-100000</v>
      </c>
      <c r="BZ51" s="161">
        <f>-SUM(Financing!BY5,Financing!BY15)</f>
        <v>-100000</v>
      </c>
      <c r="CA51" s="161">
        <f>-SUM(Financing!BZ5,Financing!BZ15)</f>
        <v>-100000</v>
      </c>
      <c r="CB51" s="161">
        <f>-SUM(Financing!CA5,Financing!CA15)</f>
        <v>-100000</v>
      </c>
      <c r="CC51" s="161">
        <f>-SUM(Financing!CB5,Financing!CB15)</f>
        <v>-100000</v>
      </c>
      <c r="CD51" s="161">
        <f>-SUM(Financing!CC5,Financing!CC15)</f>
        <v>-100000</v>
      </c>
      <c r="CE51" s="161">
        <f>-SUM(Financing!CD5,Financing!CD15)</f>
        <v>-100000</v>
      </c>
      <c r="CF51" s="161">
        <f>-SUM(Financing!CE5,Financing!CE15)</f>
        <v>-100000</v>
      </c>
      <c r="CG51" s="161">
        <f>-SUM(Financing!CF5,Financing!CF15)</f>
        <v>-100000</v>
      </c>
      <c r="CH51" s="161">
        <f>-SUM(Financing!CG5,Financing!CG15)</f>
        <v>-100000</v>
      </c>
      <c r="CI51" s="161">
        <f>-SUM(Financing!CH5,Financing!CH15)</f>
        <v>-100000</v>
      </c>
      <c r="CJ51" s="161">
        <f>-SUM(Financing!CI5,Financing!CI15)</f>
        <v>-100000</v>
      </c>
      <c r="CK51" s="161">
        <f>-SUM(Financing!CJ5,Financing!CJ15)</f>
        <v>-100000</v>
      </c>
      <c r="CL51" s="161">
        <f>-SUM(Financing!CK5,Financing!CK15)</f>
        <v>-100000</v>
      </c>
      <c r="CM51" s="161">
        <f>-SUM(Financing!CL5,Financing!CL15)</f>
        <v>-100000</v>
      </c>
      <c r="CN51" s="161">
        <f>-SUM(Financing!CM5,Financing!CM15)</f>
        <v>-100000</v>
      </c>
      <c r="CO51" s="161">
        <f>-SUM(Financing!CN5,Financing!CN15)</f>
        <v>-100000</v>
      </c>
      <c r="CP51" s="161">
        <f>-SUM(Financing!CO5,Financing!CO15)</f>
        <v>-100000</v>
      </c>
      <c r="CQ51" s="161">
        <f>-SUM(Financing!CP5,Financing!CP15)</f>
        <v>-100000</v>
      </c>
      <c r="CR51" s="161">
        <f>-SUM(Financing!CQ5,Financing!CQ15)</f>
        <v>-100000</v>
      </c>
      <c r="CS51" s="161">
        <f>-SUM(Financing!CR5,Financing!CR15)</f>
        <v>-100000</v>
      </c>
      <c r="CT51" s="161">
        <f>-SUM(Financing!CS5,Financing!CS15)</f>
        <v>-100000</v>
      </c>
      <c r="CU51" s="161">
        <f>-SUM(Financing!CT5,Financing!CT15)</f>
        <v>-100000</v>
      </c>
      <c r="CV51" s="161">
        <f>-SUM(Financing!CU5,Financing!CU15)</f>
        <v>-143224.58863963783</v>
      </c>
      <c r="CW51" s="161">
        <f>-SUM(Financing!CV5,Financing!CV15)</f>
        <v>-143224.58863963783</v>
      </c>
      <c r="CX51" s="161">
        <f>-SUM(Financing!CW5,Financing!CW15)</f>
        <v>-143224.58863963783</v>
      </c>
      <c r="CY51" s="161">
        <f>-SUM(Financing!CX5,Financing!CX15)</f>
        <v>-143224.58863963783</v>
      </c>
      <c r="CZ51" s="161">
        <f>-SUM(Financing!CY5,Financing!CY15)</f>
        <v>-143224.58863963783</v>
      </c>
      <c r="DA51" s="161">
        <f>-SUM(Financing!CZ5,Financing!CZ15)</f>
        <v>-143224.58863963783</v>
      </c>
      <c r="DB51" s="161">
        <f>-SUM(Financing!DA5,Financing!DA15)</f>
        <v>-143224.58863963783</v>
      </c>
      <c r="DC51" s="161">
        <f>-SUM(Financing!DB5,Financing!DB15)</f>
        <v>-143224.58863963783</v>
      </c>
      <c r="DD51" s="161">
        <f>-SUM(Financing!DC5,Financing!DC15)</f>
        <v>-143224.58863963783</v>
      </c>
      <c r="DE51" s="161">
        <f>-SUM(Financing!DD5,Financing!DD15)</f>
        <v>-143224.58863963783</v>
      </c>
      <c r="DF51" s="161">
        <f>-SUM(Financing!DE5,Financing!DE15)</f>
        <v>-143224.58863963783</v>
      </c>
      <c r="DG51" s="161">
        <f>-SUM(Financing!DF5,Financing!DF15)</f>
        <v>-143224.58863963783</v>
      </c>
      <c r="DH51" s="161">
        <f>-SUM(Financing!DG5,Financing!DG15)</f>
        <v>-143224.58863963783</v>
      </c>
      <c r="DI51" s="161">
        <f>-SUM(Financing!DH5,Financing!DH15)</f>
        <v>-143224.58863963783</v>
      </c>
      <c r="DJ51" s="161">
        <f>-SUM(Financing!DI5,Financing!DI15)</f>
        <v>-143224.58863963783</v>
      </c>
      <c r="DK51" s="161">
        <f>-SUM(Financing!DJ5,Financing!DJ15)</f>
        <v>-143224.58863963783</v>
      </c>
      <c r="DL51" s="161">
        <f>-SUM(Financing!DK5,Financing!DK15)</f>
        <v>-143224.58863963783</v>
      </c>
      <c r="DM51" s="161">
        <f>-SUM(Financing!DL5,Financing!DL15)</f>
        <v>-143224.58863963783</v>
      </c>
      <c r="DN51" s="161">
        <f>-SUM(Financing!DM5,Financing!DM15)</f>
        <v>-143224.58863963783</v>
      </c>
      <c r="DO51" s="161">
        <f>-SUM(Financing!DN5,Financing!DN15)</f>
        <v>-143224.58863963783</v>
      </c>
      <c r="DP51" s="161">
        <f>-SUM(Financing!DO5,Financing!DO15)</f>
        <v>-143224.58863963783</v>
      </c>
      <c r="DQ51" s="161">
        <f>-SUM(Financing!DP5,Financing!DP15)</f>
        <v>-143224.58863963783</v>
      </c>
      <c r="DR51" s="161">
        <f>-SUM(Financing!DQ5,Financing!DQ15)</f>
        <v>-143224.58863963783</v>
      </c>
      <c r="DS51" s="161">
        <f>-SUM(Financing!DR5,Financing!DR15)</f>
        <v>-143224.58863963783</v>
      </c>
      <c r="DT51" s="161">
        <f>-SUM(Financing!DS5,Financing!DS15)</f>
        <v>0</v>
      </c>
      <c r="DU51" s="161">
        <f>-SUM(Financing!DT5,Financing!DT15)</f>
        <v>0</v>
      </c>
      <c r="DV51" s="161">
        <f>-SUM(Financing!DU5,Financing!DU15)</f>
        <v>0</v>
      </c>
      <c r="DW51" s="161">
        <f>-SUM(Financing!DV5,Financing!DV15)</f>
        <v>0</v>
      </c>
      <c r="DX51" s="161">
        <f>-SUM(Financing!DW5,Financing!DW15)</f>
        <v>0</v>
      </c>
      <c r="DY51" s="161">
        <f>-SUM(Financing!DX5,Financing!DX15)</f>
        <v>0</v>
      </c>
      <c r="DZ51" s="161">
        <f>-SUM(Financing!DY5,Financing!DY15)</f>
        <v>0</v>
      </c>
      <c r="EA51" s="161">
        <f>-SUM(Financing!DZ5,Financing!DZ15)</f>
        <v>0</v>
      </c>
      <c r="EB51" s="161">
        <f>-SUM(Financing!EA5,Financing!EA15)</f>
        <v>0</v>
      </c>
      <c r="EC51" s="161">
        <f>-SUM(Financing!EB5,Financing!EB15)</f>
        <v>0</v>
      </c>
      <c r="ED51" s="161">
        <f>-SUM(Financing!EC5,Financing!EC15)</f>
        <v>0</v>
      </c>
      <c r="EE51" s="162">
        <f>-SUM(Financing!ED5,Financing!ED15)</f>
        <v>0</v>
      </c>
    </row>
    <row r="52" spans="1:135" x14ac:dyDescent="0.35">
      <c r="A52" s="168">
        <f>SUMIF($C$1:$EE$1,"&lt;="&amp;Summary!$K$19,'Monthly CF'!C52:EE52)</f>
        <v>-53987460.683557644</v>
      </c>
      <c r="B52" s="5" t="s">
        <v>166</v>
      </c>
      <c r="C52" s="160"/>
      <c r="D52" s="161">
        <f>SUM(Financing!C8,Financing!C18)</f>
        <v>0</v>
      </c>
      <c r="E52" s="161">
        <f>SUM(Financing!D8,Financing!D18)</f>
        <v>0</v>
      </c>
      <c r="F52" s="161">
        <f>SUM(Financing!E8,Financing!E18)</f>
        <v>0</v>
      </c>
      <c r="G52" s="161">
        <f>SUM(Financing!F8,Financing!F18)</f>
        <v>0</v>
      </c>
      <c r="H52" s="161">
        <f>SUM(Financing!G8,Financing!G18)</f>
        <v>0</v>
      </c>
      <c r="I52" s="161">
        <f>SUM(Financing!H8,Financing!H18)</f>
        <v>0</v>
      </c>
      <c r="J52" s="161">
        <f>SUM(Financing!I8,Financing!I18)</f>
        <v>0</v>
      </c>
      <c r="K52" s="161">
        <f>SUM(Financing!J8,Financing!J18)</f>
        <v>0</v>
      </c>
      <c r="L52" s="161">
        <f>SUM(Financing!K8,Financing!K18)</f>
        <v>0</v>
      </c>
      <c r="M52" s="161">
        <f>SUM(Financing!L8,Financing!L18)</f>
        <v>0</v>
      </c>
      <c r="N52" s="161">
        <f>SUM(Financing!M8,Financing!M18)</f>
        <v>0</v>
      </c>
      <c r="O52" s="161">
        <f>SUM(Financing!N8,Financing!N18)</f>
        <v>0</v>
      </c>
      <c r="P52" s="161">
        <f>SUM(Financing!O8,Financing!O18)</f>
        <v>0</v>
      </c>
      <c r="Q52" s="161">
        <f>SUM(Financing!P8,Financing!P18)</f>
        <v>0</v>
      </c>
      <c r="R52" s="161">
        <f>SUM(Financing!Q8,Financing!Q18)</f>
        <v>0</v>
      </c>
      <c r="S52" s="161">
        <f>SUM(Financing!R8,Financing!R18)</f>
        <v>0</v>
      </c>
      <c r="T52" s="161">
        <f>SUM(Financing!S8,Financing!S18)</f>
        <v>0</v>
      </c>
      <c r="U52" s="161">
        <f>SUM(Financing!T8,Financing!T18)</f>
        <v>0</v>
      </c>
      <c r="V52" s="161">
        <f>SUM(Financing!U8,Financing!U18)</f>
        <v>0</v>
      </c>
      <c r="W52" s="161">
        <f>SUM(Financing!V8,Financing!V18)</f>
        <v>0</v>
      </c>
      <c r="X52" s="161">
        <f>SUM(Financing!W8,Financing!W18)</f>
        <v>0</v>
      </c>
      <c r="Y52" s="161">
        <f>SUM(Financing!X8,Financing!X18)</f>
        <v>0</v>
      </c>
      <c r="Z52" s="161">
        <f>SUM(Financing!Y8,Financing!Y18)</f>
        <v>0</v>
      </c>
      <c r="AA52" s="161">
        <f>SUM(Financing!Z8,Financing!Z18)</f>
        <v>0</v>
      </c>
      <c r="AB52" s="161">
        <f>SUM(Financing!AA8,Financing!AA18)</f>
        <v>0</v>
      </c>
      <c r="AC52" s="161">
        <f>SUM(Financing!AB8,Financing!AB18)</f>
        <v>0</v>
      </c>
      <c r="AD52" s="161">
        <f>SUM(Financing!AC8,Financing!AC18)</f>
        <v>0</v>
      </c>
      <c r="AE52" s="161">
        <f>SUM(Financing!AD8,Financing!AD18)</f>
        <v>0</v>
      </c>
      <c r="AF52" s="161">
        <f>SUM(Financing!AE8,Financing!AE18)</f>
        <v>0</v>
      </c>
      <c r="AG52" s="161">
        <f>SUM(Financing!AF8,Financing!AF18)</f>
        <v>0</v>
      </c>
      <c r="AH52" s="161">
        <f>SUM(Financing!AG8,Financing!AG18)</f>
        <v>0</v>
      </c>
      <c r="AI52" s="161">
        <f>SUM(Financing!AH8,Financing!AH18)</f>
        <v>0</v>
      </c>
      <c r="AJ52" s="161">
        <f>SUM(Financing!AI8,Financing!AI18)</f>
        <v>0</v>
      </c>
      <c r="AK52" s="161">
        <f>SUM(Financing!AJ8,Financing!AJ18)</f>
        <v>0</v>
      </c>
      <c r="AL52" s="161">
        <f>SUM(Financing!AK8,Financing!AK18)</f>
        <v>0</v>
      </c>
      <c r="AM52" s="161">
        <f>SUM(Financing!AL8,Financing!AL18)</f>
        <v>0</v>
      </c>
      <c r="AN52" s="161">
        <f>SUM(Financing!AM8,Financing!AM18)</f>
        <v>0</v>
      </c>
      <c r="AO52" s="161">
        <f>SUM(Financing!AN8,Financing!AN18)</f>
        <v>0</v>
      </c>
      <c r="AP52" s="161">
        <f>SUM(Financing!AO8,Financing!AO18)</f>
        <v>0</v>
      </c>
      <c r="AQ52" s="161">
        <f>SUM(Financing!AP8,Financing!AP18)</f>
        <v>0</v>
      </c>
      <c r="AR52" s="161">
        <f>SUM(Financing!AQ8,Financing!AQ18)</f>
        <v>0</v>
      </c>
      <c r="AS52" s="161">
        <f>SUM(Financing!AR8,Financing!AR18)</f>
        <v>0</v>
      </c>
      <c r="AT52" s="161">
        <f>SUM(Financing!AS8,Financing!AS18)</f>
        <v>0</v>
      </c>
      <c r="AU52" s="161">
        <f>SUM(Financing!AT8,Financing!AT18)</f>
        <v>0</v>
      </c>
      <c r="AV52" s="161">
        <f>SUM(Financing!AU8,Financing!AU18)</f>
        <v>0</v>
      </c>
      <c r="AW52" s="161">
        <f>SUM(Financing!AV8,Financing!AV18)</f>
        <v>0</v>
      </c>
      <c r="AX52" s="161">
        <f>SUM(Financing!AW8,Financing!AW18)</f>
        <v>0</v>
      </c>
      <c r="AY52" s="161">
        <f>SUM(Financing!AX8,Financing!AX18)</f>
        <v>0</v>
      </c>
      <c r="AZ52" s="161">
        <f>SUM(Financing!AY8,Financing!AY18)</f>
        <v>0</v>
      </c>
      <c r="BA52" s="161">
        <f>SUM(Financing!AZ8,Financing!AZ18)</f>
        <v>0</v>
      </c>
      <c r="BB52" s="161">
        <f>SUM(Financing!BA8,Financing!BA18)</f>
        <v>0</v>
      </c>
      <c r="BC52" s="161">
        <f>SUM(Financing!BB8,Financing!BB18)</f>
        <v>0</v>
      </c>
      <c r="BD52" s="161">
        <f>SUM(Financing!BC8,Financing!BC18)</f>
        <v>0</v>
      </c>
      <c r="BE52" s="161">
        <f>SUM(Financing!BD8,Financing!BD18)</f>
        <v>0</v>
      </c>
      <c r="BF52" s="161">
        <f>SUM(Financing!BE8,Financing!BE18)</f>
        <v>0</v>
      </c>
      <c r="BG52" s="161">
        <f>SUM(Financing!BF8,Financing!BF18)</f>
        <v>0</v>
      </c>
      <c r="BH52" s="161">
        <f>SUM(Financing!BG8,Financing!BG18)</f>
        <v>0</v>
      </c>
      <c r="BI52" s="161">
        <f>SUM(Financing!BH8,Financing!BH18)</f>
        <v>0</v>
      </c>
      <c r="BJ52" s="161">
        <f>SUM(Financing!BI8,Financing!BI18)</f>
        <v>0</v>
      </c>
      <c r="BK52" s="161">
        <f>SUM(Financing!BJ8,Financing!BJ18)</f>
        <v>-25065606.745937474</v>
      </c>
      <c r="BL52" s="161">
        <f>SUM(Financing!BK8,Financing!BK18)</f>
        <v>0</v>
      </c>
      <c r="BM52" s="161">
        <f>SUM(Financing!BL8,Financing!BL18)</f>
        <v>0</v>
      </c>
      <c r="BN52" s="161">
        <f>SUM(Financing!BM8,Financing!BM18)</f>
        <v>0</v>
      </c>
      <c r="BO52" s="161">
        <f>SUM(Financing!BN8,Financing!BN18)</f>
        <v>0</v>
      </c>
      <c r="BP52" s="161">
        <f>SUM(Financing!BO8,Financing!BO18)</f>
        <v>0</v>
      </c>
      <c r="BQ52" s="161">
        <f>SUM(Financing!BP8,Financing!BP18)</f>
        <v>0</v>
      </c>
      <c r="BR52" s="161">
        <f>SUM(Financing!BQ8,Financing!BQ18)</f>
        <v>0</v>
      </c>
      <c r="BS52" s="161">
        <f>SUM(Financing!BR8,Financing!BR18)</f>
        <v>0</v>
      </c>
      <c r="BT52" s="161">
        <f>SUM(Financing!BS8,Financing!BS18)</f>
        <v>0</v>
      </c>
      <c r="BU52" s="161">
        <f>SUM(Financing!BT8,Financing!BT18)</f>
        <v>0</v>
      </c>
      <c r="BV52" s="161">
        <f>SUM(Financing!BU8,Financing!BU18)</f>
        <v>0</v>
      </c>
      <c r="BW52" s="161">
        <f>SUM(Financing!BV8,Financing!BV18)</f>
        <v>0</v>
      </c>
      <c r="BX52" s="161">
        <f>SUM(Financing!BW8,Financing!BW18)</f>
        <v>0</v>
      </c>
      <c r="BY52" s="161">
        <f>SUM(Financing!BX8,Financing!BX18)</f>
        <v>0</v>
      </c>
      <c r="BZ52" s="161">
        <f>SUM(Financing!BY8,Financing!BY18)</f>
        <v>0</v>
      </c>
      <c r="CA52" s="161">
        <f>SUM(Financing!BZ8,Financing!BZ18)</f>
        <v>0</v>
      </c>
      <c r="CB52" s="161">
        <f>SUM(Financing!CA8,Financing!CA18)</f>
        <v>0</v>
      </c>
      <c r="CC52" s="161">
        <f>SUM(Financing!CB8,Financing!CB18)</f>
        <v>0</v>
      </c>
      <c r="CD52" s="161">
        <f>SUM(Financing!CC8,Financing!CC18)</f>
        <v>0</v>
      </c>
      <c r="CE52" s="161">
        <f>SUM(Financing!CD8,Financing!CD18)</f>
        <v>0</v>
      </c>
      <c r="CF52" s="161">
        <f>SUM(Financing!CE8,Financing!CE18)</f>
        <v>0</v>
      </c>
      <c r="CG52" s="161">
        <f>SUM(Financing!CF8,Financing!CF18)</f>
        <v>0</v>
      </c>
      <c r="CH52" s="161">
        <f>SUM(Financing!CG8,Financing!CG18)</f>
        <v>0</v>
      </c>
      <c r="CI52" s="161">
        <f>SUM(Financing!CH8,Financing!CH18)</f>
        <v>0</v>
      </c>
      <c r="CJ52" s="161">
        <f>SUM(Financing!CI8,Financing!CI18)</f>
        <v>0</v>
      </c>
      <c r="CK52" s="161">
        <f>SUM(Financing!CJ8,Financing!CJ18)</f>
        <v>0</v>
      </c>
      <c r="CL52" s="161">
        <f>SUM(Financing!CK8,Financing!CK18)</f>
        <v>0</v>
      </c>
      <c r="CM52" s="161">
        <f>SUM(Financing!CL8,Financing!CL18)</f>
        <v>0</v>
      </c>
      <c r="CN52" s="161">
        <f>SUM(Financing!CM8,Financing!CM18)</f>
        <v>0</v>
      </c>
      <c r="CO52" s="161">
        <f>SUM(Financing!CN8,Financing!CN18)</f>
        <v>0</v>
      </c>
      <c r="CP52" s="161">
        <f>SUM(Financing!CO8,Financing!CO18)</f>
        <v>0</v>
      </c>
      <c r="CQ52" s="161">
        <f>SUM(Financing!CP8,Financing!CP18)</f>
        <v>0</v>
      </c>
      <c r="CR52" s="161">
        <f>SUM(Financing!CQ8,Financing!CQ18)</f>
        <v>0</v>
      </c>
      <c r="CS52" s="161">
        <f>SUM(Financing!CR8,Financing!CR18)</f>
        <v>0</v>
      </c>
      <c r="CT52" s="161">
        <f>SUM(Financing!CS8,Financing!CS18)</f>
        <v>0</v>
      </c>
      <c r="CU52" s="161">
        <f>SUM(Financing!CT8,Financing!CT18)</f>
        <v>0</v>
      </c>
      <c r="CV52" s="161">
        <f>SUM(Financing!CU8,Financing!CU18)</f>
        <v>0</v>
      </c>
      <c r="CW52" s="161">
        <f>SUM(Financing!CV8,Financing!CV18)</f>
        <v>0</v>
      </c>
      <c r="CX52" s="161">
        <f>SUM(Financing!CW8,Financing!CW18)</f>
        <v>0</v>
      </c>
      <c r="CY52" s="161">
        <f>SUM(Financing!CX8,Financing!CX18)</f>
        <v>0</v>
      </c>
      <c r="CZ52" s="161">
        <f>SUM(Financing!CY8,Financing!CY18)</f>
        <v>0</v>
      </c>
      <c r="DA52" s="161">
        <f>SUM(Financing!CZ8,Financing!CZ18)</f>
        <v>0</v>
      </c>
      <c r="DB52" s="161">
        <f>SUM(Financing!DA8,Financing!DA18)</f>
        <v>0</v>
      </c>
      <c r="DC52" s="161">
        <f>SUM(Financing!DB8,Financing!DB18)</f>
        <v>0</v>
      </c>
      <c r="DD52" s="161">
        <f>SUM(Financing!DC8,Financing!DC18)</f>
        <v>0</v>
      </c>
      <c r="DE52" s="161">
        <f>SUM(Financing!DD8,Financing!DD18)</f>
        <v>0</v>
      </c>
      <c r="DF52" s="161">
        <f>SUM(Financing!DE8,Financing!DE18)</f>
        <v>0</v>
      </c>
      <c r="DG52" s="161">
        <f>SUM(Financing!DF8,Financing!DF18)</f>
        <v>0</v>
      </c>
      <c r="DH52" s="161">
        <f>SUM(Financing!DG8,Financing!DG18)</f>
        <v>0</v>
      </c>
      <c r="DI52" s="161">
        <f>SUM(Financing!DH8,Financing!DH18)</f>
        <v>0</v>
      </c>
      <c r="DJ52" s="161">
        <f>SUM(Financing!DI8,Financing!DI18)</f>
        <v>0</v>
      </c>
      <c r="DK52" s="161">
        <f>SUM(Financing!DJ8,Financing!DJ18)</f>
        <v>0</v>
      </c>
      <c r="DL52" s="161">
        <f>SUM(Financing!DK8,Financing!DK18)</f>
        <v>0</v>
      </c>
      <c r="DM52" s="161">
        <f>SUM(Financing!DL8,Financing!DL18)</f>
        <v>0</v>
      </c>
      <c r="DN52" s="161">
        <f>SUM(Financing!DM8,Financing!DM18)</f>
        <v>0</v>
      </c>
      <c r="DO52" s="161">
        <f>SUM(Financing!DN8,Financing!DN18)</f>
        <v>0</v>
      </c>
      <c r="DP52" s="161">
        <f>SUM(Financing!DO8,Financing!DO18)</f>
        <v>0</v>
      </c>
      <c r="DQ52" s="161">
        <f>SUM(Financing!DP8,Financing!DP18)</f>
        <v>0</v>
      </c>
      <c r="DR52" s="161">
        <f>SUM(Financing!DQ8,Financing!DQ18)</f>
        <v>0</v>
      </c>
      <c r="DS52" s="161">
        <f>SUM(Financing!DR8,Financing!DR18)</f>
        <v>-28921853.937620167</v>
      </c>
      <c r="DT52" s="161">
        <f>SUM(Financing!DS8,Financing!DS18)</f>
        <v>0</v>
      </c>
      <c r="DU52" s="161">
        <f>SUM(Financing!DT8,Financing!DT18)</f>
        <v>0</v>
      </c>
      <c r="DV52" s="161">
        <f>SUM(Financing!DU8,Financing!DU18)</f>
        <v>0</v>
      </c>
      <c r="DW52" s="161">
        <f>SUM(Financing!DV8,Financing!DV18)</f>
        <v>0</v>
      </c>
      <c r="DX52" s="161">
        <f>SUM(Financing!DW8,Financing!DW18)</f>
        <v>0</v>
      </c>
      <c r="DY52" s="161">
        <f>SUM(Financing!DX8,Financing!DX18)</f>
        <v>0</v>
      </c>
      <c r="DZ52" s="161">
        <f>SUM(Financing!DY8,Financing!DY18)</f>
        <v>0</v>
      </c>
      <c r="EA52" s="161">
        <f>SUM(Financing!DZ8,Financing!DZ18)</f>
        <v>0</v>
      </c>
      <c r="EB52" s="161">
        <f>SUM(Financing!EA8,Financing!EA18)</f>
        <v>0</v>
      </c>
      <c r="EC52" s="161">
        <f>SUM(Financing!EB8,Financing!EB18)</f>
        <v>0</v>
      </c>
      <c r="ED52" s="161">
        <f>SUM(Financing!EC8,Financing!EC18)</f>
        <v>0</v>
      </c>
      <c r="EE52" s="162">
        <f>SUM(Financing!ED8,Financing!ED18)</f>
        <v>0</v>
      </c>
    </row>
    <row r="53" spans="1:135" x14ac:dyDescent="0.35">
      <c r="A53" s="168">
        <f>SUMIF($C$1:$EE$1,"&lt;="&amp;Summary!$K$19,'Monthly CF'!C53:EE53)</f>
        <v>-560000</v>
      </c>
      <c r="B53" s="5" t="s">
        <v>186</v>
      </c>
      <c r="C53" s="160">
        <f>C50*-Summary!E8</f>
        <v>-260000</v>
      </c>
      <c r="D53" s="161">
        <f>D50*-Summary!$E$21</f>
        <v>0</v>
      </c>
      <c r="E53" s="161">
        <f>E50*-Summary!$E$21</f>
        <v>0</v>
      </c>
      <c r="F53" s="161">
        <f>F50*-Summary!$E$21</f>
        <v>0</v>
      </c>
      <c r="G53" s="161">
        <f>G50*-Summary!$E$21</f>
        <v>0</v>
      </c>
      <c r="H53" s="161">
        <f>H50*-Summary!$E$21</f>
        <v>0</v>
      </c>
      <c r="I53" s="161">
        <f>I50*-Summary!$E$21</f>
        <v>0</v>
      </c>
      <c r="J53" s="161">
        <f>J50*-Summary!$E$21</f>
        <v>0</v>
      </c>
      <c r="K53" s="161">
        <f>K50*-Summary!$E$21</f>
        <v>0</v>
      </c>
      <c r="L53" s="161">
        <f>L50*-Summary!$E$21</f>
        <v>0</v>
      </c>
      <c r="M53" s="161">
        <f>M50*-Summary!$E$21</f>
        <v>0</v>
      </c>
      <c r="N53" s="161">
        <f>N50*-Summary!$E$21</f>
        <v>0</v>
      </c>
      <c r="O53" s="161">
        <f>O50*-Summary!$E$21</f>
        <v>0</v>
      </c>
      <c r="P53" s="161">
        <f>P50*-Summary!$E$21</f>
        <v>0</v>
      </c>
      <c r="Q53" s="161">
        <f>Q50*-Summary!$E$21</f>
        <v>0</v>
      </c>
      <c r="R53" s="161">
        <f>R50*-Summary!$E$21</f>
        <v>0</v>
      </c>
      <c r="S53" s="161">
        <f>S50*-Summary!$E$21</f>
        <v>0</v>
      </c>
      <c r="T53" s="161">
        <f>T50*-Summary!$E$21</f>
        <v>0</v>
      </c>
      <c r="U53" s="161">
        <f>U50*-Summary!$E$21</f>
        <v>0</v>
      </c>
      <c r="V53" s="161">
        <f>V50*-Summary!$E$21</f>
        <v>0</v>
      </c>
      <c r="W53" s="161">
        <f>W50*-Summary!$E$21</f>
        <v>0</v>
      </c>
      <c r="X53" s="161">
        <f>X50*-Summary!$E$21</f>
        <v>0</v>
      </c>
      <c r="Y53" s="161">
        <f>Y50*-Summary!$E$21</f>
        <v>0</v>
      </c>
      <c r="Z53" s="161">
        <f>Z50*-Summary!$E$21</f>
        <v>0</v>
      </c>
      <c r="AA53" s="161">
        <f>AA50*-Summary!$E$21</f>
        <v>0</v>
      </c>
      <c r="AB53" s="161">
        <f>AB50*-Summary!$E$21</f>
        <v>0</v>
      </c>
      <c r="AC53" s="161">
        <f>AC50*-Summary!$E$21</f>
        <v>0</v>
      </c>
      <c r="AD53" s="161">
        <f>AD50*-Summary!$E$21</f>
        <v>0</v>
      </c>
      <c r="AE53" s="161">
        <f>AE50*-Summary!$E$21</f>
        <v>0</v>
      </c>
      <c r="AF53" s="161">
        <f>AF50*-Summary!$E$21</f>
        <v>0</v>
      </c>
      <c r="AG53" s="161">
        <f>AG50*-Summary!$E$21</f>
        <v>0</v>
      </c>
      <c r="AH53" s="161">
        <f>AH50*-Summary!$E$21</f>
        <v>0</v>
      </c>
      <c r="AI53" s="161">
        <f>AI50*-Summary!$E$21</f>
        <v>0</v>
      </c>
      <c r="AJ53" s="161">
        <f>AJ50*-Summary!$E$21</f>
        <v>0</v>
      </c>
      <c r="AK53" s="161">
        <f>AK50*-Summary!$E$21</f>
        <v>0</v>
      </c>
      <c r="AL53" s="161">
        <f>AL50*-Summary!$E$21</f>
        <v>0</v>
      </c>
      <c r="AM53" s="161">
        <f>AM50*-Summary!$E$21</f>
        <v>0</v>
      </c>
      <c r="AN53" s="161">
        <f>AN50*-Summary!$E$21</f>
        <v>0</v>
      </c>
      <c r="AO53" s="161">
        <f>AO50*-Summary!$E$21</f>
        <v>0</v>
      </c>
      <c r="AP53" s="161">
        <f>AP50*-Summary!$E$21</f>
        <v>0</v>
      </c>
      <c r="AQ53" s="161">
        <f>AQ50*-Summary!$E$21</f>
        <v>0</v>
      </c>
      <c r="AR53" s="161">
        <f>AR50*-Summary!$E$21</f>
        <v>0</v>
      </c>
      <c r="AS53" s="161">
        <f>AS50*-Summary!$E$21</f>
        <v>0</v>
      </c>
      <c r="AT53" s="161">
        <f>AT50*-Summary!$E$21</f>
        <v>0</v>
      </c>
      <c r="AU53" s="161">
        <f>AU50*-Summary!$E$21</f>
        <v>0</v>
      </c>
      <c r="AV53" s="161">
        <f>AV50*-Summary!$E$21</f>
        <v>0</v>
      </c>
      <c r="AW53" s="161">
        <f>AW50*-Summary!$E$21</f>
        <v>0</v>
      </c>
      <c r="AX53" s="161">
        <f>AX50*-Summary!$E$21</f>
        <v>0</v>
      </c>
      <c r="AY53" s="161">
        <f>AY50*-Summary!$E$21</f>
        <v>0</v>
      </c>
      <c r="AZ53" s="161">
        <f>AZ50*-Summary!$E$21</f>
        <v>0</v>
      </c>
      <c r="BA53" s="161">
        <f>BA50*-Summary!$E$21</f>
        <v>0</v>
      </c>
      <c r="BB53" s="161">
        <f>BB50*-Summary!$E$21</f>
        <v>0</v>
      </c>
      <c r="BC53" s="161">
        <f>BC50*-Summary!$E$21</f>
        <v>0</v>
      </c>
      <c r="BD53" s="161">
        <f>BD50*-Summary!$E$21</f>
        <v>0</v>
      </c>
      <c r="BE53" s="161">
        <f>BE50*-Summary!$E$21</f>
        <v>0</v>
      </c>
      <c r="BF53" s="161">
        <f>BF50*-Summary!$E$21</f>
        <v>0</v>
      </c>
      <c r="BG53" s="161">
        <f>BG50*-Summary!$E$21</f>
        <v>0</v>
      </c>
      <c r="BH53" s="161">
        <f>BH50*-Summary!$E$21</f>
        <v>0</v>
      </c>
      <c r="BI53" s="161">
        <f>BI50*-Summary!$E$21</f>
        <v>0</v>
      </c>
      <c r="BJ53" s="161">
        <f>BJ50*-Summary!$E$21</f>
        <v>0</v>
      </c>
      <c r="BK53" s="161">
        <f>BK50*-Summary!$E$21</f>
        <v>-300000</v>
      </c>
      <c r="BL53" s="161">
        <f>BL50*-Summary!$E$21</f>
        <v>0</v>
      </c>
      <c r="BM53" s="161">
        <f>BM50*-Summary!$E$21</f>
        <v>0</v>
      </c>
      <c r="BN53" s="161">
        <f>BN50*-Summary!$E$21</f>
        <v>0</v>
      </c>
      <c r="BO53" s="161">
        <f>BO50*-Summary!$E$21</f>
        <v>0</v>
      </c>
      <c r="BP53" s="161">
        <f>BP50*-Summary!$E$21</f>
        <v>0</v>
      </c>
      <c r="BQ53" s="161">
        <f>BQ50*-Summary!$E$21</f>
        <v>0</v>
      </c>
      <c r="BR53" s="161">
        <f>BR50*-Summary!$E$21</f>
        <v>0</v>
      </c>
      <c r="BS53" s="161">
        <f>BS50*-Summary!$E$21</f>
        <v>0</v>
      </c>
      <c r="BT53" s="161">
        <f>BT50*-Summary!$E$21</f>
        <v>0</v>
      </c>
      <c r="BU53" s="161">
        <f>BU50*-Summary!$E$21</f>
        <v>0</v>
      </c>
      <c r="BV53" s="161">
        <f>BV50*-Summary!$E$21</f>
        <v>0</v>
      </c>
      <c r="BW53" s="161">
        <f>BW50*-Summary!$E$21</f>
        <v>0</v>
      </c>
      <c r="BX53" s="161">
        <f>BX50*-Summary!$E$21</f>
        <v>0</v>
      </c>
      <c r="BY53" s="161">
        <f>BY50*-Summary!$E$21</f>
        <v>0</v>
      </c>
      <c r="BZ53" s="161">
        <f>BZ50*-Summary!$E$21</f>
        <v>0</v>
      </c>
      <c r="CA53" s="161">
        <f>CA50*-Summary!$E$21</f>
        <v>0</v>
      </c>
      <c r="CB53" s="161">
        <f>CB50*-Summary!$E$21</f>
        <v>0</v>
      </c>
      <c r="CC53" s="161">
        <f>CC50*-Summary!$E$21</f>
        <v>0</v>
      </c>
      <c r="CD53" s="161">
        <f>CD50*-Summary!$E$21</f>
        <v>0</v>
      </c>
      <c r="CE53" s="161">
        <f>CE50*-Summary!$E$21</f>
        <v>0</v>
      </c>
      <c r="CF53" s="161">
        <f>CF50*-Summary!$E$21</f>
        <v>0</v>
      </c>
      <c r="CG53" s="161">
        <f>CG50*-Summary!$E$21</f>
        <v>0</v>
      </c>
      <c r="CH53" s="161">
        <f>CH50*-Summary!$E$21</f>
        <v>0</v>
      </c>
      <c r="CI53" s="161">
        <f>CI50*-Summary!$E$21</f>
        <v>0</v>
      </c>
      <c r="CJ53" s="161">
        <f>CJ50*-Summary!$E$21</f>
        <v>0</v>
      </c>
      <c r="CK53" s="161">
        <f>CK50*-Summary!$E$21</f>
        <v>0</v>
      </c>
      <c r="CL53" s="161">
        <f>CL50*-Summary!$E$21</f>
        <v>0</v>
      </c>
      <c r="CM53" s="161">
        <f>CM50*-Summary!$E$21</f>
        <v>0</v>
      </c>
      <c r="CN53" s="161">
        <f>CN50*-Summary!$E$21</f>
        <v>0</v>
      </c>
      <c r="CO53" s="161">
        <f>CO50*-Summary!$E$21</f>
        <v>0</v>
      </c>
      <c r="CP53" s="161">
        <f>CP50*-Summary!$E$21</f>
        <v>0</v>
      </c>
      <c r="CQ53" s="161">
        <f>CQ50*-Summary!$E$21</f>
        <v>0</v>
      </c>
      <c r="CR53" s="161">
        <f>CR50*-Summary!$E$21</f>
        <v>0</v>
      </c>
      <c r="CS53" s="161">
        <f>CS50*-Summary!$E$21</f>
        <v>0</v>
      </c>
      <c r="CT53" s="161">
        <f>CT50*-Summary!$E$21</f>
        <v>0</v>
      </c>
      <c r="CU53" s="161">
        <f>CU50*-Summary!$E$21</f>
        <v>0</v>
      </c>
      <c r="CV53" s="161">
        <f>CV50*-Summary!$E$21</f>
        <v>0</v>
      </c>
      <c r="CW53" s="161">
        <f>CW50*-Summary!$E$21</f>
        <v>0</v>
      </c>
      <c r="CX53" s="161">
        <f>CX50*-Summary!$E$21</f>
        <v>0</v>
      </c>
      <c r="CY53" s="161">
        <f>CY50*-Summary!$E$21</f>
        <v>0</v>
      </c>
      <c r="CZ53" s="161">
        <f>CZ50*-Summary!$E$21</f>
        <v>0</v>
      </c>
      <c r="DA53" s="161">
        <f>DA50*-Summary!$E$21</f>
        <v>0</v>
      </c>
      <c r="DB53" s="161">
        <f>DB50*-Summary!$E$21</f>
        <v>0</v>
      </c>
      <c r="DC53" s="161">
        <f>DC50*-Summary!$E$21</f>
        <v>0</v>
      </c>
      <c r="DD53" s="161">
        <f>DD50*-Summary!$E$21</f>
        <v>0</v>
      </c>
      <c r="DE53" s="161">
        <f>DE50*-Summary!$E$21</f>
        <v>0</v>
      </c>
      <c r="DF53" s="161">
        <f>DF50*-Summary!$E$21</f>
        <v>0</v>
      </c>
      <c r="DG53" s="161">
        <f>DG50*-Summary!$E$21</f>
        <v>0</v>
      </c>
      <c r="DH53" s="161">
        <f>DH50*-Summary!$E$21</f>
        <v>0</v>
      </c>
      <c r="DI53" s="161">
        <f>DI50*-Summary!$E$21</f>
        <v>0</v>
      </c>
      <c r="DJ53" s="161">
        <f>DJ50*-Summary!$E$21</f>
        <v>0</v>
      </c>
      <c r="DK53" s="161">
        <f>DK50*-Summary!$E$21</f>
        <v>0</v>
      </c>
      <c r="DL53" s="161">
        <f>DL50*-Summary!$E$21</f>
        <v>0</v>
      </c>
      <c r="DM53" s="161">
        <f>DM50*-Summary!$E$21</f>
        <v>0</v>
      </c>
      <c r="DN53" s="161">
        <f>DN50*-Summary!$E$21</f>
        <v>0</v>
      </c>
      <c r="DO53" s="161">
        <f>DO50*-Summary!$E$21</f>
        <v>0</v>
      </c>
      <c r="DP53" s="161">
        <f>DP50*-Summary!$E$21</f>
        <v>0</v>
      </c>
      <c r="DQ53" s="161">
        <f>DQ50*-Summary!$E$21</f>
        <v>0</v>
      </c>
      <c r="DR53" s="161">
        <f>DR50*-Summary!$E$21</f>
        <v>0</v>
      </c>
      <c r="DS53" s="161">
        <f>DS50*-Summary!$E$21</f>
        <v>0</v>
      </c>
      <c r="DT53" s="161">
        <f>DT50*-Summary!$E$21</f>
        <v>0</v>
      </c>
      <c r="DU53" s="161">
        <f>DU50*-Summary!$E$21</f>
        <v>0</v>
      </c>
      <c r="DV53" s="161">
        <f>DV50*-Summary!$E$21</f>
        <v>0</v>
      </c>
      <c r="DW53" s="161">
        <f>DW50*-Summary!$E$21</f>
        <v>0</v>
      </c>
      <c r="DX53" s="161">
        <f>DX50*-Summary!$E$21</f>
        <v>0</v>
      </c>
      <c r="DY53" s="161">
        <f>DY50*-Summary!$E$21</f>
        <v>0</v>
      </c>
      <c r="DZ53" s="161">
        <f>DZ50*-Summary!$E$21</f>
        <v>0</v>
      </c>
      <c r="EA53" s="161">
        <f>EA50*-Summary!$E$21</f>
        <v>0</v>
      </c>
      <c r="EB53" s="161">
        <f>EB50*-Summary!$E$21</f>
        <v>0</v>
      </c>
      <c r="EC53" s="161">
        <f>EC50*-Summary!$E$21</f>
        <v>0</v>
      </c>
      <c r="ED53" s="161">
        <f>ED50*-Summary!$E$21</f>
        <v>0</v>
      </c>
      <c r="EE53" s="162">
        <f>EE50*-Summary!$E$21</f>
        <v>0</v>
      </c>
    </row>
    <row r="54" spans="1:135" x14ac:dyDescent="0.35">
      <c r="B54" s="5"/>
      <c r="C54" s="160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  <c r="BJ54" s="161"/>
      <c r="BK54" s="161"/>
      <c r="BL54" s="161"/>
      <c r="BM54" s="161"/>
      <c r="BN54" s="161"/>
      <c r="BO54" s="161"/>
      <c r="BP54" s="161"/>
      <c r="BQ54" s="161"/>
      <c r="BR54" s="161"/>
      <c r="BS54" s="161"/>
      <c r="BT54" s="161"/>
      <c r="BU54" s="161"/>
      <c r="BV54" s="161"/>
      <c r="BW54" s="161"/>
      <c r="BX54" s="161"/>
      <c r="BY54" s="161"/>
      <c r="BZ54" s="161"/>
      <c r="CA54" s="161"/>
      <c r="CB54" s="161"/>
      <c r="CC54" s="161"/>
      <c r="CD54" s="161"/>
      <c r="CE54" s="161"/>
      <c r="CF54" s="161"/>
      <c r="CG54" s="161"/>
      <c r="CH54" s="161"/>
      <c r="CI54" s="161"/>
      <c r="CJ54" s="161"/>
      <c r="CK54" s="161"/>
      <c r="CL54" s="161"/>
      <c r="CM54" s="161"/>
      <c r="CN54" s="161"/>
      <c r="CO54" s="161"/>
      <c r="CP54" s="161"/>
      <c r="CQ54" s="161"/>
      <c r="CR54" s="161"/>
      <c r="CS54" s="161"/>
      <c r="CT54" s="161"/>
      <c r="CU54" s="161"/>
      <c r="CV54" s="161"/>
      <c r="CW54" s="161"/>
      <c r="CX54" s="161"/>
      <c r="CY54" s="161"/>
      <c r="CZ54" s="161"/>
      <c r="DA54" s="161"/>
      <c r="DB54" s="161"/>
      <c r="DC54" s="161"/>
      <c r="DD54" s="161"/>
      <c r="DE54" s="161"/>
      <c r="DF54" s="161"/>
      <c r="DG54" s="161"/>
      <c r="DH54" s="161"/>
      <c r="DI54" s="161"/>
      <c r="DJ54" s="161"/>
      <c r="DK54" s="161"/>
      <c r="DL54" s="161"/>
      <c r="DM54" s="161"/>
      <c r="DN54" s="161"/>
      <c r="DO54" s="161"/>
      <c r="DP54" s="161"/>
      <c r="DQ54" s="161"/>
      <c r="DR54" s="161"/>
      <c r="DS54" s="161"/>
      <c r="DT54" s="161"/>
      <c r="DU54" s="161"/>
      <c r="DV54" s="161"/>
      <c r="DW54" s="161"/>
      <c r="DX54" s="161"/>
      <c r="DY54" s="161"/>
      <c r="DZ54" s="161"/>
      <c r="EA54" s="161"/>
      <c r="EB54" s="161"/>
      <c r="EC54" s="161"/>
      <c r="ED54" s="161"/>
      <c r="EE54" s="162"/>
    </row>
    <row r="55" spans="1:135" x14ac:dyDescent="0.35">
      <c r="A55" s="168">
        <f>SUMIF($C$1:$EE$1,"&lt;="&amp;Summary!$K$19,'Monthly CF'!C55:EE55)</f>
        <v>8503727.7536863182</v>
      </c>
      <c r="B55" s="14" t="s">
        <v>187</v>
      </c>
      <c r="C55" s="163"/>
      <c r="D55" s="164">
        <f>SUM(D47,D51)</f>
        <v>61962.833333333358</v>
      </c>
      <c r="E55" s="164">
        <f t="shared" ref="E55:BP55" si="24">SUM(E47,E51)</f>
        <v>-102450.12537971236</v>
      </c>
      <c r="F55" s="164">
        <f t="shared" si="24"/>
        <v>-156630.48699286458</v>
      </c>
      <c r="G55" s="164">
        <f t="shared" si="24"/>
        <v>-155807.40393757302</v>
      </c>
      <c r="H55" s="164">
        <f t="shared" si="24"/>
        <v>-154083.18065764633</v>
      </c>
      <c r="I55" s="164">
        <f t="shared" si="24"/>
        <v>-124848.16953353344</v>
      </c>
      <c r="J55" s="164">
        <f t="shared" si="24"/>
        <v>-123102.31145294312</v>
      </c>
      <c r="K55" s="164">
        <f t="shared" si="24"/>
        <v>-66345.547001404295</v>
      </c>
      <c r="L55" s="164">
        <f t="shared" si="24"/>
        <v>-64577.816460786285</v>
      </c>
      <c r="M55" s="164">
        <f t="shared" si="24"/>
        <v>36200.940192188937</v>
      </c>
      <c r="N55" s="164">
        <f t="shared" si="24"/>
        <v>37990.783287440208</v>
      </c>
      <c r="O55" s="164">
        <f t="shared" si="24"/>
        <v>39791.773463028905</v>
      </c>
      <c r="P55" s="164">
        <f t="shared" si="24"/>
        <v>53879.371666666892</v>
      </c>
      <c r="Q55" s="164">
        <f t="shared" si="24"/>
        <v>55536.685435718726</v>
      </c>
      <c r="R55" s="164">
        <f t="shared" si="24"/>
        <v>57202.566442689233</v>
      </c>
      <c r="S55" s="164">
        <f t="shared" si="24"/>
        <v>57927.83116742679</v>
      </c>
      <c r="T55" s="164">
        <f t="shared" si="24"/>
        <v>58655.524854191768</v>
      </c>
      <c r="U55" s="164">
        <f t="shared" si="24"/>
        <v>59385.655589516056</v>
      </c>
      <c r="V55" s="164">
        <f t="shared" si="24"/>
        <v>60118.231486737044</v>
      </c>
      <c r="W55" s="164">
        <f t="shared" si="24"/>
        <v>60853.260686086272</v>
      </c>
      <c r="X55" s="164">
        <f t="shared" si="24"/>
        <v>61590.751354778258</v>
      </c>
      <c r="Y55" s="164">
        <f t="shared" si="24"/>
        <v>62330.711687099581</v>
      </c>
      <c r="Z55" s="164">
        <f t="shared" si="24"/>
        <v>63073.149904498292</v>
      </c>
      <c r="AA55" s="164">
        <f t="shared" si="24"/>
        <v>63818.074255673811</v>
      </c>
      <c r="AB55" s="164">
        <f t="shared" si="24"/>
        <v>66624.86701666702</v>
      </c>
      <c r="AC55" s="164">
        <f t="shared" si="24"/>
        <v>94910.155198109933</v>
      </c>
      <c r="AD55" s="164">
        <f t="shared" si="24"/>
        <v>95467.648258567802</v>
      </c>
      <c r="AE55" s="164">
        <f t="shared" si="24"/>
        <v>96026.516247308944</v>
      </c>
      <c r="AF55" s="164">
        <f t="shared" si="24"/>
        <v>96586.762555277397</v>
      </c>
      <c r="AG55" s="164">
        <f t="shared" si="24"/>
        <v>97148.390581780244</v>
      </c>
      <c r="AH55" s="164">
        <f t="shared" si="24"/>
        <v>97711.40373450816</v>
      </c>
      <c r="AI55" s="164">
        <f t="shared" si="24"/>
        <v>98275.805429556014</v>
      </c>
      <c r="AJ55" s="164">
        <f t="shared" si="24"/>
        <v>98841.599091443859</v>
      </c>
      <c r="AK55" s="164">
        <f t="shared" si="24"/>
        <v>99408.788153137386</v>
      </c>
      <c r="AL55" s="164">
        <f t="shared" si="24"/>
        <v>99977.376056068941</v>
      </c>
      <c r="AM55" s="164">
        <f t="shared" si="24"/>
        <v>100547.3662501583</v>
      </c>
      <c r="AN55" s="164">
        <f t="shared" si="24"/>
        <v>62323.344539481128</v>
      </c>
      <c r="AO55" s="164">
        <f t="shared" si="24"/>
        <v>62896.149699700618</v>
      </c>
      <c r="AP55" s="164">
        <f t="shared" si="24"/>
        <v>63470.367551972216</v>
      </c>
      <c r="AQ55" s="164">
        <f t="shared" si="24"/>
        <v>64046.001580375625</v>
      </c>
      <c r="AR55" s="164">
        <f t="shared" si="24"/>
        <v>64623.05527758316</v>
      </c>
      <c r="AS55" s="164">
        <f t="shared" si="24"/>
        <v>65201.532144881116</v>
      </c>
      <c r="AT55" s="164">
        <f t="shared" si="24"/>
        <v>65781.435692190862</v>
      </c>
      <c r="AU55" s="164">
        <f t="shared" si="24"/>
        <v>66362.769438090152</v>
      </c>
      <c r="AV55" s="164">
        <f t="shared" si="24"/>
        <v>66945.536909834569</v>
      </c>
      <c r="AW55" s="164">
        <f t="shared" si="24"/>
        <v>67529.741643378889</v>
      </c>
      <c r="AX55" s="164">
        <f t="shared" si="24"/>
        <v>68115.387183398328</v>
      </c>
      <c r="AY55" s="164">
        <f t="shared" si="24"/>
        <v>68702.477083310514</v>
      </c>
      <c r="AZ55" s="164">
        <f t="shared" si="24"/>
        <v>67916.884180296358</v>
      </c>
      <c r="BA55" s="164">
        <f t="shared" si="24"/>
        <v>68506.873495322448</v>
      </c>
      <c r="BB55" s="164">
        <f t="shared" si="24"/>
        <v>69098.317883162177</v>
      </c>
      <c r="BC55" s="164">
        <f t="shared" si="24"/>
        <v>69691.220932417666</v>
      </c>
      <c r="BD55" s="164">
        <f t="shared" si="24"/>
        <v>70285.586240541452</v>
      </c>
      <c r="BE55" s="164">
        <f t="shared" si="24"/>
        <v>70881.417413858377</v>
      </c>
      <c r="BF55" s="164">
        <f t="shared" si="24"/>
        <v>71478.718067587324</v>
      </c>
      <c r="BG55" s="164">
        <f t="shared" si="24"/>
        <v>72077.49182586369</v>
      </c>
      <c r="BH55" s="164">
        <f t="shared" si="24"/>
        <v>72677.742321760423</v>
      </c>
      <c r="BI55" s="164">
        <f t="shared" si="24"/>
        <v>73279.473197311076</v>
      </c>
      <c r="BJ55" s="164">
        <f t="shared" si="24"/>
        <v>73882.688103531167</v>
      </c>
      <c r="BK55" s="164">
        <f t="shared" si="24"/>
        <v>74487.390700440592</v>
      </c>
      <c r="BL55" s="164">
        <f t="shared" si="24"/>
        <v>97806.206831355579</v>
      </c>
      <c r="BM55" s="164">
        <f t="shared" si="24"/>
        <v>98413.895825832442</v>
      </c>
      <c r="BN55" s="164">
        <f t="shared" si="24"/>
        <v>99023.083545307454</v>
      </c>
      <c r="BO55" s="164">
        <f t="shared" si="24"/>
        <v>99633.7736860406</v>
      </c>
      <c r="BP55" s="164">
        <f t="shared" si="24"/>
        <v>100245.96995340797</v>
      </c>
      <c r="BQ55" s="164">
        <f t="shared" ref="BQ55:EB55" si="25">SUM(BQ47,BQ51)</f>
        <v>100859.67606192443</v>
      </c>
      <c r="BR55" s="164">
        <f t="shared" si="25"/>
        <v>101474.89573526528</v>
      </c>
      <c r="BS55" s="164">
        <f t="shared" si="25"/>
        <v>102091.63270628982</v>
      </c>
      <c r="BT55" s="164">
        <f t="shared" si="25"/>
        <v>102709.89071706356</v>
      </c>
      <c r="BU55" s="164">
        <f t="shared" si="25"/>
        <v>103329.67351888074</v>
      </c>
      <c r="BV55" s="164">
        <f t="shared" si="25"/>
        <v>103950.98487228743</v>
      </c>
      <c r="BW55" s="164">
        <f t="shared" si="25"/>
        <v>104573.8285471042</v>
      </c>
      <c r="BX55" s="164">
        <f t="shared" si="25"/>
        <v>103740.39303629647</v>
      </c>
      <c r="BY55" s="164">
        <f t="shared" si="25"/>
        <v>104366.3127006077</v>
      </c>
      <c r="BZ55" s="164">
        <f t="shared" si="25"/>
        <v>104993.77605166682</v>
      </c>
      <c r="CA55" s="164">
        <f t="shared" si="25"/>
        <v>105622.78689662198</v>
      </c>
      <c r="CB55" s="164">
        <f t="shared" si="25"/>
        <v>106253.34905201051</v>
      </c>
      <c r="CC55" s="164">
        <f t="shared" si="25"/>
        <v>106885.46634378238</v>
      </c>
      <c r="CD55" s="164">
        <f t="shared" si="25"/>
        <v>107519.14260732359</v>
      </c>
      <c r="CE55" s="164">
        <f t="shared" si="25"/>
        <v>108154.38168747889</v>
      </c>
      <c r="CF55" s="164">
        <f t="shared" si="25"/>
        <v>108791.18743857578</v>
      </c>
      <c r="CG55" s="164">
        <f t="shared" si="25"/>
        <v>109429.56372444748</v>
      </c>
      <c r="CH55" s="164">
        <f t="shared" si="25"/>
        <v>110069.51441845635</v>
      </c>
      <c r="CI55" s="164">
        <f t="shared" si="25"/>
        <v>110711.0434035176</v>
      </c>
      <c r="CJ55" s="164">
        <f t="shared" si="25"/>
        <v>109852.60482738572</v>
      </c>
      <c r="CK55" s="164">
        <f t="shared" si="25"/>
        <v>110497.30208162623</v>
      </c>
      <c r="CL55" s="164">
        <f t="shared" si="25"/>
        <v>111143.58933321718</v>
      </c>
      <c r="CM55" s="164">
        <f t="shared" si="25"/>
        <v>111791.47050352098</v>
      </c>
      <c r="CN55" s="164">
        <f t="shared" si="25"/>
        <v>112440.94952357112</v>
      </c>
      <c r="CO55" s="164">
        <f t="shared" si="25"/>
        <v>113092.0303340962</v>
      </c>
      <c r="CP55" s="164">
        <f t="shared" si="25"/>
        <v>113744.7168855436</v>
      </c>
      <c r="CQ55" s="164">
        <f t="shared" si="25"/>
        <v>114399.01313810362</v>
      </c>
      <c r="CR55" s="164">
        <f t="shared" si="25"/>
        <v>115054.92306173345</v>
      </c>
      <c r="CS55" s="164">
        <f t="shared" si="25"/>
        <v>115712.45063618128</v>
      </c>
      <c r="CT55" s="164">
        <f t="shared" si="25"/>
        <v>116371.59985101043</v>
      </c>
      <c r="CU55" s="164">
        <f t="shared" si="25"/>
        <v>117032.37470562349</v>
      </c>
      <c r="CV55" s="164">
        <f t="shared" si="25"/>
        <v>72923.594332569861</v>
      </c>
      <c r="CW55" s="164">
        <f t="shared" si="25"/>
        <v>73587.632504437672</v>
      </c>
      <c r="CX55" s="164">
        <f t="shared" si="25"/>
        <v>74253.308373576292</v>
      </c>
      <c r="CY55" s="164">
        <f t="shared" si="25"/>
        <v>74920.625978989236</v>
      </c>
      <c r="CZ55" s="164">
        <f t="shared" si="25"/>
        <v>75589.589369640773</v>
      </c>
      <c r="DA55" s="164">
        <f t="shared" si="25"/>
        <v>76260.20260448163</v>
      </c>
      <c r="DB55" s="164">
        <f t="shared" si="25"/>
        <v>76932.469752472389</v>
      </c>
      <c r="DC55" s="164">
        <f t="shared" si="25"/>
        <v>77606.394892609242</v>
      </c>
      <c r="DD55" s="164">
        <f t="shared" si="25"/>
        <v>78281.982113947946</v>
      </c>
      <c r="DE55" s="164">
        <f t="shared" si="25"/>
        <v>78959.235515629203</v>
      </c>
      <c r="DF55" s="164">
        <f t="shared" si="25"/>
        <v>79638.159206903307</v>
      </c>
      <c r="DG55" s="164">
        <f t="shared" si="25"/>
        <v>80318.757307154796</v>
      </c>
      <c r="DH55" s="164">
        <f t="shared" si="25"/>
        <v>79408.039821736485</v>
      </c>
      <c r="DI55" s="164">
        <f t="shared" si="25"/>
        <v>80091.999138760293</v>
      </c>
      <c r="DJ55" s="164">
        <f t="shared" si="25"/>
        <v>80777.645283973165</v>
      </c>
      <c r="DK55" s="164">
        <f t="shared" si="25"/>
        <v>81464.982417548454</v>
      </c>
      <c r="DL55" s="164">
        <f t="shared" si="25"/>
        <v>82154.014709919604</v>
      </c>
      <c r="DM55" s="164">
        <f t="shared" si="25"/>
        <v>82844.746341805585</v>
      </c>
      <c r="DN55" s="164">
        <f t="shared" si="25"/>
        <v>83537.181504236185</v>
      </c>
      <c r="DO55" s="164">
        <f t="shared" si="25"/>
        <v>84231.32439857701</v>
      </c>
      <c r="DP55" s="164">
        <f t="shared" si="25"/>
        <v>84927.179236555967</v>
      </c>
      <c r="DQ55" s="164">
        <f t="shared" si="25"/>
        <v>85624.750240287685</v>
      </c>
      <c r="DR55" s="164">
        <f t="shared" si="25"/>
        <v>86324.041642299882</v>
      </c>
      <c r="DS55" s="164">
        <f t="shared" si="25"/>
        <v>87025.057685558917</v>
      </c>
      <c r="DT55" s="164">
        <f t="shared" si="25"/>
        <v>0</v>
      </c>
      <c r="DU55" s="164">
        <f t="shared" si="25"/>
        <v>0</v>
      </c>
      <c r="DV55" s="164">
        <f t="shared" si="25"/>
        <v>0</v>
      </c>
      <c r="DW55" s="164">
        <f t="shared" si="25"/>
        <v>0</v>
      </c>
      <c r="DX55" s="164">
        <f t="shared" si="25"/>
        <v>0</v>
      </c>
      <c r="DY55" s="164">
        <f t="shared" si="25"/>
        <v>0</v>
      </c>
      <c r="DZ55" s="164">
        <f t="shared" si="25"/>
        <v>0</v>
      </c>
      <c r="EA55" s="164">
        <f t="shared" si="25"/>
        <v>0</v>
      </c>
      <c r="EB55" s="164">
        <f t="shared" si="25"/>
        <v>0</v>
      </c>
      <c r="EC55" s="164">
        <f t="shared" ref="EC55:EE55" si="26">SUM(EC47,EC51)</f>
        <v>0</v>
      </c>
      <c r="ED55" s="164">
        <f t="shared" si="26"/>
        <v>0</v>
      </c>
      <c r="EE55" s="165">
        <f t="shared" si="26"/>
        <v>0</v>
      </c>
    </row>
    <row r="56" spans="1:135" x14ac:dyDescent="0.35">
      <c r="B56" s="5"/>
      <c r="C56" s="160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  <c r="CC56" s="161"/>
      <c r="CD56" s="161"/>
      <c r="CE56" s="161"/>
      <c r="CF56" s="161"/>
      <c r="CG56" s="161"/>
      <c r="CH56" s="161"/>
      <c r="CI56" s="161"/>
      <c r="CJ56" s="161"/>
      <c r="CK56" s="161"/>
      <c r="CL56" s="161"/>
      <c r="CM56" s="161"/>
      <c r="CN56" s="161"/>
      <c r="CO56" s="161"/>
      <c r="CP56" s="161"/>
      <c r="CQ56" s="161"/>
      <c r="CR56" s="161"/>
      <c r="CS56" s="161"/>
      <c r="CT56" s="161"/>
      <c r="CU56" s="161"/>
      <c r="CV56" s="161"/>
      <c r="CW56" s="161"/>
      <c r="CX56" s="161"/>
      <c r="CY56" s="161"/>
      <c r="CZ56" s="161"/>
      <c r="DA56" s="161"/>
      <c r="DB56" s="161"/>
      <c r="DC56" s="161"/>
      <c r="DD56" s="161"/>
      <c r="DE56" s="161"/>
      <c r="DF56" s="161"/>
      <c r="DG56" s="161"/>
      <c r="DH56" s="161"/>
      <c r="DI56" s="161"/>
      <c r="DJ56" s="161"/>
      <c r="DK56" s="161"/>
      <c r="DL56" s="161"/>
      <c r="DM56" s="161"/>
      <c r="DN56" s="161"/>
      <c r="DO56" s="161"/>
      <c r="DP56" s="161"/>
      <c r="DQ56" s="161"/>
      <c r="DR56" s="161"/>
      <c r="DS56" s="161"/>
      <c r="DT56" s="161"/>
      <c r="DU56" s="161"/>
      <c r="DV56" s="161"/>
      <c r="DW56" s="161"/>
      <c r="DX56" s="161"/>
      <c r="DY56" s="161"/>
      <c r="DZ56" s="161"/>
      <c r="EA56" s="161"/>
      <c r="EB56" s="161"/>
      <c r="EC56" s="161"/>
      <c r="ED56" s="161"/>
      <c r="EE56" s="162"/>
    </row>
    <row r="57" spans="1:135" x14ac:dyDescent="0.35">
      <c r="B57" s="156" t="s">
        <v>188</v>
      </c>
      <c r="C57" s="160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61"/>
      <c r="BP57" s="161"/>
      <c r="BQ57" s="161"/>
      <c r="BR57" s="161"/>
      <c r="BS57" s="161"/>
      <c r="BT57" s="161"/>
      <c r="BU57" s="161"/>
      <c r="BV57" s="161"/>
      <c r="BW57" s="161"/>
      <c r="BX57" s="161"/>
      <c r="BY57" s="161"/>
      <c r="BZ57" s="161"/>
      <c r="CA57" s="161"/>
      <c r="CB57" s="161"/>
      <c r="CC57" s="161"/>
      <c r="CD57" s="161"/>
      <c r="CE57" s="161"/>
      <c r="CF57" s="161"/>
      <c r="CG57" s="161"/>
      <c r="CH57" s="161"/>
      <c r="CI57" s="161"/>
      <c r="CJ57" s="161"/>
      <c r="CK57" s="161"/>
      <c r="CL57" s="161"/>
      <c r="CM57" s="161"/>
      <c r="CN57" s="161"/>
      <c r="CO57" s="161"/>
      <c r="CP57" s="161"/>
      <c r="CQ57" s="161"/>
      <c r="CR57" s="161"/>
      <c r="CS57" s="161"/>
      <c r="CT57" s="161"/>
      <c r="CU57" s="161"/>
      <c r="CV57" s="161"/>
      <c r="CW57" s="161"/>
      <c r="CX57" s="161"/>
      <c r="CY57" s="161"/>
      <c r="CZ57" s="161"/>
      <c r="DA57" s="161"/>
      <c r="DB57" s="161"/>
      <c r="DC57" s="161"/>
      <c r="DD57" s="161"/>
      <c r="DE57" s="161"/>
      <c r="DF57" s="161"/>
      <c r="DG57" s="161"/>
      <c r="DH57" s="161"/>
      <c r="DI57" s="161"/>
      <c r="DJ57" s="161"/>
      <c r="DK57" s="161"/>
      <c r="DL57" s="161"/>
      <c r="DM57" s="161"/>
      <c r="DN57" s="161"/>
      <c r="DO57" s="161"/>
      <c r="DP57" s="161"/>
      <c r="DQ57" s="161"/>
      <c r="DR57" s="161"/>
      <c r="DS57" s="161"/>
      <c r="DT57" s="161"/>
      <c r="DU57" s="161"/>
      <c r="DV57" s="161"/>
      <c r="DW57" s="161"/>
      <c r="DX57" s="161"/>
      <c r="DY57" s="161"/>
      <c r="DZ57" s="161"/>
      <c r="EA57" s="161"/>
      <c r="EB57" s="161"/>
      <c r="EC57" s="161"/>
      <c r="ED57" s="161"/>
      <c r="EE57" s="162"/>
    </row>
    <row r="58" spans="1:135" x14ac:dyDescent="0.35">
      <c r="A58" s="168">
        <f>SUMIF($C$1:$EE$1,"&lt;="&amp;Summary!$K$19,'Monthly CF'!C58:EE58)</f>
        <v>-300000</v>
      </c>
      <c r="B58" s="5" t="s">
        <v>189</v>
      </c>
      <c r="C58" s="160">
        <f>-Summary!B23</f>
        <v>-300000</v>
      </c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1"/>
      <c r="BV58" s="161"/>
      <c r="BW58" s="161"/>
      <c r="BX58" s="161"/>
      <c r="BY58" s="161"/>
      <c r="BZ58" s="161"/>
      <c r="CA58" s="161"/>
      <c r="CB58" s="161"/>
      <c r="CC58" s="161"/>
      <c r="CD58" s="161"/>
      <c r="CE58" s="161"/>
      <c r="CF58" s="161"/>
      <c r="CG58" s="161"/>
      <c r="CH58" s="161"/>
      <c r="CI58" s="161"/>
      <c r="CJ58" s="161"/>
      <c r="CK58" s="161"/>
      <c r="CL58" s="161"/>
      <c r="CM58" s="161"/>
      <c r="CN58" s="161"/>
      <c r="CO58" s="161"/>
      <c r="CP58" s="161"/>
      <c r="CQ58" s="161"/>
      <c r="CR58" s="161"/>
      <c r="CS58" s="161"/>
      <c r="CT58" s="161"/>
      <c r="CU58" s="161"/>
      <c r="CV58" s="161"/>
      <c r="CW58" s="161"/>
      <c r="CX58" s="161"/>
      <c r="CY58" s="161"/>
      <c r="CZ58" s="161"/>
      <c r="DA58" s="161"/>
      <c r="DB58" s="161"/>
      <c r="DC58" s="161"/>
      <c r="DD58" s="161"/>
      <c r="DE58" s="161"/>
      <c r="DF58" s="161"/>
      <c r="DG58" s="161"/>
      <c r="DH58" s="161"/>
      <c r="DI58" s="161"/>
      <c r="DJ58" s="161"/>
      <c r="DK58" s="161"/>
      <c r="DL58" s="161"/>
      <c r="DM58" s="161"/>
      <c r="DN58" s="161"/>
      <c r="DO58" s="161"/>
      <c r="DP58" s="161"/>
      <c r="DQ58" s="161"/>
      <c r="DR58" s="161"/>
      <c r="DS58" s="161"/>
      <c r="DT58" s="161"/>
      <c r="DU58" s="161"/>
      <c r="DV58" s="161"/>
      <c r="DW58" s="161"/>
      <c r="DX58" s="161"/>
      <c r="DY58" s="161"/>
      <c r="DZ58" s="161"/>
      <c r="EA58" s="161"/>
      <c r="EB58" s="161"/>
      <c r="EC58" s="161"/>
      <c r="ED58" s="161"/>
      <c r="EE58" s="162">
        <v>0</v>
      </c>
    </row>
    <row r="59" spans="1:135" x14ac:dyDescent="0.35">
      <c r="A59" s="168">
        <f>SUMIF($C$1:$EE$1,"&lt;="&amp;Summary!$K$19,'Monthly CF'!C59:EE59)</f>
        <v>300000</v>
      </c>
      <c r="B59" s="5" t="s">
        <v>190</v>
      </c>
      <c r="C59" s="160"/>
      <c r="D59" s="161">
        <f>IF(D1=Summary!$K$19,'Monthly CF'!D69,IF('Monthly CF'!D55&lt;0,MIN(-'Monthly CF'!D55,'Monthly CF'!D69),0))</f>
        <v>0</v>
      </c>
      <c r="E59" s="161">
        <f>IF(E1=Summary!$K$19,'Monthly CF'!E69,IF('Monthly CF'!E55&lt;0,MIN(-'Monthly CF'!E55,'Monthly CF'!E69),0))</f>
        <v>102450.12537971236</v>
      </c>
      <c r="F59" s="161">
        <f>IF(F1=Summary!$K$19,'Monthly CF'!F69,IF('Monthly CF'!F55&lt;0,MIN(-'Monthly CF'!F55,'Monthly CF'!F69),0))</f>
        <v>156630.48699286458</v>
      </c>
      <c r="G59" s="161">
        <f>IF(G1=Summary!$K$19,'Monthly CF'!G69,IF('Monthly CF'!G55&lt;0,MIN(-'Monthly CF'!G55,'Monthly CF'!G69),0))</f>
        <v>40919.387627423042</v>
      </c>
      <c r="H59" s="161">
        <f>IF(H1=Summary!$K$19,'Monthly CF'!H69,IF('Monthly CF'!H55&lt;0,MIN(-'Monthly CF'!H55,'Monthly CF'!H69),0))</f>
        <v>0</v>
      </c>
      <c r="I59" s="161">
        <f>IF(I1=Summary!$K$19,'Monthly CF'!I69,IF('Monthly CF'!I55&lt;0,MIN(-'Monthly CF'!I55,'Monthly CF'!I69),0))</f>
        <v>0</v>
      </c>
      <c r="J59" s="161">
        <f>IF(J1=Summary!$K$19,'Monthly CF'!J69,IF('Monthly CF'!J55&lt;0,MIN(-'Monthly CF'!J55,'Monthly CF'!J69),0))</f>
        <v>0</v>
      </c>
      <c r="K59" s="161">
        <f>IF(K1=Summary!$K$19,'Monthly CF'!K69,IF('Monthly CF'!K55&lt;0,MIN(-'Monthly CF'!K55,'Monthly CF'!K69),0))</f>
        <v>0</v>
      </c>
      <c r="L59" s="161">
        <f>IF(L1=Summary!$K$19,'Monthly CF'!L69,IF('Monthly CF'!L55&lt;0,MIN(-'Monthly CF'!L55,'Monthly CF'!L69),0))</f>
        <v>0</v>
      </c>
      <c r="M59" s="161">
        <f>IF(M1=Summary!$K$19,'Monthly CF'!M69,IF('Monthly CF'!M55&lt;0,MIN(-'Monthly CF'!M55,'Monthly CF'!M69),0))</f>
        <v>0</v>
      </c>
      <c r="N59" s="161">
        <f>IF(N1=Summary!$K$19,'Monthly CF'!N69,IF('Monthly CF'!N55&lt;0,MIN(-'Monthly CF'!N55,'Monthly CF'!N69),0))</f>
        <v>0</v>
      </c>
      <c r="O59" s="161">
        <f>IF(O1=Summary!$K$19,'Monthly CF'!O69,IF('Monthly CF'!O55&lt;0,MIN(-'Monthly CF'!O55,'Monthly CF'!O69),0))</f>
        <v>0</v>
      </c>
      <c r="P59" s="161">
        <f>IF(P1=Summary!$K$19,'Monthly CF'!P69,IF('Monthly CF'!P55&lt;0,MIN(-'Monthly CF'!P55,'Monthly CF'!P69),0))</f>
        <v>0</v>
      </c>
      <c r="Q59" s="161">
        <f>IF(Q1=Summary!$K$19,'Monthly CF'!Q69,IF('Monthly CF'!Q55&lt;0,MIN(-'Monthly CF'!Q55,'Monthly CF'!Q69),0))</f>
        <v>0</v>
      </c>
      <c r="R59" s="161">
        <f>IF(R1=Summary!$K$19,'Monthly CF'!R69,IF('Monthly CF'!R55&lt;0,MIN(-'Monthly CF'!R55,'Monthly CF'!R69),0))</f>
        <v>0</v>
      </c>
      <c r="S59" s="161">
        <f>IF(S1=Summary!$K$19,'Monthly CF'!S69,IF('Monthly CF'!S55&lt;0,MIN(-'Monthly CF'!S55,'Monthly CF'!S69),0))</f>
        <v>0</v>
      </c>
      <c r="T59" s="161">
        <f>IF(T1=Summary!$K$19,'Monthly CF'!T69,IF('Monthly CF'!T55&lt;0,MIN(-'Monthly CF'!T55,'Monthly CF'!T69),0))</f>
        <v>0</v>
      </c>
      <c r="U59" s="161">
        <f>IF(U1=Summary!$K$19,'Monthly CF'!U69,IF('Monthly CF'!U55&lt;0,MIN(-'Monthly CF'!U55,'Monthly CF'!U69),0))</f>
        <v>0</v>
      </c>
      <c r="V59" s="161">
        <f>IF(V1=Summary!$K$19,'Monthly CF'!V69,IF('Monthly CF'!V55&lt;0,MIN(-'Monthly CF'!V55,'Monthly CF'!V69),0))</f>
        <v>0</v>
      </c>
      <c r="W59" s="161">
        <f>IF(W1=Summary!$K$19,'Monthly CF'!W69,IF('Monthly CF'!W55&lt;0,MIN(-'Monthly CF'!W55,'Monthly CF'!W69),0))</f>
        <v>0</v>
      </c>
      <c r="X59" s="161">
        <f>IF(X1=Summary!$K$19,'Monthly CF'!X69,IF('Monthly CF'!X55&lt;0,MIN(-'Monthly CF'!X55,'Monthly CF'!X69),0))</f>
        <v>0</v>
      </c>
      <c r="Y59" s="161">
        <f>IF(Y1=Summary!$K$19,'Monthly CF'!Y69,IF('Monthly CF'!Y55&lt;0,MIN(-'Monthly CF'!Y55,'Monthly CF'!Y69),0))</f>
        <v>0</v>
      </c>
      <c r="Z59" s="161">
        <f>IF(Z1=Summary!$K$19,'Monthly CF'!Z69,IF('Monthly CF'!Z55&lt;0,MIN(-'Monthly CF'!Z55,'Monthly CF'!Z69),0))</f>
        <v>0</v>
      </c>
      <c r="AA59" s="161">
        <f>IF(AA1=Summary!$K$19,'Monthly CF'!AA69,IF('Monthly CF'!AA55&lt;0,MIN(-'Monthly CF'!AA55,'Monthly CF'!AA69),0))</f>
        <v>0</v>
      </c>
      <c r="AB59" s="161">
        <f>IF(AB1=Summary!$K$19,'Monthly CF'!AB69,IF('Monthly CF'!AB55&lt;0,MIN(-'Monthly CF'!AB55,'Monthly CF'!AB69),0))</f>
        <v>0</v>
      </c>
      <c r="AC59" s="161">
        <f>IF(AC1=Summary!$K$19,'Monthly CF'!AC69,IF('Monthly CF'!AC55&lt;0,MIN(-'Monthly CF'!AC55,'Monthly CF'!AC69),0))</f>
        <v>0</v>
      </c>
      <c r="AD59" s="161">
        <f>IF(AD1=Summary!$K$19,'Monthly CF'!AD69,IF('Monthly CF'!AD55&lt;0,MIN(-'Monthly CF'!AD55,'Monthly CF'!AD69),0))</f>
        <v>0</v>
      </c>
      <c r="AE59" s="161">
        <f>IF(AE1=Summary!$K$19,'Monthly CF'!AE69,IF('Monthly CF'!AE55&lt;0,MIN(-'Monthly CF'!AE55,'Monthly CF'!AE69),0))</f>
        <v>0</v>
      </c>
      <c r="AF59" s="161">
        <f>IF(AF1=Summary!$K$19,'Monthly CF'!AF69,IF('Monthly CF'!AF55&lt;0,MIN(-'Monthly CF'!AF55,'Monthly CF'!AF69),0))</f>
        <v>0</v>
      </c>
      <c r="AG59" s="161">
        <f>IF(AG1=Summary!$K$19,'Monthly CF'!AG69,IF('Monthly CF'!AG55&lt;0,MIN(-'Monthly CF'!AG55,'Monthly CF'!AG69),0))</f>
        <v>0</v>
      </c>
      <c r="AH59" s="161">
        <f>IF(AH1=Summary!$K$19,'Monthly CF'!AH69,IF('Monthly CF'!AH55&lt;0,MIN(-'Monthly CF'!AH55,'Monthly CF'!AH69),0))</f>
        <v>0</v>
      </c>
      <c r="AI59" s="161">
        <f>IF(AI1=Summary!$K$19,'Monthly CF'!AI69,IF('Monthly CF'!AI55&lt;0,MIN(-'Monthly CF'!AI55,'Monthly CF'!AI69),0))</f>
        <v>0</v>
      </c>
      <c r="AJ59" s="161">
        <f>IF(AJ1=Summary!$K$19,'Monthly CF'!AJ69,IF('Monthly CF'!AJ55&lt;0,MIN(-'Monthly CF'!AJ55,'Monthly CF'!AJ69),0))</f>
        <v>0</v>
      </c>
      <c r="AK59" s="161">
        <f>IF(AK1=Summary!$K$19,'Monthly CF'!AK69,IF('Monthly CF'!AK55&lt;0,MIN(-'Monthly CF'!AK55,'Monthly CF'!AK69),0))</f>
        <v>0</v>
      </c>
      <c r="AL59" s="161">
        <f>IF(AL1=Summary!$K$19,'Monthly CF'!AL69,IF('Monthly CF'!AL55&lt;0,MIN(-'Monthly CF'!AL55,'Monthly CF'!AL69),0))</f>
        <v>0</v>
      </c>
      <c r="AM59" s="161">
        <f>IF(AM1=Summary!$K$19,'Monthly CF'!AM69,IF('Monthly CF'!AM55&lt;0,MIN(-'Monthly CF'!AM55,'Monthly CF'!AM69),0))</f>
        <v>0</v>
      </c>
      <c r="AN59" s="161">
        <f>IF(AN1=Summary!$K$19,'Monthly CF'!AN69,IF('Monthly CF'!AN55&lt;0,MIN(-'Monthly CF'!AN55,'Monthly CF'!AN69),0))</f>
        <v>0</v>
      </c>
      <c r="AO59" s="161">
        <f>IF(AO1=Summary!$K$19,'Monthly CF'!AO69,IF('Monthly CF'!AO55&lt;0,MIN(-'Monthly CF'!AO55,'Monthly CF'!AO69),0))</f>
        <v>0</v>
      </c>
      <c r="AP59" s="161">
        <f>IF(AP1=Summary!$K$19,'Monthly CF'!AP69,IF('Monthly CF'!AP55&lt;0,MIN(-'Monthly CF'!AP55,'Monthly CF'!AP69),0))</f>
        <v>0</v>
      </c>
      <c r="AQ59" s="161">
        <f>IF(AQ1=Summary!$K$19,'Monthly CF'!AQ69,IF('Monthly CF'!AQ55&lt;0,MIN(-'Monthly CF'!AQ55,'Monthly CF'!AQ69),0))</f>
        <v>0</v>
      </c>
      <c r="AR59" s="161">
        <f>IF(AR1=Summary!$K$19,'Monthly CF'!AR69,IF('Monthly CF'!AR55&lt;0,MIN(-'Monthly CF'!AR55,'Monthly CF'!AR69),0))</f>
        <v>0</v>
      </c>
      <c r="AS59" s="161">
        <f>IF(AS1=Summary!$K$19,'Monthly CF'!AS69,IF('Monthly CF'!AS55&lt;0,MIN(-'Monthly CF'!AS55,'Monthly CF'!AS69),0))</f>
        <v>0</v>
      </c>
      <c r="AT59" s="161">
        <f>IF(AT1=Summary!$K$19,'Monthly CF'!AT69,IF('Monthly CF'!AT55&lt;0,MIN(-'Monthly CF'!AT55,'Monthly CF'!AT69),0))</f>
        <v>0</v>
      </c>
      <c r="AU59" s="161">
        <f>IF(AU1=Summary!$K$19,'Monthly CF'!AU69,IF('Monthly CF'!AU55&lt;0,MIN(-'Monthly CF'!AU55,'Monthly CF'!AU69),0))</f>
        <v>0</v>
      </c>
      <c r="AV59" s="161">
        <f>IF(AV1=Summary!$K$19,'Monthly CF'!AV69,IF('Monthly CF'!AV55&lt;0,MIN(-'Monthly CF'!AV55,'Monthly CF'!AV69),0))</f>
        <v>0</v>
      </c>
      <c r="AW59" s="161">
        <f>IF(AW1=Summary!$K$19,'Monthly CF'!AW69,IF('Monthly CF'!AW55&lt;0,MIN(-'Monthly CF'!AW55,'Monthly CF'!AW69),0))</f>
        <v>0</v>
      </c>
      <c r="AX59" s="161">
        <f>IF(AX1=Summary!$K$19,'Monthly CF'!AX69,IF('Monthly CF'!AX55&lt;0,MIN(-'Monthly CF'!AX55,'Monthly CF'!AX69),0))</f>
        <v>0</v>
      </c>
      <c r="AY59" s="161">
        <f>IF(AY1=Summary!$K$19,'Monthly CF'!AY69,IF('Monthly CF'!AY55&lt;0,MIN(-'Monthly CF'!AY55,'Monthly CF'!AY69),0))</f>
        <v>0</v>
      </c>
      <c r="AZ59" s="161">
        <f>IF(AZ1=Summary!$K$19,'Monthly CF'!AZ69,IF('Monthly CF'!AZ55&lt;0,MIN(-'Monthly CF'!AZ55,'Monthly CF'!AZ69),0))</f>
        <v>0</v>
      </c>
      <c r="BA59" s="161">
        <f>IF(BA1=Summary!$K$19,'Monthly CF'!BA69,IF('Monthly CF'!BA55&lt;0,MIN(-'Monthly CF'!BA55,'Monthly CF'!BA69),0))</f>
        <v>0</v>
      </c>
      <c r="BB59" s="161">
        <f>IF(BB1=Summary!$K$19,'Monthly CF'!BB69,IF('Monthly CF'!BB55&lt;0,MIN(-'Monthly CF'!BB55,'Monthly CF'!BB69),0))</f>
        <v>0</v>
      </c>
      <c r="BC59" s="161">
        <f>IF(BC1=Summary!$K$19,'Monthly CF'!BC69,IF('Monthly CF'!BC55&lt;0,MIN(-'Monthly CF'!BC55,'Monthly CF'!BC69),0))</f>
        <v>0</v>
      </c>
      <c r="BD59" s="161">
        <f>IF(BD1=Summary!$K$19,'Monthly CF'!BD69,IF('Monthly CF'!BD55&lt;0,MIN(-'Monthly CF'!BD55,'Monthly CF'!BD69),0))</f>
        <v>0</v>
      </c>
      <c r="BE59" s="161">
        <f>IF(BE1=Summary!$K$19,'Monthly CF'!BE69,IF('Monthly CF'!BE55&lt;0,MIN(-'Monthly CF'!BE55,'Monthly CF'!BE69),0))</f>
        <v>0</v>
      </c>
      <c r="BF59" s="161">
        <f>IF(BF1=Summary!$K$19,'Monthly CF'!BF69,IF('Monthly CF'!BF55&lt;0,MIN(-'Monthly CF'!BF55,'Monthly CF'!BF69),0))</f>
        <v>0</v>
      </c>
      <c r="BG59" s="161">
        <f>IF(BG1=Summary!$K$19,'Monthly CF'!BG69,IF('Monthly CF'!BG55&lt;0,MIN(-'Monthly CF'!BG55,'Monthly CF'!BG69),0))</f>
        <v>0</v>
      </c>
      <c r="BH59" s="161">
        <f>IF(BH1=Summary!$K$19,'Monthly CF'!BH69,IF('Monthly CF'!BH55&lt;0,MIN(-'Monthly CF'!BH55,'Monthly CF'!BH69),0))</f>
        <v>0</v>
      </c>
      <c r="BI59" s="161">
        <f>IF(BI1=Summary!$K$19,'Monthly CF'!BI69,IF('Monthly CF'!BI55&lt;0,MIN(-'Monthly CF'!BI55,'Monthly CF'!BI69),0))</f>
        <v>0</v>
      </c>
      <c r="BJ59" s="161">
        <f>IF(BJ1=Summary!$K$19,'Monthly CF'!BJ69,IF('Monthly CF'!BJ55&lt;0,MIN(-'Monthly CF'!BJ55,'Monthly CF'!BJ69),0))</f>
        <v>0</v>
      </c>
      <c r="BK59" s="161">
        <f>IF(BK1=Summary!$K$19,'Monthly CF'!BK69,IF('Monthly CF'!BK55&lt;0,MIN(-'Monthly CF'!BK55,'Monthly CF'!BK69),0))</f>
        <v>0</v>
      </c>
      <c r="BL59" s="161">
        <f>IF(BL1=Summary!$K$19,'Monthly CF'!BL69,IF('Monthly CF'!BL55&lt;0,MIN(-'Monthly CF'!BL55,'Monthly CF'!BL69),0))</f>
        <v>0</v>
      </c>
      <c r="BM59" s="161">
        <f>IF(BM1=Summary!$K$19,'Monthly CF'!BM69,IF('Monthly CF'!BM55&lt;0,MIN(-'Monthly CF'!BM55,'Monthly CF'!BM69),0))</f>
        <v>0</v>
      </c>
      <c r="BN59" s="161">
        <f>IF(BN1=Summary!$K$19,'Monthly CF'!BN69,IF('Monthly CF'!BN55&lt;0,MIN(-'Monthly CF'!BN55,'Monthly CF'!BN69),0))</f>
        <v>0</v>
      </c>
      <c r="BO59" s="161">
        <f>IF(BO1=Summary!$K$19,'Monthly CF'!BO69,IF('Monthly CF'!BO55&lt;0,MIN(-'Monthly CF'!BO55,'Monthly CF'!BO69),0))</f>
        <v>0</v>
      </c>
      <c r="BP59" s="161">
        <f>IF(BP1=Summary!$K$19,'Monthly CF'!BP69,IF('Monthly CF'!BP55&lt;0,MIN(-'Monthly CF'!BP55,'Monthly CF'!BP69),0))</f>
        <v>0</v>
      </c>
      <c r="BQ59" s="161">
        <f>IF(BQ1=Summary!$K$19,'Monthly CF'!BQ69,IF('Monthly CF'!BQ55&lt;0,MIN(-'Monthly CF'!BQ55,'Monthly CF'!BQ69),0))</f>
        <v>0</v>
      </c>
      <c r="BR59" s="161">
        <f>IF(BR1=Summary!$K$19,'Monthly CF'!BR69,IF('Monthly CF'!BR55&lt;0,MIN(-'Monthly CF'!BR55,'Monthly CF'!BR69),0))</f>
        <v>0</v>
      </c>
      <c r="BS59" s="161">
        <f>IF(BS1=Summary!$K$19,'Monthly CF'!BS69,IF('Monthly CF'!BS55&lt;0,MIN(-'Monthly CF'!BS55,'Monthly CF'!BS69),0))</f>
        <v>0</v>
      </c>
      <c r="BT59" s="161">
        <f>IF(BT1=Summary!$K$19,'Monthly CF'!BT69,IF('Monthly CF'!BT55&lt;0,MIN(-'Monthly CF'!BT55,'Monthly CF'!BT69),0))</f>
        <v>0</v>
      </c>
      <c r="BU59" s="161">
        <f>IF(BU1=Summary!$K$19,'Monthly CF'!BU69,IF('Monthly CF'!BU55&lt;0,MIN(-'Monthly CF'!BU55,'Monthly CF'!BU69),0))</f>
        <v>0</v>
      </c>
      <c r="BV59" s="161">
        <f>IF(BV1=Summary!$K$19,'Monthly CF'!BV69,IF('Monthly CF'!BV55&lt;0,MIN(-'Monthly CF'!BV55,'Monthly CF'!BV69),0))</f>
        <v>0</v>
      </c>
      <c r="BW59" s="161">
        <f>IF(BW1=Summary!$K$19,'Monthly CF'!BW69,IF('Monthly CF'!BW55&lt;0,MIN(-'Monthly CF'!BW55,'Monthly CF'!BW69),0))</f>
        <v>0</v>
      </c>
      <c r="BX59" s="161">
        <f>IF(BX1=Summary!$K$19,'Monthly CF'!BX69,IF('Monthly CF'!BX55&lt;0,MIN(-'Monthly CF'!BX55,'Monthly CF'!BX69),0))</f>
        <v>0</v>
      </c>
      <c r="BY59" s="161">
        <f>IF(BY1=Summary!$K$19,'Monthly CF'!BY69,IF('Monthly CF'!BY55&lt;0,MIN(-'Monthly CF'!BY55,'Monthly CF'!BY69),0))</f>
        <v>0</v>
      </c>
      <c r="BZ59" s="161">
        <f>IF(BZ1=Summary!$K$19,'Monthly CF'!BZ69,IF('Monthly CF'!BZ55&lt;0,MIN(-'Monthly CF'!BZ55,'Monthly CF'!BZ69),0))</f>
        <v>0</v>
      </c>
      <c r="CA59" s="161">
        <f>IF(CA1=Summary!$K$19,'Monthly CF'!CA69,IF('Monthly CF'!CA55&lt;0,MIN(-'Monthly CF'!CA55,'Monthly CF'!CA69),0))</f>
        <v>0</v>
      </c>
      <c r="CB59" s="161">
        <f>IF(CB1=Summary!$K$19,'Monthly CF'!CB69,IF('Monthly CF'!CB55&lt;0,MIN(-'Monthly CF'!CB55,'Monthly CF'!CB69),0))</f>
        <v>0</v>
      </c>
      <c r="CC59" s="161">
        <f>IF(CC1=Summary!$K$19,'Monthly CF'!CC69,IF('Monthly CF'!CC55&lt;0,MIN(-'Monthly CF'!CC55,'Monthly CF'!CC69),0))</f>
        <v>0</v>
      </c>
      <c r="CD59" s="161">
        <f>IF(CD1=Summary!$K$19,'Monthly CF'!CD69,IF('Monthly CF'!CD55&lt;0,MIN(-'Monthly CF'!CD55,'Monthly CF'!CD69),0))</f>
        <v>0</v>
      </c>
      <c r="CE59" s="161">
        <f>IF(CE1=Summary!$K$19,'Monthly CF'!CE69,IF('Monthly CF'!CE55&lt;0,MIN(-'Monthly CF'!CE55,'Monthly CF'!CE69),0))</f>
        <v>0</v>
      </c>
      <c r="CF59" s="161">
        <f>IF(CF1=Summary!$K$19,'Monthly CF'!CF69,IF('Monthly CF'!CF55&lt;0,MIN(-'Monthly CF'!CF55,'Monthly CF'!CF69),0))</f>
        <v>0</v>
      </c>
      <c r="CG59" s="161">
        <f>IF(CG1=Summary!$K$19,'Monthly CF'!CG69,IF('Monthly CF'!CG55&lt;0,MIN(-'Monthly CF'!CG55,'Monthly CF'!CG69),0))</f>
        <v>0</v>
      </c>
      <c r="CH59" s="161">
        <f>IF(CH1=Summary!$K$19,'Monthly CF'!CH69,IF('Monthly CF'!CH55&lt;0,MIN(-'Monthly CF'!CH55,'Monthly CF'!CH69),0))</f>
        <v>0</v>
      </c>
      <c r="CI59" s="161">
        <f>IF(CI1=Summary!$K$19,'Monthly CF'!CI69,IF('Monthly CF'!CI55&lt;0,MIN(-'Monthly CF'!CI55,'Monthly CF'!CI69),0))</f>
        <v>0</v>
      </c>
      <c r="CJ59" s="161">
        <f>IF(CJ1=Summary!$K$19,'Monthly CF'!CJ69,IF('Monthly CF'!CJ55&lt;0,MIN(-'Monthly CF'!CJ55,'Monthly CF'!CJ69),0))</f>
        <v>0</v>
      </c>
      <c r="CK59" s="161">
        <f>IF(CK1=Summary!$K$19,'Monthly CF'!CK69,IF('Monthly CF'!CK55&lt;0,MIN(-'Monthly CF'!CK55,'Monthly CF'!CK69),0))</f>
        <v>0</v>
      </c>
      <c r="CL59" s="161">
        <f>IF(CL1=Summary!$K$19,'Monthly CF'!CL69,IF('Monthly CF'!CL55&lt;0,MIN(-'Monthly CF'!CL55,'Monthly CF'!CL69),0))</f>
        <v>0</v>
      </c>
      <c r="CM59" s="161">
        <f>IF(CM1=Summary!$K$19,'Monthly CF'!CM69,IF('Monthly CF'!CM55&lt;0,MIN(-'Monthly CF'!CM55,'Monthly CF'!CM69),0))</f>
        <v>0</v>
      </c>
      <c r="CN59" s="161">
        <f>IF(CN1=Summary!$K$19,'Monthly CF'!CN69,IF('Monthly CF'!CN55&lt;0,MIN(-'Monthly CF'!CN55,'Monthly CF'!CN69),0))</f>
        <v>0</v>
      </c>
      <c r="CO59" s="161">
        <f>IF(CO1=Summary!$K$19,'Monthly CF'!CO69,IF('Monthly CF'!CO55&lt;0,MIN(-'Monthly CF'!CO55,'Monthly CF'!CO69),0))</f>
        <v>0</v>
      </c>
      <c r="CP59" s="161">
        <f>IF(CP1=Summary!$K$19,'Monthly CF'!CP69,IF('Monthly CF'!CP55&lt;0,MIN(-'Monthly CF'!CP55,'Monthly CF'!CP69),0))</f>
        <v>0</v>
      </c>
      <c r="CQ59" s="161">
        <f>IF(CQ1=Summary!$K$19,'Monthly CF'!CQ69,IF('Monthly CF'!CQ55&lt;0,MIN(-'Monthly CF'!CQ55,'Monthly CF'!CQ69),0))</f>
        <v>0</v>
      </c>
      <c r="CR59" s="161">
        <f>IF(CR1=Summary!$K$19,'Monthly CF'!CR69,IF('Monthly CF'!CR55&lt;0,MIN(-'Monthly CF'!CR55,'Monthly CF'!CR69),0))</f>
        <v>0</v>
      </c>
      <c r="CS59" s="161">
        <f>IF(CS1=Summary!$K$19,'Monthly CF'!CS69,IF('Monthly CF'!CS55&lt;0,MIN(-'Monthly CF'!CS55,'Monthly CF'!CS69),0))</f>
        <v>0</v>
      </c>
      <c r="CT59" s="161">
        <f>IF(CT1=Summary!$K$19,'Monthly CF'!CT69,IF('Monthly CF'!CT55&lt;0,MIN(-'Monthly CF'!CT55,'Monthly CF'!CT69),0))</f>
        <v>0</v>
      </c>
      <c r="CU59" s="161">
        <f>IF(CU1=Summary!$K$19,'Monthly CF'!CU69,IF('Monthly CF'!CU55&lt;0,MIN(-'Monthly CF'!CU55,'Monthly CF'!CU69),0))</f>
        <v>0</v>
      </c>
      <c r="CV59" s="161">
        <f>IF(CV1=Summary!$K$19,'Monthly CF'!CV69,IF('Monthly CF'!CV55&lt;0,MIN(-'Monthly CF'!CV55,'Monthly CF'!CV69),0))</f>
        <v>0</v>
      </c>
      <c r="CW59" s="161">
        <f>IF(CW1=Summary!$K$19,'Monthly CF'!CW69,IF('Monthly CF'!CW55&lt;0,MIN(-'Monthly CF'!CW55,'Monthly CF'!CW69),0))</f>
        <v>0</v>
      </c>
      <c r="CX59" s="161">
        <f>IF(CX1=Summary!$K$19,'Monthly CF'!CX69,IF('Monthly CF'!CX55&lt;0,MIN(-'Monthly CF'!CX55,'Monthly CF'!CX69),0))</f>
        <v>0</v>
      </c>
      <c r="CY59" s="161">
        <f>IF(CY1=Summary!$K$19,'Monthly CF'!CY69,IF('Monthly CF'!CY55&lt;0,MIN(-'Monthly CF'!CY55,'Monthly CF'!CY69),0))</f>
        <v>0</v>
      </c>
      <c r="CZ59" s="161">
        <f>IF(CZ1=Summary!$K$19,'Monthly CF'!CZ69,IF('Monthly CF'!CZ55&lt;0,MIN(-'Monthly CF'!CZ55,'Monthly CF'!CZ69),0))</f>
        <v>0</v>
      </c>
      <c r="DA59" s="161">
        <f>IF(DA1=Summary!$K$19,'Monthly CF'!DA69,IF('Monthly CF'!DA55&lt;0,MIN(-'Monthly CF'!DA55,'Monthly CF'!DA69),0))</f>
        <v>0</v>
      </c>
      <c r="DB59" s="161">
        <f>IF(DB1=Summary!$K$19,'Monthly CF'!DB69,IF('Monthly CF'!DB55&lt;0,MIN(-'Monthly CF'!DB55,'Monthly CF'!DB69),0))</f>
        <v>0</v>
      </c>
      <c r="DC59" s="161">
        <f>IF(DC1=Summary!$K$19,'Monthly CF'!DC69,IF('Monthly CF'!DC55&lt;0,MIN(-'Monthly CF'!DC55,'Monthly CF'!DC69),0))</f>
        <v>0</v>
      </c>
      <c r="DD59" s="161">
        <f>IF(DD1=Summary!$K$19,'Monthly CF'!DD69,IF('Monthly CF'!DD55&lt;0,MIN(-'Monthly CF'!DD55,'Monthly CF'!DD69),0))</f>
        <v>0</v>
      </c>
      <c r="DE59" s="161">
        <f>IF(DE1=Summary!$K$19,'Monthly CF'!DE69,IF('Monthly CF'!DE55&lt;0,MIN(-'Monthly CF'!DE55,'Monthly CF'!DE69),0))</f>
        <v>0</v>
      </c>
      <c r="DF59" s="161">
        <f>IF(DF1=Summary!$K$19,'Monthly CF'!DF69,IF('Monthly CF'!DF55&lt;0,MIN(-'Monthly CF'!DF55,'Monthly CF'!DF69),0))</f>
        <v>0</v>
      </c>
      <c r="DG59" s="161">
        <f>IF(DG1=Summary!$K$19,'Monthly CF'!DG69,IF('Monthly CF'!DG55&lt;0,MIN(-'Monthly CF'!DG55,'Monthly CF'!DG69),0))</f>
        <v>0</v>
      </c>
      <c r="DH59" s="161">
        <f>IF(DH1=Summary!$K$19,'Monthly CF'!DH69,IF('Monthly CF'!DH55&lt;0,MIN(-'Monthly CF'!DH55,'Monthly CF'!DH69),0))</f>
        <v>0</v>
      </c>
      <c r="DI59" s="161">
        <f>IF(DI1=Summary!$K$19,'Monthly CF'!DI69,IF('Monthly CF'!DI55&lt;0,MIN(-'Monthly CF'!DI55,'Monthly CF'!DI69),0))</f>
        <v>0</v>
      </c>
      <c r="DJ59" s="161">
        <f>IF(DJ1=Summary!$K$19,'Monthly CF'!DJ69,IF('Monthly CF'!DJ55&lt;0,MIN(-'Monthly CF'!DJ55,'Monthly CF'!DJ69),0))</f>
        <v>0</v>
      </c>
      <c r="DK59" s="161">
        <f>IF(DK1=Summary!$K$19,'Monthly CF'!DK69,IF('Monthly CF'!DK55&lt;0,MIN(-'Monthly CF'!DK55,'Monthly CF'!DK69),0))</f>
        <v>0</v>
      </c>
      <c r="DL59" s="161">
        <f>IF(DL1=Summary!$K$19,'Monthly CF'!DL69,IF('Monthly CF'!DL55&lt;0,MIN(-'Monthly CF'!DL55,'Monthly CF'!DL69),0))</f>
        <v>0</v>
      </c>
      <c r="DM59" s="161">
        <f>IF(DM1=Summary!$K$19,'Monthly CF'!DM69,IF('Monthly CF'!DM55&lt;0,MIN(-'Monthly CF'!DM55,'Monthly CF'!DM69),0))</f>
        <v>0</v>
      </c>
      <c r="DN59" s="161">
        <f>IF(DN1=Summary!$K$19,'Monthly CF'!DN69,IF('Monthly CF'!DN55&lt;0,MIN(-'Monthly CF'!DN55,'Monthly CF'!DN69),0))</f>
        <v>0</v>
      </c>
      <c r="DO59" s="161">
        <f>IF(DO1=Summary!$K$19,'Monthly CF'!DO69,IF('Monthly CF'!DO55&lt;0,MIN(-'Monthly CF'!DO55,'Monthly CF'!DO69),0))</f>
        <v>0</v>
      </c>
      <c r="DP59" s="161">
        <f>IF(DP1=Summary!$K$19,'Monthly CF'!DP69,IF('Monthly CF'!DP55&lt;0,MIN(-'Monthly CF'!DP55,'Monthly CF'!DP69),0))</f>
        <v>0</v>
      </c>
      <c r="DQ59" s="161">
        <f>IF(DQ1=Summary!$K$19,'Monthly CF'!DQ69,IF('Monthly CF'!DQ55&lt;0,MIN(-'Monthly CF'!DQ55,'Monthly CF'!DQ69),0))</f>
        <v>0</v>
      </c>
      <c r="DR59" s="161">
        <f>IF(DR1=Summary!$K$19,'Monthly CF'!DR69,IF('Monthly CF'!DR55&lt;0,MIN(-'Monthly CF'!DR55,'Monthly CF'!DR69),0))</f>
        <v>0</v>
      </c>
      <c r="DS59" s="161">
        <f>IF(DS1=Summary!$K$19,'Monthly CF'!DS69,IF('Monthly CF'!DS55&lt;0,MIN(-'Monthly CF'!DS55,'Monthly CF'!DS69),0))</f>
        <v>0</v>
      </c>
      <c r="DT59" s="161">
        <f>IF(DT1=Summary!$K$19,'Monthly CF'!DT69,IF('Monthly CF'!DT55&lt;0,MIN(-'Monthly CF'!DT55,'Monthly CF'!DT69),0))</f>
        <v>0</v>
      </c>
      <c r="DU59" s="161">
        <f>IF(DU1=Summary!$K$19,'Monthly CF'!DU69,IF('Monthly CF'!DU55&lt;0,MIN(-'Monthly CF'!DU55,'Monthly CF'!DU69),0))</f>
        <v>0</v>
      </c>
      <c r="DV59" s="161">
        <f>IF(DV1=Summary!$K$19,'Monthly CF'!DV69,IF('Monthly CF'!DV55&lt;0,MIN(-'Monthly CF'!DV55,'Monthly CF'!DV69),0))</f>
        <v>0</v>
      </c>
      <c r="DW59" s="161">
        <f>IF(DW1=Summary!$K$19,'Monthly CF'!DW69,IF('Monthly CF'!DW55&lt;0,MIN(-'Monthly CF'!DW55,'Monthly CF'!DW69),0))</f>
        <v>0</v>
      </c>
      <c r="DX59" s="161">
        <f>IF(DX1=Summary!$K$19,'Monthly CF'!DX69,IF('Monthly CF'!DX55&lt;0,MIN(-'Monthly CF'!DX55,'Monthly CF'!DX69),0))</f>
        <v>0</v>
      </c>
      <c r="DY59" s="161">
        <f>IF(DY1=Summary!$K$19,'Monthly CF'!DY69,IF('Monthly CF'!DY55&lt;0,MIN(-'Monthly CF'!DY55,'Monthly CF'!DY69),0))</f>
        <v>0</v>
      </c>
      <c r="DZ59" s="161">
        <f>IF(DZ1=Summary!$K$19,'Monthly CF'!DZ69,IF('Monthly CF'!DZ55&lt;0,MIN(-'Monthly CF'!DZ55,'Monthly CF'!DZ69),0))</f>
        <v>0</v>
      </c>
      <c r="EA59" s="161">
        <f>IF(EA1=Summary!$K$19,'Monthly CF'!EA69,IF('Monthly CF'!EA55&lt;0,MIN(-'Monthly CF'!EA55,'Monthly CF'!EA69),0))</f>
        <v>0</v>
      </c>
      <c r="EB59" s="161">
        <f>IF(EB1=Summary!$K$19,'Monthly CF'!EB69,IF('Monthly CF'!EB55&lt;0,MIN(-'Monthly CF'!EB55,'Monthly CF'!EB69),0))</f>
        <v>0</v>
      </c>
      <c r="EC59" s="161">
        <f>IF(EC1=Summary!$K$19,'Monthly CF'!EC69,IF('Monthly CF'!EC55&lt;0,MIN(-'Monthly CF'!EC55,'Monthly CF'!EC69),0))</f>
        <v>0</v>
      </c>
      <c r="ED59" s="161">
        <f>IF(ED1=Summary!$K$19,'Monthly CF'!ED69,IF('Monthly CF'!ED55&lt;0,MIN(-'Monthly CF'!ED55,'Monthly CF'!ED69),0))</f>
        <v>0</v>
      </c>
      <c r="EE59" s="162">
        <f>IF(EE1=Summary!$K$19,'Monthly CF'!EE69,IF('Monthly CF'!EE55&lt;0,MIN(-'Monthly CF'!EE55,'Monthly CF'!EE69),0))</f>
        <v>0</v>
      </c>
    </row>
    <row r="60" spans="1:135" x14ac:dyDescent="0.35">
      <c r="B60" s="5"/>
      <c r="C60" s="160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1"/>
      <c r="BV60" s="161"/>
      <c r="BW60" s="161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N60" s="161"/>
      <c r="CO60" s="161"/>
      <c r="CP60" s="161"/>
      <c r="CQ60" s="161"/>
      <c r="CR60" s="161"/>
      <c r="CS60" s="161"/>
      <c r="CT60" s="161"/>
      <c r="CU60" s="161"/>
      <c r="CV60" s="161"/>
      <c r="CW60" s="161"/>
      <c r="CX60" s="161"/>
      <c r="CY60" s="161"/>
      <c r="CZ60" s="161"/>
      <c r="DA60" s="161"/>
      <c r="DB60" s="161"/>
      <c r="DC60" s="161"/>
      <c r="DD60" s="161"/>
      <c r="DE60" s="161"/>
      <c r="DF60" s="161"/>
      <c r="DG60" s="161"/>
      <c r="DH60" s="161"/>
      <c r="DI60" s="161"/>
      <c r="DJ60" s="161"/>
      <c r="DK60" s="161"/>
      <c r="DL60" s="161"/>
      <c r="DM60" s="161"/>
      <c r="DN60" s="161"/>
      <c r="DO60" s="161"/>
      <c r="DP60" s="161"/>
      <c r="DQ60" s="161"/>
      <c r="DR60" s="161"/>
      <c r="DS60" s="161"/>
      <c r="DT60" s="161"/>
      <c r="DU60" s="161"/>
      <c r="DV60" s="161"/>
      <c r="DW60" s="161"/>
      <c r="DX60" s="161"/>
      <c r="DY60" s="161"/>
      <c r="DZ60" s="161"/>
      <c r="EA60" s="161"/>
      <c r="EB60" s="161"/>
      <c r="EC60" s="161"/>
      <c r="ED60" s="161"/>
      <c r="EE60" s="162"/>
    </row>
    <row r="61" spans="1:135" x14ac:dyDescent="0.35">
      <c r="B61" s="156" t="s">
        <v>193</v>
      </c>
      <c r="C61" s="160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61"/>
      <c r="CE61" s="16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61"/>
      <c r="CQ61" s="161"/>
      <c r="CR61" s="161"/>
      <c r="CS61" s="161"/>
      <c r="CT61" s="161"/>
      <c r="CU61" s="161"/>
      <c r="CV61" s="161"/>
      <c r="CW61" s="161"/>
      <c r="CX61" s="161"/>
      <c r="CY61" s="161"/>
      <c r="CZ61" s="161"/>
      <c r="DA61" s="161"/>
      <c r="DB61" s="161"/>
      <c r="DC61" s="161"/>
      <c r="DD61" s="161"/>
      <c r="DE61" s="161"/>
      <c r="DF61" s="161"/>
      <c r="DG61" s="161"/>
      <c r="DH61" s="161"/>
      <c r="DI61" s="161"/>
      <c r="DJ61" s="161"/>
      <c r="DK61" s="161"/>
      <c r="DL61" s="161"/>
      <c r="DM61" s="161"/>
      <c r="DN61" s="161"/>
      <c r="DO61" s="161"/>
      <c r="DP61" s="161"/>
      <c r="DQ61" s="161"/>
      <c r="DR61" s="161"/>
      <c r="DS61" s="161"/>
      <c r="DT61" s="161"/>
      <c r="DU61" s="161"/>
      <c r="DV61" s="161"/>
      <c r="DW61" s="161"/>
      <c r="DX61" s="161"/>
      <c r="DY61" s="161"/>
      <c r="DZ61" s="161"/>
      <c r="EA61" s="161"/>
      <c r="EB61" s="161"/>
      <c r="EC61" s="161"/>
      <c r="ED61" s="161"/>
      <c r="EE61" s="162"/>
    </row>
    <row r="62" spans="1:135" x14ac:dyDescent="0.35">
      <c r="A62" s="168">
        <f>SUMIF($C$1:$EE$1,"&lt;="&amp;Summary!$K$19,'Monthly CF'!C62:EE62)</f>
        <v>-40000000</v>
      </c>
      <c r="B62" s="5" t="s">
        <v>19</v>
      </c>
      <c r="C62" s="160">
        <f>-Summary!B20</f>
        <v>-40000000</v>
      </c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161"/>
      <c r="BB62" s="161"/>
      <c r="BC62" s="161"/>
      <c r="BD62" s="161"/>
      <c r="BE62" s="161"/>
      <c r="BF62" s="161"/>
      <c r="BG62" s="161"/>
      <c r="BH62" s="161"/>
      <c r="BI62" s="161"/>
      <c r="BJ62" s="161"/>
      <c r="BK62" s="161"/>
      <c r="BL62" s="161"/>
      <c r="BM62" s="161"/>
      <c r="BN62" s="161"/>
      <c r="BO62" s="161"/>
      <c r="BP62" s="161"/>
      <c r="BQ62" s="161"/>
      <c r="BR62" s="161"/>
      <c r="BS62" s="161"/>
      <c r="BT62" s="161"/>
      <c r="BU62" s="161"/>
      <c r="BV62" s="161"/>
      <c r="BW62" s="161"/>
      <c r="BX62" s="161"/>
      <c r="BY62" s="161"/>
      <c r="BZ62" s="161"/>
      <c r="CA62" s="161"/>
      <c r="CB62" s="161"/>
      <c r="CC62" s="161"/>
      <c r="CD62" s="161"/>
      <c r="CE62" s="161"/>
      <c r="CF62" s="161"/>
      <c r="CG62" s="161"/>
      <c r="CH62" s="161"/>
      <c r="CI62" s="161"/>
      <c r="CJ62" s="161"/>
      <c r="CK62" s="161"/>
      <c r="CL62" s="161"/>
      <c r="CM62" s="161"/>
      <c r="CN62" s="161"/>
      <c r="CO62" s="161"/>
      <c r="CP62" s="161"/>
      <c r="CQ62" s="161"/>
      <c r="CR62" s="161"/>
      <c r="CS62" s="161"/>
      <c r="CT62" s="161"/>
      <c r="CU62" s="161"/>
      <c r="CV62" s="161"/>
      <c r="CW62" s="161"/>
      <c r="CX62" s="161"/>
      <c r="CY62" s="161"/>
      <c r="CZ62" s="161"/>
      <c r="DA62" s="161"/>
      <c r="DB62" s="161"/>
      <c r="DC62" s="161"/>
      <c r="DD62" s="161"/>
      <c r="DE62" s="161"/>
      <c r="DF62" s="161"/>
      <c r="DG62" s="161"/>
      <c r="DH62" s="161"/>
      <c r="DI62" s="161"/>
      <c r="DJ62" s="161"/>
      <c r="DK62" s="161"/>
      <c r="DL62" s="161"/>
      <c r="DM62" s="161"/>
      <c r="DN62" s="161"/>
      <c r="DO62" s="161"/>
      <c r="DP62" s="161"/>
      <c r="DQ62" s="161"/>
      <c r="DR62" s="161"/>
      <c r="DS62" s="161"/>
      <c r="DT62" s="161"/>
      <c r="DU62" s="161"/>
      <c r="DV62" s="161"/>
      <c r="DW62" s="161"/>
      <c r="DX62" s="161"/>
      <c r="DY62" s="161"/>
      <c r="DZ62" s="161"/>
      <c r="EA62" s="161"/>
      <c r="EB62" s="161"/>
      <c r="EC62" s="161"/>
      <c r="ED62" s="161"/>
      <c r="EE62" s="162">
        <v>0</v>
      </c>
    </row>
    <row r="63" spans="1:135" x14ac:dyDescent="0.35">
      <c r="A63" s="168">
        <f>SUMIF($C$1:$EE$1,"&lt;="&amp;Summary!$K$19,'Monthly CF'!C63:EE63)</f>
        <v>-150000</v>
      </c>
      <c r="B63" s="5" t="s">
        <v>21</v>
      </c>
      <c r="C63" s="160">
        <f>-Summary!B22</f>
        <v>-150000</v>
      </c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161"/>
      <c r="BB63" s="161"/>
      <c r="BC63" s="161"/>
      <c r="BD63" s="161"/>
      <c r="BE63" s="161"/>
      <c r="BF63" s="161"/>
      <c r="BG63" s="161"/>
      <c r="BH63" s="161"/>
      <c r="BI63" s="161"/>
      <c r="BJ63" s="161"/>
      <c r="BK63" s="161"/>
      <c r="BL63" s="161"/>
      <c r="BM63" s="161"/>
      <c r="BN63" s="161"/>
      <c r="BO63" s="161"/>
      <c r="BP63" s="161"/>
      <c r="BQ63" s="161"/>
      <c r="BR63" s="161"/>
      <c r="BS63" s="161"/>
      <c r="BT63" s="161"/>
      <c r="BU63" s="161"/>
      <c r="BV63" s="161"/>
      <c r="BW63" s="161"/>
      <c r="BX63" s="161"/>
      <c r="BY63" s="161"/>
      <c r="BZ63" s="161"/>
      <c r="CA63" s="161"/>
      <c r="CB63" s="161"/>
      <c r="CC63" s="161"/>
      <c r="CD63" s="161"/>
      <c r="CE63" s="161"/>
      <c r="CF63" s="161"/>
      <c r="CG63" s="161"/>
      <c r="CH63" s="161"/>
      <c r="CI63" s="161"/>
      <c r="CJ63" s="161"/>
      <c r="CK63" s="161"/>
      <c r="CL63" s="161"/>
      <c r="CM63" s="161"/>
      <c r="CN63" s="161"/>
      <c r="CO63" s="161"/>
      <c r="CP63" s="161"/>
      <c r="CQ63" s="161"/>
      <c r="CR63" s="161"/>
      <c r="CS63" s="161"/>
      <c r="CT63" s="161"/>
      <c r="CU63" s="161"/>
      <c r="CV63" s="161"/>
      <c r="CW63" s="161"/>
      <c r="CX63" s="161"/>
      <c r="CY63" s="161"/>
      <c r="CZ63" s="161"/>
      <c r="DA63" s="161"/>
      <c r="DB63" s="161"/>
      <c r="DC63" s="161"/>
      <c r="DD63" s="161"/>
      <c r="DE63" s="161"/>
      <c r="DF63" s="161"/>
      <c r="DG63" s="161"/>
      <c r="DH63" s="161"/>
      <c r="DI63" s="161"/>
      <c r="DJ63" s="161"/>
      <c r="DK63" s="161"/>
      <c r="DL63" s="161"/>
      <c r="DM63" s="161"/>
      <c r="DN63" s="161"/>
      <c r="DO63" s="161"/>
      <c r="DP63" s="161"/>
      <c r="DQ63" s="161"/>
      <c r="DR63" s="161"/>
      <c r="DS63" s="161"/>
      <c r="DT63" s="161"/>
      <c r="DU63" s="161"/>
      <c r="DV63" s="161"/>
      <c r="DW63" s="161"/>
      <c r="DX63" s="161"/>
      <c r="DY63" s="161"/>
      <c r="DZ63" s="161"/>
      <c r="EA63" s="161"/>
      <c r="EB63" s="161"/>
      <c r="EC63" s="161"/>
      <c r="ED63" s="161"/>
      <c r="EE63" s="162">
        <v>0</v>
      </c>
    </row>
    <row r="64" spans="1:135" x14ac:dyDescent="0.35">
      <c r="A64" s="168">
        <f>SUMIF($C$1:$EE$1,"&lt;="&amp;Summary!$K$19,'Monthly CF'!C64:EE64)</f>
        <v>46643653.447997071</v>
      </c>
      <c r="B64" s="5" t="s">
        <v>53</v>
      </c>
      <c r="C64" s="160"/>
      <c r="D64" s="161">
        <f>IF(D1=Summary!$K$19,SUM('Monthly CF'!E43:P43)/Summary!$K$18,0)</f>
        <v>0</v>
      </c>
      <c r="E64" s="161">
        <f>IF(E1=Summary!$K$19,SUM('Monthly CF'!F43:Q43)/Summary!$K$18,0)</f>
        <v>0</v>
      </c>
      <c r="F64" s="161">
        <f>IF(F1=Summary!$K$19,SUM('Monthly CF'!G43:R43)/Summary!$K$18,0)</f>
        <v>0</v>
      </c>
      <c r="G64" s="161">
        <f>IF(G1=Summary!$K$19,SUM('Monthly CF'!H43:S43)/Summary!$K$18,0)</f>
        <v>0</v>
      </c>
      <c r="H64" s="161">
        <f>IF(H1=Summary!$K$19,SUM('Monthly CF'!I43:T43)/Summary!$K$18,0)</f>
        <v>0</v>
      </c>
      <c r="I64" s="161">
        <f>IF(I1=Summary!$K$19,SUM('Monthly CF'!J43:U43)/Summary!$K$18,0)</f>
        <v>0</v>
      </c>
      <c r="J64" s="161">
        <f>IF(J1=Summary!$K$19,SUM('Monthly CF'!K43:V43)/Summary!$K$18,0)</f>
        <v>0</v>
      </c>
      <c r="K64" s="161">
        <f>IF(K1=Summary!$K$19,SUM('Monthly CF'!L43:W43)/Summary!$K$18,0)</f>
        <v>0</v>
      </c>
      <c r="L64" s="161">
        <f>IF(L1=Summary!$K$19,SUM('Monthly CF'!M43:X43)/Summary!$K$18,0)</f>
        <v>0</v>
      </c>
      <c r="M64" s="161">
        <f>IF(M1=Summary!$K$19,SUM('Monthly CF'!N43:Y43)/Summary!$K$18,0)</f>
        <v>0</v>
      </c>
      <c r="N64" s="161">
        <f>IF(N1=Summary!$K$19,SUM('Monthly CF'!O43:Z43)/Summary!$K$18,0)</f>
        <v>0</v>
      </c>
      <c r="O64" s="161">
        <f>IF(O1=Summary!$K$19,SUM('Monthly CF'!P43:AA43)/Summary!$K$18,0)</f>
        <v>0</v>
      </c>
      <c r="P64" s="161">
        <f>IF(P1=Summary!$K$19,SUM('Monthly CF'!Q43:AB43)/Summary!$K$18,0)</f>
        <v>0</v>
      </c>
      <c r="Q64" s="161">
        <f>IF(Q1=Summary!$K$19,SUM('Monthly CF'!R43:AC43)/Summary!$K$18,0)</f>
        <v>0</v>
      </c>
      <c r="R64" s="161">
        <f>IF(R1=Summary!$K$19,SUM('Monthly CF'!S43:AD43)/Summary!$K$18,0)</f>
        <v>0</v>
      </c>
      <c r="S64" s="161">
        <f>IF(S1=Summary!$K$19,SUM('Monthly CF'!T43:AE43)/Summary!$K$18,0)</f>
        <v>0</v>
      </c>
      <c r="T64" s="161">
        <f>IF(T1=Summary!$K$19,SUM('Monthly CF'!U43:AF43)/Summary!$K$18,0)</f>
        <v>0</v>
      </c>
      <c r="U64" s="161">
        <f>IF(U1=Summary!$K$19,SUM('Monthly CF'!V43:AG43)/Summary!$K$18,0)</f>
        <v>0</v>
      </c>
      <c r="V64" s="161">
        <f>IF(V1=Summary!$K$19,SUM('Monthly CF'!W43:AH43)/Summary!$K$18,0)</f>
        <v>0</v>
      </c>
      <c r="W64" s="161">
        <f>IF(W1=Summary!$K$19,SUM('Monthly CF'!X43:AI43)/Summary!$K$18,0)</f>
        <v>0</v>
      </c>
      <c r="X64" s="161">
        <f>IF(X1=Summary!$K$19,SUM('Monthly CF'!Y43:AJ43)/Summary!$K$18,0)</f>
        <v>0</v>
      </c>
      <c r="Y64" s="161">
        <f>IF(Y1=Summary!$K$19,SUM('Monthly CF'!Z43:AK43)/Summary!$K$18,0)</f>
        <v>0</v>
      </c>
      <c r="Z64" s="161">
        <f>IF(Z1=Summary!$K$19,SUM('Monthly CF'!AA43:AL43)/Summary!$K$18,0)</f>
        <v>0</v>
      </c>
      <c r="AA64" s="161">
        <f>IF(AA1=Summary!$K$19,SUM('Monthly CF'!AB43:AM43)/Summary!$K$18,0)</f>
        <v>0</v>
      </c>
      <c r="AB64" s="161">
        <f>IF(AB1=Summary!$K$19,SUM('Monthly CF'!AC43:AN43)/Summary!$K$18,0)</f>
        <v>0</v>
      </c>
      <c r="AC64" s="161">
        <f>IF(AC1=Summary!$K$19,SUM('Monthly CF'!AD43:AO43)/Summary!$K$18,0)</f>
        <v>0</v>
      </c>
      <c r="AD64" s="161">
        <f>IF(AD1=Summary!$K$19,SUM('Monthly CF'!AE43:AP43)/Summary!$K$18,0)</f>
        <v>0</v>
      </c>
      <c r="AE64" s="161">
        <f>IF(AE1=Summary!$K$19,SUM('Monthly CF'!AF43:AQ43)/Summary!$K$18,0)</f>
        <v>0</v>
      </c>
      <c r="AF64" s="161">
        <f>IF(AF1=Summary!$K$19,SUM('Monthly CF'!AG43:AR43)/Summary!$K$18,0)</f>
        <v>0</v>
      </c>
      <c r="AG64" s="161">
        <f>IF(AG1=Summary!$K$19,SUM('Monthly CF'!AH43:AS43)/Summary!$K$18,0)</f>
        <v>0</v>
      </c>
      <c r="AH64" s="161">
        <f>IF(AH1=Summary!$K$19,SUM('Monthly CF'!AI43:AT43)/Summary!$K$18,0)</f>
        <v>0</v>
      </c>
      <c r="AI64" s="161">
        <f>IF(AI1=Summary!$K$19,SUM('Monthly CF'!AJ43:AU43)/Summary!$K$18,0)</f>
        <v>0</v>
      </c>
      <c r="AJ64" s="161">
        <f>IF(AJ1=Summary!$K$19,SUM('Monthly CF'!AK43:AV43)/Summary!$K$18,0)</f>
        <v>0</v>
      </c>
      <c r="AK64" s="161">
        <f>IF(AK1=Summary!$K$19,SUM('Monthly CF'!AL43:AW43)/Summary!$K$18,0)</f>
        <v>0</v>
      </c>
      <c r="AL64" s="161">
        <f>IF(AL1=Summary!$K$19,SUM('Monthly CF'!AM43:AX43)/Summary!$K$18,0)</f>
        <v>0</v>
      </c>
      <c r="AM64" s="161">
        <f>IF(AM1=Summary!$K$19,SUM('Monthly CF'!AN43:AY43)/Summary!$K$18,0)</f>
        <v>0</v>
      </c>
      <c r="AN64" s="161">
        <f>IF(AN1=Summary!$K$19,SUM('Monthly CF'!AO43:AZ43)/Summary!$K$18,0)</f>
        <v>0</v>
      </c>
      <c r="AO64" s="161">
        <f>IF(AO1=Summary!$K$19,SUM('Monthly CF'!AP43:BA43)/Summary!$K$18,0)</f>
        <v>0</v>
      </c>
      <c r="AP64" s="161">
        <f>IF(AP1=Summary!$K$19,SUM('Monthly CF'!AQ43:BB43)/Summary!$K$18,0)</f>
        <v>0</v>
      </c>
      <c r="AQ64" s="161">
        <f>IF(AQ1=Summary!$K$19,SUM('Monthly CF'!AR43:BC43)/Summary!$K$18,0)</f>
        <v>0</v>
      </c>
      <c r="AR64" s="161">
        <f>IF(AR1=Summary!$K$19,SUM('Monthly CF'!AS43:BD43)/Summary!$K$18,0)</f>
        <v>0</v>
      </c>
      <c r="AS64" s="161">
        <f>IF(AS1=Summary!$K$19,SUM('Monthly CF'!AT43:BE43)/Summary!$K$18,0)</f>
        <v>0</v>
      </c>
      <c r="AT64" s="161">
        <f>IF(AT1=Summary!$K$19,SUM('Monthly CF'!AU43:BF43)/Summary!$K$18,0)</f>
        <v>0</v>
      </c>
      <c r="AU64" s="161">
        <f>IF(AU1=Summary!$K$19,SUM('Monthly CF'!AV43:BG43)/Summary!$K$18,0)</f>
        <v>0</v>
      </c>
      <c r="AV64" s="161">
        <f>IF(AV1=Summary!$K$19,SUM('Monthly CF'!AW43:BH43)/Summary!$K$18,0)</f>
        <v>0</v>
      </c>
      <c r="AW64" s="161">
        <f>IF(AW1=Summary!$K$19,SUM('Monthly CF'!AX43:BI43)/Summary!$K$18,0)</f>
        <v>0</v>
      </c>
      <c r="AX64" s="161">
        <f>IF(AX1=Summary!$K$19,SUM('Monthly CF'!AY43:BJ43)/Summary!$K$18,0)</f>
        <v>0</v>
      </c>
      <c r="AY64" s="161">
        <f>IF(AY1=Summary!$K$19,SUM('Monthly CF'!AZ43:BK43)/Summary!$K$18,0)</f>
        <v>0</v>
      </c>
      <c r="AZ64" s="161">
        <f>IF(AZ1=Summary!$K$19,SUM('Monthly CF'!BA43:BL43)/Summary!$K$18,0)</f>
        <v>0</v>
      </c>
      <c r="BA64" s="161">
        <f>IF(BA1=Summary!$K$19,SUM('Monthly CF'!BB43:BM43)/Summary!$K$18,0)</f>
        <v>0</v>
      </c>
      <c r="BB64" s="161">
        <f>IF(BB1=Summary!$K$19,SUM('Monthly CF'!BC43:BN43)/Summary!$K$18,0)</f>
        <v>0</v>
      </c>
      <c r="BC64" s="161">
        <f>IF(BC1=Summary!$K$19,SUM('Monthly CF'!BD43:BO43)/Summary!$K$18,0)</f>
        <v>0</v>
      </c>
      <c r="BD64" s="161">
        <f>IF(BD1=Summary!$K$19,SUM('Monthly CF'!BE43:BP43)/Summary!$K$18,0)</f>
        <v>0</v>
      </c>
      <c r="BE64" s="161">
        <f>IF(BE1=Summary!$K$19,SUM('Monthly CF'!BF43:BQ43)/Summary!$K$18,0)</f>
        <v>0</v>
      </c>
      <c r="BF64" s="161">
        <f>IF(BF1=Summary!$K$19,SUM('Monthly CF'!BG43:BR43)/Summary!$K$18,0)</f>
        <v>0</v>
      </c>
      <c r="BG64" s="161">
        <f>IF(BG1=Summary!$K$19,SUM('Monthly CF'!BH43:BS43)/Summary!$K$18,0)</f>
        <v>0</v>
      </c>
      <c r="BH64" s="161">
        <f>IF(BH1=Summary!$K$19,SUM('Monthly CF'!BI43:BT43)/Summary!$K$18,0)</f>
        <v>0</v>
      </c>
      <c r="BI64" s="161">
        <f>IF(BI1=Summary!$K$19,SUM('Monthly CF'!BJ43:BU43)/Summary!$K$18,0)</f>
        <v>0</v>
      </c>
      <c r="BJ64" s="161">
        <f>IF(BJ1=Summary!$K$19,SUM('Monthly CF'!BK43:BV43)/Summary!$K$18,0)</f>
        <v>0</v>
      </c>
      <c r="BK64" s="161">
        <f>IF(BK1=Summary!$K$19,SUM('Monthly CF'!BL43:BW43)/Summary!$K$18,0)</f>
        <v>0</v>
      </c>
      <c r="BL64" s="161">
        <f>IF(BL1=Summary!$K$19,SUM('Monthly CF'!BM43:BX43)/Summary!$K$18,0)</f>
        <v>0</v>
      </c>
      <c r="BM64" s="161">
        <f>IF(BM1=Summary!$K$19,SUM('Monthly CF'!BN43:BY43)/Summary!$K$18,0)</f>
        <v>0</v>
      </c>
      <c r="BN64" s="161">
        <f>IF(BN1=Summary!$K$19,SUM('Monthly CF'!BO43:BZ43)/Summary!$K$18,0)</f>
        <v>0</v>
      </c>
      <c r="BO64" s="161">
        <f>IF(BO1=Summary!$K$19,SUM('Monthly CF'!BP43:CA43)/Summary!$K$18,0)</f>
        <v>0</v>
      </c>
      <c r="BP64" s="161">
        <f>IF(BP1=Summary!$K$19,SUM('Monthly CF'!BQ43:CB43)/Summary!$K$18,0)</f>
        <v>0</v>
      </c>
      <c r="BQ64" s="161">
        <f>IF(BQ1=Summary!$K$19,SUM('Monthly CF'!BR43:CC43)/Summary!$K$18,0)</f>
        <v>0</v>
      </c>
      <c r="BR64" s="161">
        <f>IF(BR1=Summary!$K$19,SUM('Monthly CF'!BS43:CD43)/Summary!$K$18,0)</f>
        <v>0</v>
      </c>
      <c r="BS64" s="161">
        <f>IF(BS1=Summary!$K$19,SUM('Monthly CF'!BT43:CE43)/Summary!$K$18,0)</f>
        <v>0</v>
      </c>
      <c r="BT64" s="161">
        <f>IF(BT1=Summary!$K$19,SUM('Monthly CF'!BU43:CF43)/Summary!$K$18,0)</f>
        <v>0</v>
      </c>
      <c r="BU64" s="161">
        <f>IF(BU1=Summary!$K$19,SUM('Monthly CF'!BV43:CG43)/Summary!$K$18,0)</f>
        <v>0</v>
      </c>
      <c r="BV64" s="161">
        <f>IF(BV1=Summary!$K$19,SUM('Monthly CF'!BW43:CH43)/Summary!$K$18,0)</f>
        <v>0</v>
      </c>
      <c r="BW64" s="161">
        <f>IF(BW1=Summary!$K$19,SUM('Monthly CF'!BX43:CI43)/Summary!$K$18,0)</f>
        <v>0</v>
      </c>
      <c r="BX64" s="161">
        <f>IF(BX1=Summary!$K$19,SUM('Monthly CF'!BY43:CJ43)/Summary!$K$18,0)</f>
        <v>0</v>
      </c>
      <c r="BY64" s="161">
        <f>IF(BY1=Summary!$K$19,SUM('Monthly CF'!BZ43:CK43)/Summary!$K$18,0)</f>
        <v>0</v>
      </c>
      <c r="BZ64" s="161">
        <f>IF(BZ1=Summary!$K$19,SUM('Monthly CF'!CA43:CL43)/Summary!$K$18,0)</f>
        <v>0</v>
      </c>
      <c r="CA64" s="161">
        <f>IF(CA1=Summary!$K$19,SUM('Monthly CF'!CB43:CM43)/Summary!$K$18,0)</f>
        <v>0</v>
      </c>
      <c r="CB64" s="161">
        <f>IF(CB1=Summary!$K$19,SUM('Monthly CF'!CC43:CN43)/Summary!$K$18,0)</f>
        <v>0</v>
      </c>
      <c r="CC64" s="161">
        <f>IF(CC1=Summary!$K$19,SUM('Monthly CF'!CD43:CO43)/Summary!$K$18,0)</f>
        <v>0</v>
      </c>
      <c r="CD64" s="161">
        <f>IF(CD1=Summary!$K$19,SUM('Monthly CF'!CE43:CP43)/Summary!$K$18,0)</f>
        <v>0</v>
      </c>
      <c r="CE64" s="161">
        <f>IF(CE1=Summary!$K$19,SUM('Monthly CF'!CF43:CQ43)/Summary!$K$18,0)</f>
        <v>0</v>
      </c>
      <c r="CF64" s="161">
        <f>IF(CF1=Summary!$K$19,SUM('Monthly CF'!CG43:CR43)/Summary!$K$18,0)</f>
        <v>0</v>
      </c>
      <c r="CG64" s="161">
        <f>IF(CG1=Summary!$K$19,SUM('Monthly CF'!CH43:CS43)/Summary!$K$18,0)</f>
        <v>0</v>
      </c>
      <c r="CH64" s="161">
        <f>IF(CH1=Summary!$K$19,SUM('Monthly CF'!CI43:CT43)/Summary!$K$18,0)</f>
        <v>0</v>
      </c>
      <c r="CI64" s="161">
        <f>IF(CI1=Summary!$K$19,SUM('Monthly CF'!CJ43:CU43)/Summary!$K$18,0)</f>
        <v>0</v>
      </c>
      <c r="CJ64" s="161">
        <f>IF(CJ1=Summary!$K$19,SUM('Monthly CF'!CK43:CV43)/Summary!$K$18,0)</f>
        <v>0</v>
      </c>
      <c r="CK64" s="161">
        <f>IF(CK1=Summary!$K$19,SUM('Monthly CF'!CL43:CW43)/Summary!$K$18,0)</f>
        <v>0</v>
      </c>
      <c r="CL64" s="161">
        <f>IF(CL1=Summary!$K$19,SUM('Monthly CF'!CM43:CX43)/Summary!$K$18,0)</f>
        <v>0</v>
      </c>
      <c r="CM64" s="161">
        <f>IF(CM1=Summary!$K$19,SUM('Monthly CF'!CN43:CY43)/Summary!$K$18,0)</f>
        <v>0</v>
      </c>
      <c r="CN64" s="161">
        <f>IF(CN1=Summary!$K$19,SUM('Monthly CF'!CO43:CZ43)/Summary!$K$18,0)</f>
        <v>0</v>
      </c>
      <c r="CO64" s="161">
        <f>IF(CO1=Summary!$K$19,SUM('Monthly CF'!CP43:DA43)/Summary!$K$18,0)</f>
        <v>0</v>
      </c>
      <c r="CP64" s="161">
        <f>IF(CP1=Summary!$K$19,SUM('Monthly CF'!CQ43:DB43)/Summary!$K$18,0)</f>
        <v>0</v>
      </c>
      <c r="CQ64" s="161">
        <f>IF(CQ1=Summary!$K$19,SUM('Monthly CF'!CR43:DC43)/Summary!$K$18,0)</f>
        <v>0</v>
      </c>
      <c r="CR64" s="161">
        <f>IF(CR1=Summary!$K$19,SUM('Monthly CF'!CS43:DD43)/Summary!$K$18,0)</f>
        <v>0</v>
      </c>
      <c r="CS64" s="161">
        <f>IF(CS1=Summary!$K$19,SUM('Monthly CF'!CT43:DE43)/Summary!$K$18,0)</f>
        <v>0</v>
      </c>
      <c r="CT64" s="161">
        <f>IF(CT1=Summary!$K$19,SUM('Monthly CF'!CU43:DF43)/Summary!$K$18,0)</f>
        <v>0</v>
      </c>
      <c r="CU64" s="161">
        <f>IF(CU1=Summary!$K$19,SUM('Monthly CF'!CV43:DG43)/Summary!$K$18,0)</f>
        <v>0</v>
      </c>
      <c r="CV64" s="161">
        <f>IF(CV1=Summary!$K$19,SUM('Monthly CF'!CW43:DH43)/Summary!$K$18,0)</f>
        <v>0</v>
      </c>
      <c r="CW64" s="161">
        <f>IF(CW1=Summary!$K$19,SUM('Monthly CF'!CX43:DI43)/Summary!$K$18,0)</f>
        <v>0</v>
      </c>
      <c r="CX64" s="161">
        <f>IF(CX1=Summary!$K$19,SUM('Monthly CF'!CY43:DJ43)/Summary!$K$18,0)</f>
        <v>0</v>
      </c>
      <c r="CY64" s="161">
        <f>IF(CY1=Summary!$K$19,SUM('Monthly CF'!CZ43:DK43)/Summary!$K$18,0)</f>
        <v>0</v>
      </c>
      <c r="CZ64" s="161">
        <f>IF(CZ1=Summary!$K$19,SUM('Monthly CF'!DA43:DL43)/Summary!$K$18,0)</f>
        <v>0</v>
      </c>
      <c r="DA64" s="161">
        <f>IF(DA1=Summary!$K$19,SUM('Monthly CF'!DB43:DM43)/Summary!$K$18,0)</f>
        <v>0</v>
      </c>
      <c r="DB64" s="161">
        <f>IF(DB1=Summary!$K$19,SUM('Monthly CF'!DC43:DN43)/Summary!$K$18,0)</f>
        <v>0</v>
      </c>
      <c r="DC64" s="161">
        <f>IF(DC1=Summary!$K$19,SUM('Monthly CF'!DD43:DO43)/Summary!$K$18,0)</f>
        <v>0</v>
      </c>
      <c r="DD64" s="161">
        <f>IF(DD1=Summary!$K$19,SUM('Monthly CF'!DE43:DP43)/Summary!$K$18,0)</f>
        <v>0</v>
      </c>
      <c r="DE64" s="161">
        <f>IF(DE1=Summary!$K$19,SUM('Monthly CF'!DF43:DQ43)/Summary!$K$18,0)</f>
        <v>0</v>
      </c>
      <c r="DF64" s="161">
        <f>IF(DF1=Summary!$K$19,SUM('Monthly CF'!DG43:DR43)/Summary!$K$18,0)</f>
        <v>0</v>
      </c>
      <c r="DG64" s="161">
        <f>IF(DG1=Summary!$K$19,SUM('Monthly CF'!DH43:DS43)/Summary!$K$18,0)</f>
        <v>0</v>
      </c>
      <c r="DH64" s="161">
        <f>IF(DH1=Summary!$K$19,SUM('Monthly CF'!DI43:DT43)/Summary!$K$18,0)</f>
        <v>0</v>
      </c>
      <c r="DI64" s="161">
        <f>IF(DI1=Summary!$K$19,SUM('Monthly CF'!DJ43:DU43)/Summary!$K$18,0)</f>
        <v>0</v>
      </c>
      <c r="DJ64" s="161">
        <f>IF(DJ1=Summary!$K$19,SUM('Monthly CF'!DK43:DV43)/Summary!$K$18,0)</f>
        <v>0</v>
      </c>
      <c r="DK64" s="161">
        <f>IF(DK1=Summary!$K$19,SUM('Monthly CF'!DL43:DW43)/Summary!$K$18,0)</f>
        <v>0</v>
      </c>
      <c r="DL64" s="161">
        <f>IF(DL1=Summary!$K$19,SUM('Monthly CF'!DM43:DX43)/Summary!$K$18,0)</f>
        <v>0</v>
      </c>
      <c r="DM64" s="161">
        <f>IF(DM1=Summary!$K$19,SUM('Monthly CF'!DN43:DY43)/Summary!$K$18,0)</f>
        <v>0</v>
      </c>
      <c r="DN64" s="161">
        <f>IF(DN1=Summary!$K$19,SUM('Monthly CF'!DO43:DZ43)/Summary!$K$18,0)</f>
        <v>0</v>
      </c>
      <c r="DO64" s="161">
        <f>IF(DO1=Summary!$K$19,SUM('Monthly CF'!DP43:EA43)/Summary!$K$18,0)</f>
        <v>0</v>
      </c>
      <c r="DP64" s="161">
        <f>IF(DP1=Summary!$K$19,SUM('Monthly CF'!DQ43:EB43)/Summary!$K$18,0)</f>
        <v>0</v>
      </c>
      <c r="DQ64" s="161">
        <f>IF(DQ1=Summary!$K$19,SUM('Monthly CF'!DR43:EC43)/Summary!$K$18,0)</f>
        <v>0</v>
      </c>
      <c r="DR64" s="161">
        <f>IF(DR1=Summary!$K$19,SUM('Monthly CF'!DS43:ED43)/Summary!$K$18,0)</f>
        <v>0</v>
      </c>
      <c r="DS64" s="161">
        <f>IF(DS1=Summary!$K$19,SUM('Monthly CF'!DT43:EE43)/Summary!$K$18,0)</f>
        <v>46643653.447997071</v>
      </c>
      <c r="DT64" s="161">
        <f>IF(DT1=Summary!$K$19,SUM('Monthly CF'!DU43:EF43)/Summary!$K$18,0)</f>
        <v>0</v>
      </c>
      <c r="DU64" s="161">
        <f>IF(DU1=Summary!$K$19,SUM('Monthly CF'!DV43:EG43)/Summary!$K$18,0)</f>
        <v>0</v>
      </c>
      <c r="DV64" s="161">
        <f>IF(DV1=Summary!$K$19,SUM('Monthly CF'!DW43:EH43)/Summary!$K$18,0)</f>
        <v>0</v>
      </c>
      <c r="DW64" s="161">
        <f>IF(DW1=Summary!$K$19,SUM('Monthly CF'!DX43:EI43)/Summary!$K$18,0)</f>
        <v>0</v>
      </c>
      <c r="DX64" s="161">
        <f>IF(DX1=Summary!$K$19,SUM('Monthly CF'!DY43:EJ43)/Summary!$K$18,0)</f>
        <v>0</v>
      </c>
      <c r="DY64" s="161">
        <f>IF(DY1=Summary!$K$19,SUM('Monthly CF'!DZ43:EK43)/Summary!$K$18,0)</f>
        <v>0</v>
      </c>
      <c r="DZ64" s="161">
        <f>IF(DZ1=Summary!$K$19,SUM('Monthly CF'!EA43:EL43)/Summary!$K$18,0)</f>
        <v>0</v>
      </c>
      <c r="EA64" s="161">
        <f>IF(EA1=Summary!$K$19,SUM('Monthly CF'!EB43:EM43)/Summary!$K$18,0)</f>
        <v>0</v>
      </c>
      <c r="EB64" s="161">
        <f>IF(EB1=Summary!$K$19,SUM('Monthly CF'!EC43:EN43)/Summary!$K$18,0)</f>
        <v>0</v>
      </c>
      <c r="EC64" s="161">
        <f>IF(EC1=Summary!$K$19,SUM('Monthly CF'!ED43:EO43)/Summary!$K$18,0)</f>
        <v>0</v>
      </c>
      <c r="ED64" s="161">
        <f>IF(ED1=Summary!$K$19,SUM('Monthly CF'!EE43:EP43)/Summary!$K$18,0)</f>
        <v>0</v>
      </c>
      <c r="EE64" s="162">
        <f>IF(EE1=Summary!$K$19,SUM('Monthly CF'!EF43:EQ43)/Summary!$K$18,0)</f>
        <v>0</v>
      </c>
    </row>
    <row r="65" spans="1:135" x14ac:dyDescent="0.35">
      <c r="A65" s="168">
        <f>SUMIF($C$1:$EE$1,"&lt;="&amp;Summary!$K$19,'Monthly CF'!C65:EE65)</f>
        <v>-1399309.603439912</v>
      </c>
      <c r="B65" s="5" t="s">
        <v>55</v>
      </c>
      <c r="C65" s="160"/>
      <c r="D65" s="161">
        <f>D64*-Summary!$K$17</f>
        <v>0</v>
      </c>
      <c r="E65" s="161">
        <f>E64*-Summary!$K$17</f>
        <v>0</v>
      </c>
      <c r="F65" s="161">
        <f>F64*-Summary!$K$17</f>
        <v>0</v>
      </c>
      <c r="G65" s="161">
        <f>G64*-Summary!$K$17</f>
        <v>0</v>
      </c>
      <c r="H65" s="161">
        <f>H64*-Summary!$K$17</f>
        <v>0</v>
      </c>
      <c r="I65" s="161">
        <f>I64*-Summary!$K$17</f>
        <v>0</v>
      </c>
      <c r="J65" s="161">
        <f>J64*-Summary!$K$17</f>
        <v>0</v>
      </c>
      <c r="K65" s="161">
        <f>K64*-Summary!$K$17</f>
        <v>0</v>
      </c>
      <c r="L65" s="161">
        <f>L64*-Summary!$K$17</f>
        <v>0</v>
      </c>
      <c r="M65" s="161">
        <f>M64*-Summary!$K$17</f>
        <v>0</v>
      </c>
      <c r="N65" s="161">
        <f>N64*-Summary!$K$17</f>
        <v>0</v>
      </c>
      <c r="O65" s="161">
        <f>O64*-Summary!$K$17</f>
        <v>0</v>
      </c>
      <c r="P65" s="161">
        <f>P64*-Summary!$K$17</f>
        <v>0</v>
      </c>
      <c r="Q65" s="161">
        <f>Q64*-Summary!$K$17</f>
        <v>0</v>
      </c>
      <c r="R65" s="161">
        <f>R64*-Summary!$K$17</f>
        <v>0</v>
      </c>
      <c r="S65" s="161">
        <f>S64*-Summary!$K$17</f>
        <v>0</v>
      </c>
      <c r="T65" s="161">
        <f>T64*-Summary!$K$17</f>
        <v>0</v>
      </c>
      <c r="U65" s="161">
        <f>U64*-Summary!$K$17</f>
        <v>0</v>
      </c>
      <c r="V65" s="161">
        <f>V64*-Summary!$K$17</f>
        <v>0</v>
      </c>
      <c r="W65" s="161">
        <f>W64*-Summary!$K$17</f>
        <v>0</v>
      </c>
      <c r="X65" s="161">
        <f>X64*-Summary!$K$17</f>
        <v>0</v>
      </c>
      <c r="Y65" s="161">
        <f>Y64*-Summary!$K$17</f>
        <v>0</v>
      </c>
      <c r="Z65" s="161">
        <f>Z64*-Summary!$K$17</f>
        <v>0</v>
      </c>
      <c r="AA65" s="161">
        <f>AA64*-Summary!$K$17</f>
        <v>0</v>
      </c>
      <c r="AB65" s="161">
        <f>AB64*-Summary!$K$17</f>
        <v>0</v>
      </c>
      <c r="AC65" s="161">
        <f>AC64*-Summary!$K$17</f>
        <v>0</v>
      </c>
      <c r="AD65" s="161">
        <f>AD64*-Summary!$K$17</f>
        <v>0</v>
      </c>
      <c r="AE65" s="161">
        <f>AE64*-Summary!$K$17</f>
        <v>0</v>
      </c>
      <c r="AF65" s="161">
        <f>AF64*-Summary!$K$17</f>
        <v>0</v>
      </c>
      <c r="AG65" s="161">
        <f>AG64*-Summary!$K$17</f>
        <v>0</v>
      </c>
      <c r="AH65" s="161">
        <f>AH64*-Summary!$K$17</f>
        <v>0</v>
      </c>
      <c r="AI65" s="161">
        <f>AI64*-Summary!$K$17</f>
        <v>0</v>
      </c>
      <c r="AJ65" s="161">
        <f>AJ64*-Summary!$K$17</f>
        <v>0</v>
      </c>
      <c r="AK65" s="161">
        <f>AK64*-Summary!$K$17</f>
        <v>0</v>
      </c>
      <c r="AL65" s="161">
        <f>AL64*-Summary!$K$17</f>
        <v>0</v>
      </c>
      <c r="AM65" s="161">
        <f>AM64*-Summary!$K$17</f>
        <v>0</v>
      </c>
      <c r="AN65" s="161">
        <f>AN64*-Summary!$K$17</f>
        <v>0</v>
      </c>
      <c r="AO65" s="161">
        <f>AO64*-Summary!$K$17</f>
        <v>0</v>
      </c>
      <c r="AP65" s="161">
        <f>AP64*-Summary!$K$17</f>
        <v>0</v>
      </c>
      <c r="AQ65" s="161">
        <f>AQ64*-Summary!$K$17</f>
        <v>0</v>
      </c>
      <c r="AR65" s="161">
        <f>AR64*-Summary!$K$17</f>
        <v>0</v>
      </c>
      <c r="AS65" s="161">
        <f>AS64*-Summary!$K$17</f>
        <v>0</v>
      </c>
      <c r="AT65" s="161">
        <f>AT64*-Summary!$K$17</f>
        <v>0</v>
      </c>
      <c r="AU65" s="161">
        <f>AU64*-Summary!$K$17</f>
        <v>0</v>
      </c>
      <c r="AV65" s="161">
        <f>AV64*-Summary!$K$17</f>
        <v>0</v>
      </c>
      <c r="AW65" s="161">
        <f>AW64*-Summary!$K$17</f>
        <v>0</v>
      </c>
      <c r="AX65" s="161">
        <f>AX64*-Summary!$K$17</f>
        <v>0</v>
      </c>
      <c r="AY65" s="161">
        <f>AY64*-Summary!$K$17</f>
        <v>0</v>
      </c>
      <c r="AZ65" s="161">
        <f>AZ64*-Summary!$K$17</f>
        <v>0</v>
      </c>
      <c r="BA65" s="161">
        <f>BA64*-Summary!$K$17</f>
        <v>0</v>
      </c>
      <c r="BB65" s="161">
        <f>BB64*-Summary!$K$17</f>
        <v>0</v>
      </c>
      <c r="BC65" s="161">
        <f>BC64*-Summary!$K$17</f>
        <v>0</v>
      </c>
      <c r="BD65" s="161">
        <f>BD64*-Summary!$K$17</f>
        <v>0</v>
      </c>
      <c r="BE65" s="161">
        <f>BE64*-Summary!$K$17</f>
        <v>0</v>
      </c>
      <c r="BF65" s="161">
        <f>BF64*-Summary!$K$17</f>
        <v>0</v>
      </c>
      <c r="BG65" s="161">
        <f>BG64*-Summary!$K$17</f>
        <v>0</v>
      </c>
      <c r="BH65" s="161">
        <f>BH64*-Summary!$K$17</f>
        <v>0</v>
      </c>
      <c r="BI65" s="161">
        <f>BI64*-Summary!$K$17</f>
        <v>0</v>
      </c>
      <c r="BJ65" s="161">
        <f>BJ64*-Summary!$K$17</f>
        <v>0</v>
      </c>
      <c r="BK65" s="161">
        <f>BK64*-Summary!$K$17</f>
        <v>0</v>
      </c>
      <c r="BL65" s="161">
        <f>BL64*-Summary!$K$17</f>
        <v>0</v>
      </c>
      <c r="BM65" s="161">
        <f>BM64*-Summary!$K$17</f>
        <v>0</v>
      </c>
      <c r="BN65" s="161">
        <f>BN64*-Summary!$K$17</f>
        <v>0</v>
      </c>
      <c r="BO65" s="161">
        <f>BO64*-Summary!$K$17</f>
        <v>0</v>
      </c>
      <c r="BP65" s="161">
        <f>BP64*-Summary!$K$17</f>
        <v>0</v>
      </c>
      <c r="BQ65" s="161">
        <f>BQ64*-Summary!$K$17</f>
        <v>0</v>
      </c>
      <c r="BR65" s="161">
        <f>BR64*-Summary!$K$17</f>
        <v>0</v>
      </c>
      <c r="BS65" s="161">
        <f>BS64*-Summary!$K$17</f>
        <v>0</v>
      </c>
      <c r="BT65" s="161">
        <f>BT64*-Summary!$K$17</f>
        <v>0</v>
      </c>
      <c r="BU65" s="161">
        <f>BU64*-Summary!$K$17</f>
        <v>0</v>
      </c>
      <c r="BV65" s="161">
        <f>BV64*-Summary!$K$17</f>
        <v>0</v>
      </c>
      <c r="BW65" s="161">
        <f>BW64*-Summary!$K$17</f>
        <v>0</v>
      </c>
      <c r="BX65" s="161">
        <f>BX64*-Summary!$K$17</f>
        <v>0</v>
      </c>
      <c r="BY65" s="161">
        <f>BY64*-Summary!$K$17</f>
        <v>0</v>
      </c>
      <c r="BZ65" s="161">
        <f>BZ64*-Summary!$K$17</f>
        <v>0</v>
      </c>
      <c r="CA65" s="161">
        <f>CA64*-Summary!$K$17</f>
        <v>0</v>
      </c>
      <c r="CB65" s="161">
        <f>CB64*-Summary!$K$17</f>
        <v>0</v>
      </c>
      <c r="CC65" s="161">
        <f>CC64*-Summary!$K$17</f>
        <v>0</v>
      </c>
      <c r="CD65" s="161">
        <f>CD64*-Summary!$K$17</f>
        <v>0</v>
      </c>
      <c r="CE65" s="161">
        <f>CE64*-Summary!$K$17</f>
        <v>0</v>
      </c>
      <c r="CF65" s="161">
        <f>CF64*-Summary!$K$17</f>
        <v>0</v>
      </c>
      <c r="CG65" s="161">
        <f>CG64*-Summary!$K$17</f>
        <v>0</v>
      </c>
      <c r="CH65" s="161">
        <f>CH64*-Summary!$K$17</f>
        <v>0</v>
      </c>
      <c r="CI65" s="161">
        <f>CI64*-Summary!$K$17</f>
        <v>0</v>
      </c>
      <c r="CJ65" s="161">
        <f>CJ64*-Summary!$K$17</f>
        <v>0</v>
      </c>
      <c r="CK65" s="161">
        <f>CK64*-Summary!$K$17</f>
        <v>0</v>
      </c>
      <c r="CL65" s="161">
        <f>CL64*-Summary!$K$17</f>
        <v>0</v>
      </c>
      <c r="CM65" s="161">
        <f>CM64*-Summary!$K$17</f>
        <v>0</v>
      </c>
      <c r="CN65" s="161">
        <f>CN64*-Summary!$K$17</f>
        <v>0</v>
      </c>
      <c r="CO65" s="161">
        <f>CO64*-Summary!$K$17</f>
        <v>0</v>
      </c>
      <c r="CP65" s="161">
        <f>CP64*-Summary!$K$17</f>
        <v>0</v>
      </c>
      <c r="CQ65" s="161">
        <f>CQ64*-Summary!$K$17</f>
        <v>0</v>
      </c>
      <c r="CR65" s="161">
        <f>CR64*-Summary!$K$17</f>
        <v>0</v>
      </c>
      <c r="CS65" s="161">
        <f>CS64*-Summary!$K$17</f>
        <v>0</v>
      </c>
      <c r="CT65" s="161">
        <f>CT64*-Summary!$K$17</f>
        <v>0</v>
      </c>
      <c r="CU65" s="161">
        <f>CU64*-Summary!$K$17</f>
        <v>0</v>
      </c>
      <c r="CV65" s="161">
        <f>CV64*-Summary!$K$17</f>
        <v>0</v>
      </c>
      <c r="CW65" s="161">
        <f>CW64*-Summary!$K$17</f>
        <v>0</v>
      </c>
      <c r="CX65" s="161">
        <f>CX64*-Summary!$K$17</f>
        <v>0</v>
      </c>
      <c r="CY65" s="161">
        <f>CY64*-Summary!$K$17</f>
        <v>0</v>
      </c>
      <c r="CZ65" s="161">
        <f>CZ64*-Summary!$K$17</f>
        <v>0</v>
      </c>
      <c r="DA65" s="161">
        <f>DA64*-Summary!$K$17</f>
        <v>0</v>
      </c>
      <c r="DB65" s="161">
        <f>DB64*-Summary!$K$17</f>
        <v>0</v>
      </c>
      <c r="DC65" s="161">
        <f>DC64*-Summary!$K$17</f>
        <v>0</v>
      </c>
      <c r="DD65" s="161">
        <f>DD64*-Summary!$K$17</f>
        <v>0</v>
      </c>
      <c r="DE65" s="161">
        <f>DE64*-Summary!$K$17</f>
        <v>0</v>
      </c>
      <c r="DF65" s="161">
        <f>DF64*-Summary!$K$17</f>
        <v>0</v>
      </c>
      <c r="DG65" s="161">
        <f>DG64*-Summary!$K$17</f>
        <v>0</v>
      </c>
      <c r="DH65" s="161">
        <f>DH64*-Summary!$K$17</f>
        <v>0</v>
      </c>
      <c r="DI65" s="161">
        <f>DI64*-Summary!$K$17</f>
        <v>0</v>
      </c>
      <c r="DJ65" s="161">
        <f>DJ64*-Summary!$K$17</f>
        <v>0</v>
      </c>
      <c r="DK65" s="161">
        <f>DK64*-Summary!$K$17</f>
        <v>0</v>
      </c>
      <c r="DL65" s="161">
        <f>DL64*-Summary!$K$17</f>
        <v>0</v>
      </c>
      <c r="DM65" s="161">
        <f>DM64*-Summary!$K$17</f>
        <v>0</v>
      </c>
      <c r="DN65" s="161">
        <f>DN64*-Summary!$K$17</f>
        <v>0</v>
      </c>
      <c r="DO65" s="161">
        <f>DO64*-Summary!$K$17</f>
        <v>0</v>
      </c>
      <c r="DP65" s="161">
        <f>DP64*-Summary!$K$17</f>
        <v>0</v>
      </c>
      <c r="DQ65" s="161">
        <f>DQ64*-Summary!$K$17</f>
        <v>0</v>
      </c>
      <c r="DR65" s="161">
        <f>DR64*-Summary!$K$17</f>
        <v>0</v>
      </c>
      <c r="DS65" s="161">
        <f>DS64*-Summary!$K$17</f>
        <v>-1399309.603439912</v>
      </c>
      <c r="DT65" s="161">
        <f>DT64*-Summary!$K$17</f>
        <v>0</v>
      </c>
      <c r="DU65" s="161">
        <f>DU64*-Summary!$K$17</f>
        <v>0</v>
      </c>
      <c r="DV65" s="161">
        <f>DV64*-Summary!$K$17</f>
        <v>0</v>
      </c>
      <c r="DW65" s="161">
        <f>DW64*-Summary!$K$17</f>
        <v>0</v>
      </c>
      <c r="DX65" s="161">
        <f>DX64*-Summary!$K$17</f>
        <v>0</v>
      </c>
      <c r="DY65" s="161">
        <f>DY64*-Summary!$K$17</f>
        <v>0</v>
      </c>
      <c r="DZ65" s="161">
        <f>DZ64*-Summary!$K$17</f>
        <v>0</v>
      </c>
      <c r="EA65" s="161">
        <f>EA64*-Summary!$K$17</f>
        <v>0</v>
      </c>
      <c r="EB65" s="161">
        <f>EB64*-Summary!$K$17</f>
        <v>0</v>
      </c>
      <c r="EC65" s="161">
        <f>EC64*-Summary!$K$17</f>
        <v>0</v>
      </c>
      <c r="ED65" s="161">
        <f>ED64*-Summary!$K$17</f>
        <v>0</v>
      </c>
      <c r="EE65" s="162">
        <f>EE64*-Summary!$K$17</f>
        <v>0</v>
      </c>
    </row>
    <row r="66" spans="1:135" x14ac:dyDescent="0.35">
      <c r="B66" s="5"/>
      <c r="C66" s="160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161"/>
      <c r="BB66" s="161"/>
      <c r="BC66" s="161"/>
      <c r="BD66" s="161"/>
      <c r="BE66" s="161"/>
      <c r="BF66" s="161"/>
      <c r="BG66" s="161"/>
      <c r="BH66" s="161"/>
      <c r="BI66" s="161"/>
      <c r="BJ66" s="161"/>
      <c r="BK66" s="161"/>
      <c r="BL66" s="161"/>
      <c r="BM66" s="161"/>
      <c r="BN66" s="161"/>
      <c r="BO66" s="161"/>
      <c r="BP66" s="161"/>
      <c r="BQ66" s="161"/>
      <c r="BR66" s="161"/>
      <c r="BS66" s="161"/>
      <c r="BT66" s="161"/>
      <c r="BU66" s="161"/>
      <c r="BV66" s="161"/>
      <c r="BW66" s="161"/>
      <c r="BX66" s="161"/>
      <c r="BY66" s="161"/>
      <c r="BZ66" s="161"/>
      <c r="CA66" s="161"/>
      <c r="CB66" s="161"/>
      <c r="CC66" s="161"/>
      <c r="CD66" s="161"/>
      <c r="CE66" s="161"/>
      <c r="CF66" s="161"/>
      <c r="CG66" s="161"/>
      <c r="CH66" s="161"/>
      <c r="CI66" s="161"/>
      <c r="CJ66" s="161"/>
      <c r="CK66" s="161"/>
      <c r="CL66" s="161"/>
      <c r="CM66" s="161"/>
      <c r="CN66" s="161"/>
      <c r="CO66" s="161"/>
      <c r="CP66" s="161"/>
      <c r="CQ66" s="161"/>
      <c r="CR66" s="161"/>
      <c r="CS66" s="161"/>
      <c r="CT66" s="161"/>
      <c r="CU66" s="161"/>
      <c r="CV66" s="161"/>
      <c r="CW66" s="161"/>
      <c r="CX66" s="161"/>
      <c r="CY66" s="161"/>
      <c r="CZ66" s="161"/>
      <c r="DA66" s="161"/>
      <c r="DB66" s="161"/>
      <c r="DC66" s="161"/>
      <c r="DD66" s="161"/>
      <c r="DE66" s="161"/>
      <c r="DF66" s="161"/>
      <c r="DG66" s="161"/>
      <c r="DH66" s="161"/>
      <c r="DI66" s="161"/>
      <c r="DJ66" s="161"/>
      <c r="DK66" s="161"/>
      <c r="DL66" s="161"/>
      <c r="DM66" s="161"/>
      <c r="DN66" s="161"/>
      <c r="DO66" s="161"/>
      <c r="DP66" s="161"/>
      <c r="DQ66" s="161"/>
      <c r="DR66" s="161"/>
      <c r="DS66" s="161"/>
      <c r="DT66" s="161"/>
      <c r="DU66" s="161"/>
      <c r="DV66" s="161"/>
      <c r="DW66" s="161"/>
      <c r="DX66" s="161"/>
      <c r="DY66" s="161"/>
      <c r="DZ66" s="161"/>
      <c r="EA66" s="161"/>
      <c r="EB66" s="161"/>
      <c r="EC66" s="161"/>
      <c r="ED66" s="161"/>
      <c r="EE66" s="162"/>
    </row>
    <row r="67" spans="1:135" x14ac:dyDescent="0.35">
      <c r="A67" s="168">
        <f>SUMIF($C$1:$EE$1,"&lt;="&amp;Summary!$K$19,'Monthly CF'!C67:EE67)</f>
        <v>15050610.914685832</v>
      </c>
      <c r="B67" s="14" t="s">
        <v>194</v>
      </c>
      <c r="C67" s="166">
        <f>SUM(C47,C50:C53,C58:C59,C62:C65)</f>
        <v>-14710000</v>
      </c>
      <c r="D67" s="164">
        <f t="shared" ref="D67:BO67" si="27">SUM(D47,D50:D53,D58:D59,D62:D65)</f>
        <v>61962.833333333358</v>
      </c>
      <c r="E67" s="164">
        <f t="shared" si="27"/>
        <v>0</v>
      </c>
      <c r="F67" s="164">
        <f t="shared" si="27"/>
        <v>0</v>
      </c>
      <c r="G67" s="164">
        <f t="shared" si="27"/>
        <v>-114888.01631014998</v>
      </c>
      <c r="H67" s="164">
        <f t="shared" si="27"/>
        <v>-154083.18065764633</v>
      </c>
      <c r="I67" s="164">
        <f t="shared" si="27"/>
        <v>-124848.16953353344</v>
      </c>
      <c r="J67" s="164">
        <f t="shared" si="27"/>
        <v>-123102.31145294312</v>
      </c>
      <c r="K67" s="164">
        <f t="shared" si="27"/>
        <v>-66345.547001404295</v>
      </c>
      <c r="L67" s="164">
        <f t="shared" si="27"/>
        <v>-64577.816460786285</v>
      </c>
      <c r="M67" s="164">
        <f t="shared" si="27"/>
        <v>36200.940192188937</v>
      </c>
      <c r="N67" s="164">
        <f t="shared" si="27"/>
        <v>37990.783287440208</v>
      </c>
      <c r="O67" s="164">
        <f t="shared" si="27"/>
        <v>39791.773463028905</v>
      </c>
      <c r="P67" s="164">
        <f t="shared" si="27"/>
        <v>53879.371666666892</v>
      </c>
      <c r="Q67" s="164">
        <f t="shared" si="27"/>
        <v>55536.685435718726</v>
      </c>
      <c r="R67" s="164">
        <f t="shared" si="27"/>
        <v>57202.566442689233</v>
      </c>
      <c r="S67" s="164">
        <f t="shared" si="27"/>
        <v>57927.83116742679</v>
      </c>
      <c r="T67" s="164">
        <f t="shared" si="27"/>
        <v>58655.524854191768</v>
      </c>
      <c r="U67" s="164">
        <f t="shared" si="27"/>
        <v>59385.655589516056</v>
      </c>
      <c r="V67" s="164">
        <f t="shared" si="27"/>
        <v>60118.231486737044</v>
      </c>
      <c r="W67" s="164">
        <f t="shared" si="27"/>
        <v>60853.260686086272</v>
      </c>
      <c r="X67" s="164">
        <f t="shared" si="27"/>
        <v>61590.751354778258</v>
      </c>
      <c r="Y67" s="164">
        <f t="shared" si="27"/>
        <v>62330.711687099581</v>
      </c>
      <c r="Z67" s="164">
        <f t="shared" si="27"/>
        <v>63073.149904498292</v>
      </c>
      <c r="AA67" s="164">
        <f t="shared" si="27"/>
        <v>63818.074255673811</v>
      </c>
      <c r="AB67" s="164">
        <f t="shared" si="27"/>
        <v>66624.86701666702</v>
      </c>
      <c r="AC67" s="164">
        <f t="shared" si="27"/>
        <v>94910.155198109933</v>
      </c>
      <c r="AD67" s="164">
        <f t="shared" si="27"/>
        <v>95467.648258567802</v>
      </c>
      <c r="AE67" s="164">
        <f t="shared" si="27"/>
        <v>96026.516247308944</v>
      </c>
      <c r="AF67" s="164">
        <f t="shared" si="27"/>
        <v>96586.762555277397</v>
      </c>
      <c r="AG67" s="164">
        <f t="shared" si="27"/>
        <v>97148.390581780244</v>
      </c>
      <c r="AH67" s="164">
        <f t="shared" si="27"/>
        <v>97711.40373450816</v>
      </c>
      <c r="AI67" s="164">
        <f t="shared" si="27"/>
        <v>98275.805429556014</v>
      </c>
      <c r="AJ67" s="164">
        <f t="shared" si="27"/>
        <v>98841.599091443859</v>
      </c>
      <c r="AK67" s="164">
        <f t="shared" si="27"/>
        <v>99408.788153137386</v>
      </c>
      <c r="AL67" s="164">
        <f t="shared" si="27"/>
        <v>99977.376056068941</v>
      </c>
      <c r="AM67" s="164">
        <f t="shared" si="27"/>
        <v>100547.3662501583</v>
      </c>
      <c r="AN67" s="164">
        <f t="shared" si="27"/>
        <v>62323.344539481128</v>
      </c>
      <c r="AO67" s="164">
        <f t="shared" si="27"/>
        <v>62896.149699700618</v>
      </c>
      <c r="AP67" s="164">
        <f t="shared" si="27"/>
        <v>63470.367551972216</v>
      </c>
      <c r="AQ67" s="164">
        <f t="shared" si="27"/>
        <v>64046.001580375625</v>
      </c>
      <c r="AR67" s="164">
        <f t="shared" si="27"/>
        <v>64623.05527758316</v>
      </c>
      <c r="AS67" s="164">
        <f t="shared" si="27"/>
        <v>65201.532144881116</v>
      </c>
      <c r="AT67" s="164">
        <f t="shared" si="27"/>
        <v>65781.435692190862</v>
      </c>
      <c r="AU67" s="164">
        <f t="shared" si="27"/>
        <v>66362.769438090152</v>
      </c>
      <c r="AV67" s="164">
        <f t="shared" si="27"/>
        <v>66945.536909834569</v>
      </c>
      <c r="AW67" s="164">
        <f t="shared" si="27"/>
        <v>67529.741643378889</v>
      </c>
      <c r="AX67" s="164">
        <f t="shared" si="27"/>
        <v>68115.387183398328</v>
      </c>
      <c r="AY67" s="164">
        <f t="shared" si="27"/>
        <v>68702.477083310514</v>
      </c>
      <c r="AZ67" s="164">
        <f t="shared" si="27"/>
        <v>67916.884180296358</v>
      </c>
      <c r="BA67" s="164">
        <f t="shared" si="27"/>
        <v>68506.873495322448</v>
      </c>
      <c r="BB67" s="164">
        <f t="shared" si="27"/>
        <v>69098.317883162177</v>
      </c>
      <c r="BC67" s="164">
        <f t="shared" si="27"/>
        <v>69691.220932417666</v>
      </c>
      <c r="BD67" s="164">
        <f t="shared" si="27"/>
        <v>70285.586240541452</v>
      </c>
      <c r="BE67" s="164">
        <f t="shared" si="27"/>
        <v>70881.417413858377</v>
      </c>
      <c r="BF67" s="164">
        <f t="shared" si="27"/>
        <v>71478.718067587324</v>
      </c>
      <c r="BG67" s="164">
        <f t="shared" si="27"/>
        <v>72077.49182586369</v>
      </c>
      <c r="BH67" s="164">
        <f t="shared" si="27"/>
        <v>72677.742321760423</v>
      </c>
      <c r="BI67" s="164">
        <f t="shared" si="27"/>
        <v>73279.473197311076</v>
      </c>
      <c r="BJ67" s="164">
        <f t="shared" si="27"/>
        <v>73882.688103531167</v>
      </c>
      <c r="BK67" s="164">
        <f t="shared" si="27"/>
        <v>4708880.6447629668</v>
      </c>
      <c r="BL67" s="164">
        <f t="shared" si="27"/>
        <v>97806.206831355579</v>
      </c>
      <c r="BM67" s="164">
        <f t="shared" si="27"/>
        <v>98413.895825832442</v>
      </c>
      <c r="BN67" s="164">
        <f t="shared" si="27"/>
        <v>99023.083545307454</v>
      </c>
      <c r="BO67" s="164">
        <f t="shared" si="27"/>
        <v>99633.7736860406</v>
      </c>
      <c r="BP67" s="164">
        <f t="shared" ref="BP67:EA67" si="28">SUM(BP47,BP50:BP53,BP58:BP59,BP62:BP65)</f>
        <v>100245.96995340797</v>
      </c>
      <c r="BQ67" s="164">
        <f t="shared" si="28"/>
        <v>100859.67606192443</v>
      </c>
      <c r="BR67" s="164">
        <f t="shared" si="28"/>
        <v>101474.89573526528</v>
      </c>
      <c r="BS67" s="164">
        <f t="shared" si="28"/>
        <v>102091.63270628982</v>
      </c>
      <c r="BT67" s="164">
        <f t="shared" si="28"/>
        <v>102709.89071706356</v>
      </c>
      <c r="BU67" s="164">
        <f t="shared" si="28"/>
        <v>103329.67351888074</v>
      </c>
      <c r="BV67" s="164">
        <f t="shared" si="28"/>
        <v>103950.98487228743</v>
      </c>
      <c r="BW67" s="164">
        <f t="shared" si="28"/>
        <v>104573.8285471042</v>
      </c>
      <c r="BX67" s="164">
        <f t="shared" si="28"/>
        <v>103740.39303629647</v>
      </c>
      <c r="BY67" s="164">
        <f t="shared" si="28"/>
        <v>104366.3127006077</v>
      </c>
      <c r="BZ67" s="164">
        <f t="shared" si="28"/>
        <v>104993.77605166682</v>
      </c>
      <c r="CA67" s="164">
        <f t="shared" si="28"/>
        <v>105622.78689662198</v>
      </c>
      <c r="CB67" s="164">
        <f t="shared" si="28"/>
        <v>106253.34905201051</v>
      </c>
      <c r="CC67" s="164">
        <f t="shared" si="28"/>
        <v>106885.46634378238</v>
      </c>
      <c r="CD67" s="164">
        <f t="shared" si="28"/>
        <v>107519.14260732359</v>
      </c>
      <c r="CE67" s="164">
        <f t="shared" si="28"/>
        <v>108154.38168747889</v>
      </c>
      <c r="CF67" s="164">
        <f t="shared" si="28"/>
        <v>108791.18743857578</v>
      </c>
      <c r="CG67" s="164">
        <f t="shared" si="28"/>
        <v>109429.56372444748</v>
      </c>
      <c r="CH67" s="164">
        <f t="shared" si="28"/>
        <v>110069.51441845635</v>
      </c>
      <c r="CI67" s="164">
        <f t="shared" si="28"/>
        <v>110711.0434035176</v>
      </c>
      <c r="CJ67" s="164">
        <f t="shared" si="28"/>
        <v>109852.60482738572</v>
      </c>
      <c r="CK67" s="164">
        <f t="shared" si="28"/>
        <v>110497.30208162623</v>
      </c>
      <c r="CL67" s="164">
        <f t="shared" si="28"/>
        <v>111143.58933321718</v>
      </c>
      <c r="CM67" s="164">
        <f t="shared" si="28"/>
        <v>111791.47050352098</v>
      </c>
      <c r="CN67" s="164">
        <f t="shared" si="28"/>
        <v>112440.94952357112</v>
      </c>
      <c r="CO67" s="164">
        <f t="shared" si="28"/>
        <v>113092.0303340962</v>
      </c>
      <c r="CP67" s="164">
        <f t="shared" si="28"/>
        <v>113744.7168855436</v>
      </c>
      <c r="CQ67" s="164">
        <f t="shared" si="28"/>
        <v>114399.01313810362</v>
      </c>
      <c r="CR67" s="164">
        <f t="shared" si="28"/>
        <v>115054.92306173345</v>
      </c>
      <c r="CS67" s="164">
        <f t="shared" si="28"/>
        <v>115712.45063618128</v>
      </c>
      <c r="CT67" s="164">
        <f t="shared" si="28"/>
        <v>116371.59985101043</v>
      </c>
      <c r="CU67" s="164">
        <f t="shared" si="28"/>
        <v>117032.37470562349</v>
      </c>
      <c r="CV67" s="164">
        <f t="shared" si="28"/>
        <v>72923.594332569861</v>
      </c>
      <c r="CW67" s="164">
        <f t="shared" si="28"/>
        <v>73587.632504437672</v>
      </c>
      <c r="CX67" s="164">
        <f t="shared" si="28"/>
        <v>74253.308373576292</v>
      </c>
      <c r="CY67" s="164">
        <f t="shared" si="28"/>
        <v>74920.625978989236</v>
      </c>
      <c r="CZ67" s="164">
        <f t="shared" si="28"/>
        <v>75589.589369640773</v>
      </c>
      <c r="DA67" s="164">
        <f t="shared" si="28"/>
        <v>76260.20260448163</v>
      </c>
      <c r="DB67" s="164">
        <f t="shared" si="28"/>
        <v>76932.469752472389</v>
      </c>
      <c r="DC67" s="164">
        <f t="shared" si="28"/>
        <v>77606.394892609242</v>
      </c>
      <c r="DD67" s="164">
        <f t="shared" si="28"/>
        <v>78281.982113947946</v>
      </c>
      <c r="DE67" s="164">
        <f t="shared" si="28"/>
        <v>78959.235515629203</v>
      </c>
      <c r="DF67" s="164">
        <f t="shared" si="28"/>
        <v>79638.159206903307</v>
      </c>
      <c r="DG67" s="164">
        <f t="shared" si="28"/>
        <v>80318.757307154796</v>
      </c>
      <c r="DH67" s="164">
        <f t="shared" si="28"/>
        <v>79408.039821736485</v>
      </c>
      <c r="DI67" s="164">
        <f t="shared" si="28"/>
        <v>80091.999138760293</v>
      </c>
      <c r="DJ67" s="164">
        <f t="shared" si="28"/>
        <v>80777.645283973165</v>
      </c>
      <c r="DK67" s="164">
        <f t="shared" si="28"/>
        <v>81464.982417548454</v>
      </c>
      <c r="DL67" s="164">
        <f t="shared" si="28"/>
        <v>82154.014709919604</v>
      </c>
      <c r="DM67" s="164">
        <f t="shared" si="28"/>
        <v>82844.746341805585</v>
      </c>
      <c r="DN67" s="164">
        <f t="shared" si="28"/>
        <v>83537.181504236185</v>
      </c>
      <c r="DO67" s="164">
        <f t="shared" si="28"/>
        <v>84231.32439857701</v>
      </c>
      <c r="DP67" s="164">
        <f t="shared" si="28"/>
        <v>84927.179236555967</v>
      </c>
      <c r="DQ67" s="164">
        <f t="shared" si="28"/>
        <v>85624.750240287685</v>
      </c>
      <c r="DR67" s="164">
        <f t="shared" si="28"/>
        <v>86324.041642299882</v>
      </c>
      <c r="DS67" s="164">
        <f t="shared" si="28"/>
        <v>16409514.96462255</v>
      </c>
      <c r="DT67" s="164">
        <f t="shared" si="28"/>
        <v>0</v>
      </c>
      <c r="DU67" s="164">
        <f t="shared" si="28"/>
        <v>0</v>
      </c>
      <c r="DV67" s="164">
        <f t="shared" si="28"/>
        <v>0</v>
      </c>
      <c r="DW67" s="164">
        <f t="shared" si="28"/>
        <v>0</v>
      </c>
      <c r="DX67" s="164">
        <f t="shared" si="28"/>
        <v>0</v>
      </c>
      <c r="DY67" s="164">
        <f t="shared" si="28"/>
        <v>0</v>
      </c>
      <c r="DZ67" s="164">
        <f t="shared" si="28"/>
        <v>0</v>
      </c>
      <c r="EA67" s="164">
        <f t="shared" si="28"/>
        <v>0</v>
      </c>
      <c r="EB67" s="164">
        <f t="shared" ref="EB67:EE67" si="29">SUM(EB47,EB50:EB53,EB58:EB59,EB62:EB65)</f>
        <v>0</v>
      </c>
      <c r="EC67" s="164">
        <f t="shared" si="29"/>
        <v>0</v>
      </c>
      <c r="ED67" s="164">
        <f t="shared" si="29"/>
        <v>0</v>
      </c>
      <c r="EE67" s="165">
        <f t="shared" si="29"/>
        <v>0</v>
      </c>
    </row>
    <row r="69" spans="1:135" x14ac:dyDescent="0.35">
      <c r="B69" s="29" t="s">
        <v>191</v>
      </c>
      <c r="C69" s="167">
        <v>0</v>
      </c>
      <c r="D69" s="161">
        <f>C70</f>
        <v>300000</v>
      </c>
      <c r="E69" s="161">
        <f t="shared" ref="E69:BP69" si="30">D70</f>
        <v>300000</v>
      </c>
      <c r="F69" s="161">
        <f t="shared" si="30"/>
        <v>197549.87462028762</v>
      </c>
      <c r="G69" s="161">
        <f t="shared" si="30"/>
        <v>40919.387627423042</v>
      </c>
      <c r="H69" s="161">
        <f t="shared" si="30"/>
        <v>0</v>
      </c>
      <c r="I69" s="161">
        <f t="shared" si="30"/>
        <v>0</v>
      </c>
      <c r="J69" s="161">
        <f t="shared" si="30"/>
        <v>0</v>
      </c>
      <c r="K69" s="161">
        <f t="shared" si="30"/>
        <v>0</v>
      </c>
      <c r="L69" s="161">
        <f t="shared" si="30"/>
        <v>0</v>
      </c>
      <c r="M69" s="161">
        <f t="shared" si="30"/>
        <v>0</v>
      </c>
      <c r="N69" s="161">
        <f t="shared" si="30"/>
        <v>0</v>
      </c>
      <c r="O69" s="161">
        <f t="shared" si="30"/>
        <v>0</v>
      </c>
      <c r="P69" s="161">
        <f t="shared" si="30"/>
        <v>0</v>
      </c>
      <c r="Q69" s="161">
        <f t="shared" si="30"/>
        <v>0</v>
      </c>
      <c r="R69" s="161">
        <f t="shared" si="30"/>
        <v>0</v>
      </c>
      <c r="S69" s="161">
        <f t="shared" si="30"/>
        <v>0</v>
      </c>
      <c r="T69" s="161">
        <f t="shared" si="30"/>
        <v>0</v>
      </c>
      <c r="U69" s="161">
        <f t="shared" si="30"/>
        <v>0</v>
      </c>
      <c r="V69" s="161">
        <f t="shared" si="30"/>
        <v>0</v>
      </c>
      <c r="W69" s="161">
        <f t="shared" si="30"/>
        <v>0</v>
      </c>
      <c r="X69" s="161">
        <f t="shared" si="30"/>
        <v>0</v>
      </c>
      <c r="Y69" s="161">
        <f t="shared" si="30"/>
        <v>0</v>
      </c>
      <c r="Z69" s="161">
        <f t="shared" si="30"/>
        <v>0</v>
      </c>
      <c r="AA69" s="161">
        <f t="shared" si="30"/>
        <v>0</v>
      </c>
      <c r="AB69" s="161">
        <f t="shared" si="30"/>
        <v>0</v>
      </c>
      <c r="AC69" s="161">
        <f t="shared" si="30"/>
        <v>0</v>
      </c>
      <c r="AD69" s="161">
        <f t="shared" si="30"/>
        <v>0</v>
      </c>
      <c r="AE69" s="161">
        <f t="shared" si="30"/>
        <v>0</v>
      </c>
      <c r="AF69" s="161">
        <f t="shared" si="30"/>
        <v>0</v>
      </c>
      <c r="AG69" s="161">
        <f t="shared" si="30"/>
        <v>0</v>
      </c>
      <c r="AH69" s="161">
        <f t="shared" si="30"/>
        <v>0</v>
      </c>
      <c r="AI69" s="161">
        <f t="shared" si="30"/>
        <v>0</v>
      </c>
      <c r="AJ69" s="161">
        <f t="shared" si="30"/>
        <v>0</v>
      </c>
      <c r="AK69" s="161">
        <f t="shared" si="30"/>
        <v>0</v>
      </c>
      <c r="AL69" s="161">
        <f t="shared" si="30"/>
        <v>0</v>
      </c>
      <c r="AM69" s="161">
        <f t="shared" si="30"/>
        <v>0</v>
      </c>
      <c r="AN69" s="161">
        <f t="shared" si="30"/>
        <v>0</v>
      </c>
      <c r="AO69" s="161">
        <f t="shared" si="30"/>
        <v>0</v>
      </c>
      <c r="AP69" s="161">
        <f t="shared" si="30"/>
        <v>0</v>
      </c>
      <c r="AQ69" s="161">
        <f t="shared" si="30"/>
        <v>0</v>
      </c>
      <c r="AR69" s="161">
        <f t="shared" si="30"/>
        <v>0</v>
      </c>
      <c r="AS69" s="161">
        <f t="shared" si="30"/>
        <v>0</v>
      </c>
      <c r="AT69" s="161">
        <f t="shared" si="30"/>
        <v>0</v>
      </c>
      <c r="AU69" s="161">
        <f t="shared" si="30"/>
        <v>0</v>
      </c>
      <c r="AV69" s="161">
        <f t="shared" si="30"/>
        <v>0</v>
      </c>
      <c r="AW69" s="161">
        <f t="shared" si="30"/>
        <v>0</v>
      </c>
      <c r="AX69" s="161">
        <f t="shared" si="30"/>
        <v>0</v>
      </c>
      <c r="AY69" s="161">
        <f t="shared" si="30"/>
        <v>0</v>
      </c>
      <c r="AZ69" s="161">
        <f t="shared" si="30"/>
        <v>0</v>
      </c>
      <c r="BA69" s="161">
        <f t="shared" si="30"/>
        <v>0</v>
      </c>
      <c r="BB69" s="161">
        <f t="shared" si="30"/>
        <v>0</v>
      </c>
      <c r="BC69" s="161">
        <f t="shared" si="30"/>
        <v>0</v>
      </c>
      <c r="BD69" s="161">
        <f t="shared" si="30"/>
        <v>0</v>
      </c>
      <c r="BE69" s="161">
        <f t="shared" si="30"/>
        <v>0</v>
      </c>
      <c r="BF69" s="161">
        <f t="shared" si="30"/>
        <v>0</v>
      </c>
      <c r="BG69" s="161">
        <f t="shared" si="30"/>
        <v>0</v>
      </c>
      <c r="BH69" s="161">
        <f t="shared" si="30"/>
        <v>0</v>
      </c>
      <c r="BI69" s="161">
        <f t="shared" si="30"/>
        <v>0</v>
      </c>
      <c r="BJ69" s="161">
        <f t="shared" si="30"/>
        <v>0</v>
      </c>
      <c r="BK69" s="161">
        <f t="shared" si="30"/>
        <v>0</v>
      </c>
      <c r="BL69" s="161">
        <f t="shared" si="30"/>
        <v>0</v>
      </c>
      <c r="BM69" s="161">
        <f t="shared" si="30"/>
        <v>0</v>
      </c>
      <c r="BN69" s="161">
        <f t="shared" si="30"/>
        <v>0</v>
      </c>
      <c r="BO69" s="161">
        <f t="shared" si="30"/>
        <v>0</v>
      </c>
      <c r="BP69" s="161">
        <f t="shared" si="30"/>
        <v>0</v>
      </c>
      <c r="BQ69" s="161">
        <f t="shared" ref="BQ69:EB69" si="31">BP70</f>
        <v>0</v>
      </c>
      <c r="BR69" s="161">
        <f t="shared" si="31"/>
        <v>0</v>
      </c>
      <c r="BS69" s="161">
        <f t="shared" si="31"/>
        <v>0</v>
      </c>
      <c r="BT69" s="161">
        <f t="shared" si="31"/>
        <v>0</v>
      </c>
      <c r="BU69" s="161">
        <f t="shared" si="31"/>
        <v>0</v>
      </c>
      <c r="BV69" s="161">
        <f t="shared" si="31"/>
        <v>0</v>
      </c>
      <c r="BW69" s="161">
        <f t="shared" si="31"/>
        <v>0</v>
      </c>
      <c r="BX69" s="161">
        <f t="shared" si="31"/>
        <v>0</v>
      </c>
      <c r="BY69" s="161">
        <f t="shared" si="31"/>
        <v>0</v>
      </c>
      <c r="BZ69" s="161">
        <f t="shared" si="31"/>
        <v>0</v>
      </c>
      <c r="CA69" s="161">
        <f t="shared" si="31"/>
        <v>0</v>
      </c>
      <c r="CB69" s="161">
        <f t="shared" si="31"/>
        <v>0</v>
      </c>
      <c r="CC69" s="161">
        <f t="shared" si="31"/>
        <v>0</v>
      </c>
      <c r="CD69" s="161">
        <f t="shared" si="31"/>
        <v>0</v>
      </c>
      <c r="CE69" s="161">
        <f t="shared" si="31"/>
        <v>0</v>
      </c>
      <c r="CF69" s="161">
        <f t="shared" si="31"/>
        <v>0</v>
      </c>
      <c r="CG69" s="161">
        <f t="shared" si="31"/>
        <v>0</v>
      </c>
      <c r="CH69" s="161">
        <f t="shared" si="31"/>
        <v>0</v>
      </c>
      <c r="CI69" s="161">
        <f t="shared" si="31"/>
        <v>0</v>
      </c>
      <c r="CJ69" s="161">
        <f t="shared" si="31"/>
        <v>0</v>
      </c>
      <c r="CK69" s="161">
        <f t="shared" si="31"/>
        <v>0</v>
      </c>
      <c r="CL69" s="161">
        <f t="shared" si="31"/>
        <v>0</v>
      </c>
      <c r="CM69" s="161">
        <f t="shared" si="31"/>
        <v>0</v>
      </c>
      <c r="CN69" s="161">
        <f t="shared" si="31"/>
        <v>0</v>
      </c>
      <c r="CO69" s="161">
        <f t="shared" si="31"/>
        <v>0</v>
      </c>
      <c r="CP69" s="161">
        <f t="shared" si="31"/>
        <v>0</v>
      </c>
      <c r="CQ69" s="161">
        <f t="shared" si="31"/>
        <v>0</v>
      </c>
      <c r="CR69" s="161">
        <f t="shared" si="31"/>
        <v>0</v>
      </c>
      <c r="CS69" s="161">
        <f t="shared" si="31"/>
        <v>0</v>
      </c>
      <c r="CT69" s="161">
        <f t="shared" si="31"/>
        <v>0</v>
      </c>
      <c r="CU69" s="161">
        <f t="shared" si="31"/>
        <v>0</v>
      </c>
      <c r="CV69" s="161">
        <f t="shared" si="31"/>
        <v>0</v>
      </c>
      <c r="CW69" s="161">
        <f t="shared" si="31"/>
        <v>0</v>
      </c>
      <c r="CX69" s="161">
        <f t="shared" si="31"/>
        <v>0</v>
      </c>
      <c r="CY69" s="161">
        <f t="shared" si="31"/>
        <v>0</v>
      </c>
      <c r="CZ69" s="161">
        <f t="shared" si="31"/>
        <v>0</v>
      </c>
      <c r="DA69" s="161">
        <f t="shared" si="31"/>
        <v>0</v>
      </c>
      <c r="DB69" s="161">
        <f t="shared" si="31"/>
        <v>0</v>
      </c>
      <c r="DC69" s="161">
        <f t="shared" si="31"/>
        <v>0</v>
      </c>
      <c r="DD69" s="161">
        <f t="shared" si="31"/>
        <v>0</v>
      </c>
      <c r="DE69" s="161">
        <f t="shared" si="31"/>
        <v>0</v>
      </c>
      <c r="DF69" s="161">
        <f t="shared" si="31"/>
        <v>0</v>
      </c>
      <c r="DG69" s="161">
        <f t="shared" si="31"/>
        <v>0</v>
      </c>
      <c r="DH69" s="161">
        <f t="shared" si="31"/>
        <v>0</v>
      </c>
      <c r="DI69" s="161">
        <f t="shared" si="31"/>
        <v>0</v>
      </c>
      <c r="DJ69" s="161">
        <f t="shared" si="31"/>
        <v>0</v>
      </c>
      <c r="DK69" s="161">
        <f t="shared" si="31"/>
        <v>0</v>
      </c>
      <c r="DL69" s="161">
        <f t="shared" si="31"/>
        <v>0</v>
      </c>
      <c r="DM69" s="161">
        <f t="shared" si="31"/>
        <v>0</v>
      </c>
      <c r="DN69" s="161">
        <f t="shared" si="31"/>
        <v>0</v>
      </c>
      <c r="DO69" s="161">
        <f t="shared" si="31"/>
        <v>0</v>
      </c>
      <c r="DP69" s="161">
        <f t="shared" si="31"/>
        <v>0</v>
      </c>
      <c r="DQ69" s="161">
        <f t="shared" si="31"/>
        <v>0</v>
      </c>
      <c r="DR69" s="161">
        <f t="shared" si="31"/>
        <v>0</v>
      </c>
      <c r="DS69" s="161">
        <f t="shared" si="31"/>
        <v>0</v>
      </c>
      <c r="DT69" s="161">
        <f t="shared" si="31"/>
        <v>0</v>
      </c>
      <c r="DU69" s="161">
        <f t="shared" si="31"/>
        <v>0</v>
      </c>
      <c r="DV69" s="161">
        <f t="shared" si="31"/>
        <v>0</v>
      </c>
      <c r="DW69" s="161">
        <f t="shared" si="31"/>
        <v>0</v>
      </c>
      <c r="DX69" s="161">
        <f t="shared" si="31"/>
        <v>0</v>
      </c>
      <c r="DY69" s="161">
        <f t="shared" si="31"/>
        <v>0</v>
      </c>
      <c r="DZ69" s="161">
        <f t="shared" si="31"/>
        <v>0</v>
      </c>
      <c r="EA69" s="161">
        <f t="shared" si="31"/>
        <v>0</v>
      </c>
      <c r="EB69" s="161">
        <f t="shared" si="31"/>
        <v>0</v>
      </c>
      <c r="EC69" s="161">
        <f t="shared" ref="EC69:EE69" si="32">EB70</f>
        <v>0</v>
      </c>
      <c r="ED69" s="161">
        <f t="shared" si="32"/>
        <v>0</v>
      </c>
      <c r="EE69" s="161">
        <f t="shared" si="32"/>
        <v>0</v>
      </c>
    </row>
    <row r="70" spans="1:135" x14ac:dyDescent="0.35">
      <c r="B70" s="29" t="s">
        <v>192</v>
      </c>
      <c r="C70" s="161">
        <f>-C58</f>
        <v>300000</v>
      </c>
      <c r="D70" s="161">
        <f t="shared" ref="D70:AI70" si="33">D69-D59</f>
        <v>300000</v>
      </c>
      <c r="E70" s="161">
        <f t="shared" si="33"/>
        <v>197549.87462028762</v>
      </c>
      <c r="F70" s="161">
        <f t="shared" si="33"/>
        <v>40919.387627423042</v>
      </c>
      <c r="G70" s="161">
        <f t="shared" si="33"/>
        <v>0</v>
      </c>
      <c r="H70" s="161">
        <f t="shared" si="33"/>
        <v>0</v>
      </c>
      <c r="I70" s="161">
        <f t="shared" si="33"/>
        <v>0</v>
      </c>
      <c r="J70" s="161">
        <f t="shared" si="33"/>
        <v>0</v>
      </c>
      <c r="K70" s="161">
        <f t="shared" si="33"/>
        <v>0</v>
      </c>
      <c r="L70" s="161">
        <f t="shared" si="33"/>
        <v>0</v>
      </c>
      <c r="M70" s="161">
        <f t="shared" si="33"/>
        <v>0</v>
      </c>
      <c r="N70" s="161">
        <f t="shared" si="33"/>
        <v>0</v>
      </c>
      <c r="O70" s="161">
        <f t="shared" si="33"/>
        <v>0</v>
      </c>
      <c r="P70" s="161">
        <f t="shared" si="33"/>
        <v>0</v>
      </c>
      <c r="Q70" s="161">
        <f t="shared" si="33"/>
        <v>0</v>
      </c>
      <c r="R70" s="161">
        <f t="shared" si="33"/>
        <v>0</v>
      </c>
      <c r="S70" s="161">
        <f t="shared" si="33"/>
        <v>0</v>
      </c>
      <c r="T70" s="161">
        <f t="shared" si="33"/>
        <v>0</v>
      </c>
      <c r="U70" s="161">
        <f t="shared" si="33"/>
        <v>0</v>
      </c>
      <c r="V70" s="161">
        <f t="shared" si="33"/>
        <v>0</v>
      </c>
      <c r="W70" s="161">
        <f t="shared" si="33"/>
        <v>0</v>
      </c>
      <c r="X70" s="161">
        <f t="shared" si="33"/>
        <v>0</v>
      </c>
      <c r="Y70" s="161">
        <f t="shared" si="33"/>
        <v>0</v>
      </c>
      <c r="Z70" s="161">
        <f t="shared" si="33"/>
        <v>0</v>
      </c>
      <c r="AA70" s="161">
        <f t="shared" si="33"/>
        <v>0</v>
      </c>
      <c r="AB70" s="161">
        <f t="shared" si="33"/>
        <v>0</v>
      </c>
      <c r="AC70" s="161">
        <f t="shared" si="33"/>
        <v>0</v>
      </c>
      <c r="AD70" s="161">
        <f t="shared" si="33"/>
        <v>0</v>
      </c>
      <c r="AE70" s="161">
        <f t="shared" si="33"/>
        <v>0</v>
      </c>
      <c r="AF70" s="161">
        <f t="shared" si="33"/>
        <v>0</v>
      </c>
      <c r="AG70" s="161">
        <f t="shared" si="33"/>
        <v>0</v>
      </c>
      <c r="AH70" s="161">
        <f t="shared" si="33"/>
        <v>0</v>
      </c>
      <c r="AI70" s="161">
        <f t="shared" si="33"/>
        <v>0</v>
      </c>
      <c r="AJ70" s="161">
        <f t="shared" ref="AJ70:BO70" si="34">AJ69-AJ59</f>
        <v>0</v>
      </c>
      <c r="AK70" s="161">
        <f t="shared" si="34"/>
        <v>0</v>
      </c>
      <c r="AL70" s="161">
        <f t="shared" si="34"/>
        <v>0</v>
      </c>
      <c r="AM70" s="161">
        <f t="shared" si="34"/>
        <v>0</v>
      </c>
      <c r="AN70" s="161">
        <f t="shared" si="34"/>
        <v>0</v>
      </c>
      <c r="AO70" s="161">
        <f t="shared" si="34"/>
        <v>0</v>
      </c>
      <c r="AP70" s="161">
        <f t="shared" si="34"/>
        <v>0</v>
      </c>
      <c r="AQ70" s="161">
        <f t="shared" si="34"/>
        <v>0</v>
      </c>
      <c r="AR70" s="161">
        <f t="shared" si="34"/>
        <v>0</v>
      </c>
      <c r="AS70" s="161">
        <f t="shared" si="34"/>
        <v>0</v>
      </c>
      <c r="AT70" s="161">
        <f t="shared" si="34"/>
        <v>0</v>
      </c>
      <c r="AU70" s="161">
        <f t="shared" si="34"/>
        <v>0</v>
      </c>
      <c r="AV70" s="161">
        <f t="shared" si="34"/>
        <v>0</v>
      </c>
      <c r="AW70" s="161">
        <f t="shared" si="34"/>
        <v>0</v>
      </c>
      <c r="AX70" s="161">
        <f t="shared" si="34"/>
        <v>0</v>
      </c>
      <c r="AY70" s="161">
        <f t="shared" si="34"/>
        <v>0</v>
      </c>
      <c r="AZ70" s="161">
        <f t="shared" si="34"/>
        <v>0</v>
      </c>
      <c r="BA70" s="161">
        <f t="shared" si="34"/>
        <v>0</v>
      </c>
      <c r="BB70" s="161">
        <f t="shared" si="34"/>
        <v>0</v>
      </c>
      <c r="BC70" s="161">
        <f t="shared" si="34"/>
        <v>0</v>
      </c>
      <c r="BD70" s="161">
        <f t="shared" si="34"/>
        <v>0</v>
      </c>
      <c r="BE70" s="161">
        <f t="shared" si="34"/>
        <v>0</v>
      </c>
      <c r="BF70" s="161">
        <f t="shared" si="34"/>
        <v>0</v>
      </c>
      <c r="BG70" s="161">
        <f t="shared" si="34"/>
        <v>0</v>
      </c>
      <c r="BH70" s="161">
        <f t="shared" si="34"/>
        <v>0</v>
      </c>
      <c r="BI70" s="161">
        <f t="shared" si="34"/>
        <v>0</v>
      </c>
      <c r="BJ70" s="161">
        <f t="shared" si="34"/>
        <v>0</v>
      </c>
      <c r="BK70" s="161">
        <f t="shared" si="34"/>
        <v>0</v>
      </c>
      <c r="BL70" s="161">
        <f t="shared" si="34"/>
        <v>0</v>
      </c>
      <c r="BM70" s="161">
        <f t="shared" si="34"/>
        <v>0</v>
      </c>
      <c r="BN70" s="161">
        <f t="shared" si="34"/>
        <v>0</v>
      </c>
      <c r="BO70" s="161">
        <f t="shared" si="34"/>
        <v>0</v>
      </c>
      <c r="BP70" s="161">
        <f t="shared" ref="BP70:CU70" si="35">BP69-BP59</f>
        <v>0</v>
      </c>
      <c r="BQ70" s="161">
        <f t="shared" si="35"/>
        <v>0</v>
      </c>
      <c r="BR70" s="161">
        <f t="shared" si="35"/>
        <v>0</v>
      </c>
      <c r="BS70" s="161">
        <f t="shared" si="35"/>
        <v>0</v>
      </c>
      <c r="BT70" s="161">
        <f t="shared" si="35"/>
        <v>0</v>
      </c>
      <c r="BU70" s="161">
        <f t="shared" si="35"/>
        <v>0</v>
      </c>
      <c r="BV70" s="161">
        <f t="shared" si="35"/>
        <v>0</v>
      </c>
      <c r="BW70" s="161">
        <f t="shared" si="35"/>
        <v>0</v>
      </c>
      <c r="BX70" s="161">
        <f t="shared" si="35"/>
        <v>0</v>
      </c>
      <c r="BY70" s="161">
        <f t="shared" si="35"/>
        <v>0</v>
      </c>
      <c r="BZ70" s="161">
        <f t="shared" si="35"/>
        <v>0</v>
      </c>
      <c r="CA70" s="161">
        <f t="shared" si="35"/>
        <v>0</v>
      </c>
      <c r="CB70" s="161">
        <f t="shared" si="35"/>
        <v>0</v>
      </c>
      <c r="CC70" s="161">
        <f t="shared" si="35"/>
        <v>0</v>
      </c>
      <c r="CD70" s="161">
        <f t="shared" si="35"/>
        <v>0</v>
      </c>
      <c r="CE70" s="161">
        <f t="shared" si="35"/>
        <v>0</v>
      </c>
      <c r="CF70" s="161">
        <f t="shared" si="35"/>
        <v>0</v>
      </c>
      <c r="CG70" s="161">
        <f t="shared" si="35"/>
        <v>0</v>
      </c>
      <c r="CH70" s="161">
        <f t="shared" si="35"/>
        <v>0</v>
      </c>
      <c r="CI70" s="161">
        <f t="shared" si="35"/>
        <v>0</v>
      </c>
      <c r="CJ70" s="161">
        <f t="shared" si="35"/>
        <v>0</v>
      </c>
      <c r="CK70" s="161">
        <f t="shared" si="35"/>
        <v>0</v>
      </c>
      <c r="CL70" s="161">
        <f t="shared" si="35"/>
        <v>0</v>
      </c>
      <c r="CM70" s="161">
        <f t="shared" si="35"/>
        <v>0</v>
      </c>
      <c r="CN70" s="161">
        <f t="shared" si="35"/>
        <v>0</v>
      </c>
      <c r="CO70" s="161">
        <f t="shared" si="35"/>
        <v>0</v>
      </c>
      <c r="CP70" s="161">
        <f t="shared" si="35"/>
        <v>0</v>
      </c>
      <c r="CQ70" s="161">
        <f t="shared" si="35"/>
        <v>0</v>
      </c>
      <c r="CR70" s="161">
        <f t="shared" si="35"/>
        <v>0</v>
      </c>
      <c r="CS70" s="161">
        <f t="shared" si="35"/>
        <v>0</v>
      </c>
      <c r="CT70" s="161">
        <f t="shared" si="35"/>
        <v>0</v>
      </c>
      <c r="CU70" s="161">
        <f t="shared" si="35"/>
        <v>0</v>
      </c>
      <c r="CV70" s="161">
        <f t="shared" ref="CV70:EA70" si="36">CV69-CV59</f>
        <v>0</v>
      </c>
      <c r="CW70" s="161">
        <f t="shared" si="36"/>
        <v>0</v>
      </c>
      <c r="CX70" s="161">
        <f t="shared" si="36"/>
        <v>0</v>
      </c>
      <c r="CY70" s="161">
        <f t="shared" si="36"/>
        <v>0</v>
      </c>
      <c r="CZ70" s="161">
        <f t="shared" si="36"/>
        <v>0</v>
      </c>
      <c r="DA70" s="161">
        <f t="shared" si="36"/>
        <v>0</v>
      </c>
      <c r="DB70" s="161">
        <f t="shared" si="36"/>
        <v>0</v>
      </c>
      <c r="DC70" s="161">
        <f t="shared" si="36"/>
        <v>0</v>
      </c>
      <c r="DD70" s="161">
        <f t="shared" si="36"/>
        <v>0</v>
      </c>
      <c r="DE70" s="161">
        <f t="shared" si="36"/>
        <v>0</v>
      </c>
      <c r="DF70" s="161">
        <f t="shared" si="36"/>
        <v>0</v>
      </c>
      <c r="DG70" s="161">
        <f t="shared" si="36"/>
        <v>0</v>
      </c>
      <c r="DH70" s="161">
        <f t="shared" si="36"/>
        <v>0</v>
      </c>
      <c r="DI70" s="161">
        <f t="shared" si="36"/>
        <v>0</v>
      </c>
      <c r="DJ70" s="161">
        <f t="shared" si="36"/>
        <v>0</v>
      </c>
      <c r="DK70" s="161">
        <f t="shared" si="36"/>
        <v>0</v>
      </c>
      <c r="DL70" s="161">
        <f t="shared" si="36"/>
        <v>0</v>
      </c>
      <c r="DM70" s="161">
        <f t="shared" si="36"/>
        <v>0</v>
      </c>
      <c r="DN70" s="161">
        <f t="shared" si="36"/>
        <v>0</v>
      </c>
      <c r="DO70" s="161">
        <f t="shared" si="36"/>
        <v>0</v>
      </c>
      <c r="DP70" s="161">
        <f t="shared" si="36"/>
        <v>0</v>
      </c>
      <c r="DQ70" s="161">
        <f t="shared" si="36"/>
        <v>0</v>
      </c>
      <c r="DR70" s="161">
        <f t="shared" si="36"/>
        <v>0</v>
      </c>
      <c r="DS70" s="161">
        <f t="shared" si="36"/>
        <v>0</v>
      </c>
      <c r="DT70" s="161">
        <f t="shared" si="36"/>
        <v>0</v>
      </c>
      <c r="DU70" s="161">
        <f t="shared" si="36"/>
        <v>0</v>
      </c>
      <c r="DV70" s="161">
        <f t="shared" si="36"/>
        <v>0</v>
      </c>
      <c r="DW70" s="161">
        <f t="shared" si="36"/>
        <v>0</v>
      </c>
      <c r="DX70" s="161">
        <f t="shared" si="36"/>
        <v>0</v>
      </c>
      <c r="DY70" s="161">
        <f t="shared" si="36"/>
        <v>0</v>
      </c>
      <c r="DZ70" s="161">
        <f t="shared" si="36"/>
        <v>0</v>
      </c>
      <c r="EA70" s="161">
        <f t="shared" si="36"/>
        <v>0</v>
      </c>
      <c r="EB70" s="161">
        <f t="shared" ref="EB70:EE70" si="37">EB69-EB59</f>
        <v>0</v>
      </c>
      <c r="EC70" s="161">
        <f t="shared" si="37"/>
        <v>0</v>
      </c>
      <c r="ED70" s="161">
        <f t="shared" si="37"/>
        <v>0</v>
      </c>
      <c r="EE70" s="161">
        <f t="shared" si="37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8989-80FE-41C5-A285-CAB5D6C8F85C}">
  <dimension ref="A1:M68"/>
  <sheetViews>
    <sheetView showGridLines="0" zoomScale="77" zoomScaleNormal="10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O11" sqref="O11"/>
    </sheetView>
  </sheetViews>
  <sheetFormatPr defaultColWidth="8.81640625" defaultRowHeight="13.5" x14ac:dyDescent="0.35"/>
  <cols>
    <col min="1" max="1" width="12.08984375" style="1" bestFit="1" customWidth="1"/>
    <col min="2" max="2" width="28.26953125" style="1" bestFit="1" customWidth="1"/>
    <col min="3" max="3" width="12.81640625" style="1" bestFit="1" customWidth="1"/>
    <col min="4" max="12" width="11.6328125" style="1" bestFit="1" customWidth="1"/>
    <col min="13" max="13" width="12.26953125" style="1" bestFit="1" customWidth="1"/>
    <col min="14" max="16384" width="8.81640625" style="1"/>
  </cols>
  <sheetData>
    <row r="1" spans="1:13" x14ac:dyDescent="0.35">
      <c r="B1" s="152" t="s">
        <v>169</v>
      </c>
      <c r="C1" s="149">
        <v>0</v>
      </c>
      <c r="D1" s="150">
        <f>C1+1</f>
        <v>1</v>
      </c>
      <c r="E1" s="150">
        <f t="shared" ref="E1:M1" si="0">D1+1</f>
        <v>2</v>
      </c>
      <c r="F1" s="150">
        <f t="shared" si="0"/>
        <v>3</v>
      </c>
      <c r="G1" s="150">
        <f t="shared" si="0"/>
        <v>4</v>
      </c>
      <c r="H1" s="150">
        <f t="shared" si="0"/>
        <v>5</v>
      </c>
      <c r="I1" s="150">
        <f t="shared" si="0"/>
        <v>6</v>
      </c>
      <c r="J1" s="150">
        <f t="shared" si="0"/>
        <v>7</v>
      </c>
      <c r="K1" s="150">
        <f t="shared" si="0"/>
        <v>8</v>
      </c>
      <c r="L1" s="150">
        <f t="shared" si="0"/>
        <v>9</v>
      </c>
      <c r="M1" s="153">
        <f t="shared" si="0"/>
        <v>10</v>
      </c>
    </row>
    <row r="2" spans="1:13" x14ac:dyDescent="0.35">
      <c r="B2" s="146" t="s">
        <v>195</v>
      </c>
      <c r="C2" s="154">
        <f>Summary!B25</f>
        <v>44227</v>
      </c>
      <c r="D2" s="154">
        <f>EOMONTH(C2,12)</f>
        <v>44592</v>
      </c>
      <c r="E2" s="154">
        <f t="shared" ref="E2:M2" si="1">EOMONTH(D2,12)</f>
        <v>44957</v>
      </c>
      <c r="F2" s="154">
        <f t="shared" si="1"/>
        <v>45322</v>
      </c>
      <c r="G2" s="154">
        <f t="shared" si="1"/>
        <v>45688</v>
      </c>
      <c r="H2" s="154">
        <f t="shared" si="1"/>
        <v>46053</v>
      </c>
      <c r="I2" s="154">
        <f t="shared" si="1"/>
        <v>46418</v>
      </c>
      <c r="J2" s="154">
        <f t="shared" si="1"/>
        <v>46783</v>
      </c>
      <c r="K2" s="154">
        <f t="shared" si="1"/>
        <v>47149</v>
      </c>
      <c r="L2" s="154">
        <f t="shared" si="1"/>
        <v>47514</v>
      </c>
      <c r="M2" s="155">
        <f t="shared" si="1"/>
        <v>47879</v>
      </c>
    </row>
    <row r="3" spans="1:13" x14ac:dyDescent="0.35">
      <c r="B3" s="4"/>
      <c r="C3" s="157"/>
      <c r="D3" s="158"/>
      <c r="E3" s="158"/>
      <c r="F3" s="158"/>
      <c r="G3" s="158"/>
      <c r="H3" s="158"/>
      <c r="I3" s="158"/>
      <c r="J3" s="158"/>
      <c r="K3" s="158"/>
      <c r="L3" s="158"/>
      <c r="M3" s="159"/>
    </row>
    <row r="4" spans="1:13" x14ac:dyDescent="0.35">
      <c r="B4" s="156" t="s">
        <v>171</v>
      </c>
      <c r="C4" s="160"/>
      <c r="D4" s="161"/>
      <c r="E4" s="161"/>
      <c r="F4" s="161"/>
      <c r="G4" s="161"/>
      <c r="H4" s="161"/>
      <c r="I4" s="161"/>
      <c r="J4" s="161"/>
      <c r="K4" s="161"/>
      <c r="L4" s="161"/>
      <c r="M4" s="162"/>
    </row>
    <row r="5" spans="1:13" x14ac:dyDescent="0.35">
      <c r="A5" s="168">
        <f>SUM(C5:M5)</f>
        <v>36563661.132040896</v>
      </c>
      <c r="B5" s="5" t="s">
        <v>172</v>
      </c>
      <c r="C5" s="160"/>
      <c r="D5" s="161">
        <f>SUMIFS('Monthly CF'!6:6,'Monthly CF'!$2:$2,'Annual CF'!D$1,'Monthly CF'!$1:$1,"&lt;="&amp;Summary!$K$19)</f>
        <v>3044073.8507855576</v>
      </c>
      <c r="E5" s="161">
        <f>SUMIFS('Monthly CF'!6:6,'Monthly CF'!$2:$2,'Annual CF'!E$1,'Monthly CF'!$1:$1,"&lt;="&amp;Summary!$K$19)</f>
        <v>3281163.8007558696</v>
      </c>
      <c r="F5" s="161">
        <f>SUMIFS('Monthly CF'!6:6,'Monthly CF'!$2:$2,'Annual CF'!F$1,'Monthly CF'!$1:$1,"&lt;="&amp;Summary!$K$19)</f>
        <v>3400503.908445756</v>
      </c>
      <c r="G5" s="161">
        <f>SUMIFS('Monthly CF'!6:6,'Monthly CF'!$2:$2,'Annual CF'!G$1,'Monthly CF'!$1:$1,"&lt;="&amp;Summary!$K$19)</f>
        <v>3502519.0256991303</v>
      </c>
      <c r="H5" s="161">
        <f>SUMIFS('Monthly CF'!6:6,'Monthly CF'!$2:$2,'Annual CF'!H$1,'Monthly CF'!$1:$1,"&lt;="&amp;Summary!$K$19)</f>
        <v>3607594.5964701073</v>
      </c>
      <c r="I5" s="161">
        <f>SUMIFS('Monthly CF'!6:6,'Monthly CF'!$2:$2,'Annual CF'!I$1,'Monthly CF'!$1:$1,"&lt;="&amp;Summary!$K$19)</f>
        <v>3715822.4343642145</v>
      </c>
      <c r="J5" s="161">
        <f>SUMIFS('Monthly CF'!6:6,'Monthly CF'!$2:$2,'Annual CF'!J$1,'Monthly CF'!$1:$1,"&lt;="&amp;Summary!$K$19)</f>
        <v>3827297.1073951446</v>
      </c>
      <c r="K5" s="161">
        <f>SUMIFS('Monthly CF'!6:6,'Monthly CF'!$2:$2,'Annual CF'!K$1,'Monthly CF'!$1:$1,"&lt;="&amp;Summary!$K$19)</f>
        <v>3942116.0206170036</v>
      </c>
      <c r="L5" s="161">
        <f>SUMIFS('Monthly CF'!6:6,'Monthly CF'!$2:$2,'Annual CF'!L$1,'Monthly CF'!$1:$1,"&lt;="&amp;Summary!$K$19)</f>
        <v>4060379.5012355181</v>
      </c>
      <c r="M5" s="162">
        <f>SUMIFS('Monthly CF'!6:6,'Monthly CF'!$2:$2,'Annual CF'!M$1,'Monthly CF'!$1:$1,"&lt;="&amp;Summary!$K$19)</f>
        <v>4182190.8862725897</v>
      </c>
    </row>
    <row r="6" spans="1:13" x14ac:dyDescent="0.35">
      <c r="A6" s="168">
        <f t="shared" ref="A6:A10" si="2">SUM(C6:M6)</f>
        <v>-1875029.6141136796</v>
      </c>
      <c r="B6" s="5" t="s">
        <v>101</v>
      </c>
      <c r="C6" s="160"/>
      <c r="D6" s="161">
        <f>SUMIFS('Monthly CF'!7:7,'Monthly CF'!$2:$2,'Annual CF'!D$1,'Monthly CF'!$1:$1,"&lt;="&amp;Summary!$K$19)</f>
        <v>-182644.43104713346</v>
      </c>
      <c r="E6" s="161">
        <f>SUMIFS('Monthly CF'!7:7,'Monthly CF'!$2:$2,'Annual CF'!E$1,'Monthly CF'!$1:$1,"&lt;="&amp;Summary!$K$19)</f>
        <v>-180464.00904157283</v>
      </c>
      <c r="F6" s="161">
        <f>SUMIFS('Monthly CF'!7:7,'Monthly CF'!$2:$2,'Annual CF'!F$1,'Monthly CF'!$1:$1,"&lt;="&amp;Summary!$K$19)</f>
        <v>-170025.19542228777</v>
      </c>
      <c r="G6" s="161">
        <f>SUMIFS('Monthly CF'!7:7,'Monthly CF'!$2:$2,'Annual CF'!G$1,'Monthly CF'!$1:$1,"&lt;="&amp;Summary!$K$19)</f>
        <v>-175125.95128495657</v>
      </c>
      <c r="H6" s="161">
        <f>SUMIFS('Monthly CF'!7:7,'Monthly CF'!$2:$2,'Annual CF'!H$1,'Monthly CF'!$1:$1,"&lt;="&amp;Summary!$K$19)</f>
        <v>-180379.72982350539</v>
      </c>
      <c r="I6" s="161">
        <f>SUMIFS('Monthly CF'!7:7,'Monthly CF'!$2:$2,'Annual CF'!I$1,'Monthly CF'!$1:$1,"&lt;="&amp;Summary!$K$19)</f>
        <v>-185791.12171821075</v>
      </c>
      <c r="J6" s="161">
        <f>SUMIFS('Monthly CF'!7:7,'Monthly CF'!$2:$2,'Annual CF'!J$1,'Monthly CF'!$1:$1,"&lt;="&amp;Summary!$K$19)</f>
        <v>-191364.85536975722</v>
      </c>
      <c r="K6" s="161">
        <f>SUMIFS('Monthly CF'!7:7,'Monthly CF'!$2:$2,'Annual CF'!K$1,'Monthly CF'!$1:$1,"&lt;="&amp;Summary!$K$19)</f>
        <v>-197105.80103085021</v>
      </c>
      <c r="L6" s="161">
        <f>SUMIFS('Monthly CF'!7:7,'Monthly CF'!$2:$2,'Annual CF'!L$1,'Monthly CF'!$1:$1,"&lt;="&amp;Summary!$K$19)</f>
        <v>-203018.97506177591</v>
      </c>
      <c r="M6" s="162">
        <f>SUMIFS('Monthly CF'!7:7,'Monthly CF'!$2:$2,'Annual CF'!M$1,'Monthly CF'!$1:$1,"&lt;="&amp;Summary!$K$19)</f>
        <v>-209109.54431362951</v>
      </c>
    </row>
    <row r="7" spans="1:13" x14ac:dyDescent="0.35">
      <c r="A7" s="168">
        <f t="shared" si="2"/>
        <v>-206241.58441602194</v>
      </c>
      <c r="B7" s="5" t="s">
        <v>102</v>
      </c>
      <c r="C7" s="160"/>
      <c r="D7" s="161">
        <f>SUMIFS('Monthly CF'!8:8,'Monthly CF'!$2:$2,'Annual CF'!D$1,'Monthly CF'!$1:$1,"&lt;="&amp;Summary!$K$19)</f>
        <v>-30440.738507855574</v>
      </c>
      <c r="E7" s="161">
        <f>SUMIFS('Monthly CF'!8:8,'Monthly CF'!$2:$2,'Annual CF'!E$1,'Monthly CF'!$1:$1,"&lt;="&amp;Summary!$K$19)</f>
        <v>-24608.72850566902</v>
      </c>
      <c r="F7" s="161">
        <f>SUMIFS('Monthly CF'!8:8,'Monthly CF'!$2:$2,'Annual CF'!F$1,'Monthly CF'!$1:$1,"&lt;="&amp;Summary!$K$19)</f>
        <v>-17002.519542228776</v>
      </c>
      <c r="G7" s="161">
        <f>SUMIFS('Monthly CF'!8:8,'Monthly CF'!$2:$2,'Annual CF'!G$1,'Monthly CF'!$1:$1,"&lt;="&amp;Summary!$K$19)</f>
        <v>-17512.595128495654</v>
      </c>
      <c r="H7" s="161">
        <f>SUMIFS('Monthly CF'!8:8,'Monthly CF'!$2:$2,'Annual CF'!H$1,'Monthly CF'!$1:$1,"&lt;="&amp;Summary!$K$19)</f>
        <v>-18037.972982350537</v>
      </c>
      <c r="I7" s="161">
        <f>SUMIFS('Monthly CF'!8:8,'Monthly CF'!$2:$2,'Annual CF'!I$1,'Monthly CF'!$1:$1,"&lt;="&amp;Summary!$K$19)</f>
        <v>-18579.112171821071</v>
      </c>
      <c r="J7" s="161">
        <f>SUMIFS('Monthly CF'!8:8,'Monthly CF'!$2:$2,'Annual CF'!J$1,'Monthly CF'!$1:$1,"&lt;="&amp;Summary!$K$19)</f>
        <v>-19136.485536975721</v>
      </c>
      <c r="K7" s="161">
        <f>SUMIFS('Monthly CF'!8:8,'Monthly CF'!$2:$2,'Annual CF'!K$1,'Monthly CF'!$1:$1,"&lt;="&amp;Summary!$K$19)</f>
        <v>-19710.580103085016</v>
      </c>
      <c r="L7" s="161">
        <f>SUMIFS('Monthly CF'!8:8,'Monthly CF'!$2:$2,'Annual CF'!L$1,'Monthly CF'!$1:$1,"&lt;="&amp;Summary!$K$19)</f>
        <v>-20301.897506177593</v>
      </c>
      <c r="M7" s="162">
        <f>SUMIFS('Monthly CF'!8:8,'Monthly CF'!$2:$2,'Annual CF'!M$1,'Monthly CF'!$1:$1,"&lt;="&amp;Summary!$K$19)</f>
        <v>-20910.954431362949</v>
      </c>
    </row>
    <row r="8" spans="1:13" x14ac:dyDescent="0.35">
      <c r="A8" s="168">
        <f t="shared" si="2"/>
        <v>-46846.557511634921</v>
      </c>
      <c r="B8" s="5" t="s">
        <v>103</v>
      </c>
      <c r="C8" s="160"/>
      <c r="D8" s="161">
        <f>SUMIFS('Monthly CF'!9:9,'Monthly CF'!$2:$2,'Annual CF'!D$1,'Monthly CF'!$1:$1,"&lt;="&amp;Summary!$K$19)</f>
        <v>-30440.738507855574</v>
      </c>
      <c r="E8" s="161">
        <f>SUMIFS('Monthly CF'!9:9,'Monthly CF'!$2:$2,'Annual CF'!E$1,'Monthly CF'!$1:$1,"&lt;="&amp;Summary!$K$19)</f>
        <v>-16405.819003779347</v>
      </c>
      <c r="F8" s="161">
        <f>SUMIFS('Monthly CF'!9:9,'Monthly CF'!$2:$2,'Annual CF'!F$1,'Monthly CF'!$1:$1,"&lt;="&amp;Summary!$K$19)</f>
        <v>0</v>
      </c>
      <c r="G8" s="161">
        <f>SUMIFS('Monthly CF'!9:9,'Monthly CF'!$2:$2,'Annual CF'!G$1,'Monthly CF'!$1:$1,"&lt;="&amp;Summary!$K$19)</f>
        <v>0</v>
      </c>
      <c r="H8" s="161">
        <f>SUMIFS('Monthly CF'!9:9,'Monthly CF'!$2:$2,'Annual CF'!H$1,'Monthly CF'!$1:$1,"&lt;="&amp;Summary!$K$19)</f>
        <v>0</v>
      </c>
      <c r="I8" s="161">
        <f>SUMIFS('Monthly CF'!9:9,'Monthly CF'!$2:$2,'Annual CF'!I$1,'Monthly CF'!$1:$1,"&lt;="&amp;Summary!$K$19)</f>
        <v>0</v>
      </c>
      <c r="J8" s="161">
        <f>SUMIFS('Monthly CF'!9:9,'Monthly CF'!$2:$2,'Annual CF'!J$1,'Monthly CF'!$1:$1,"&lt;="&amp;Summary!$K$19)</f>
        <v>0</v>
      </c>
      <c r="K8" s="161">
        <f>SUMIFS('Monthly CF'!9:9,'Monthly CF'!$2:$2,'Annual CF'!K$1,'Monthly CF'!$1:$1,"&lt;="&amp;Summary!$K$19)</f>
        <v>0</v>
      </c>
      <c r="L8" s="161">
        <f>SUMIFS('Monthly CF'!9:9,'Monthly CF'!$2:$2,'Annual CF'!L$1,'Monthly CF'!$1:$1,"&lt;="&amp;Summary!$K$19)</f>
        <v>0</v>
      </c>
      <c r="M8" s="162">
        <f>SUMIFS('Monthly CF'!9:9,'Monthly CF'!$2:$2,'Annual CF'!M$1,'Monthly CF'!$1:$1,"&lt;="&amp;Summary!$K$19)</f>
        <v>0</v>
      </c>
    </row>
    <row r="9" spans="1:13" x14ac:dyDescent="0.35">
      <c r="A9" s="168">
        <f t="shared" si="2"/>
        <v>0</v>
      </c>
      <c r="B9" s="5" t="s">
        <v>104</v>
      </c>
      <c r="C9" s="160"/>
      <c r="D9" s="161">
        <f>SUMIFS('Monthly CF'!10:10,'Monthly CF'!$2:$2,'Annual CF'!D$1,'Monthly CF'!$1:$1,"&lt;="&amp;Summary!$K$19)</f>
        <v>0</v>
      </c>
      <c r="E9" s="161">
        <f>SUMIFS('Monthly CF'!10:10,'Monthly CF'!$2:$2,'Annual CF'!E$1,'Monthly CF'!$1:$1,"&lt;="&amp;Summary!$K$19)</f>
        <v>0</v>
      </c>
      <c r="F9" s="161">
        <f>SUMIFS('Monthly CF'!10:10,'Monthly CF'!$2:$2,'Annual CF'!F$1,'Monthly CF'!$1:$1,"&lt;="&amp;Summary!$K$19)</f>
        <v>0</v>
      </c>
      <c r="G9" s="161">
        <f>SUMIFS('Monthly CF'!10:10,'Monthly CF'!$2:$2,'Annual CF'!G$1,'Monthly CF'!$1:$1,"&lt;="&amp;Summary!$K$19)</f>
        <v>0</v>
      </c>
      <c r="H9" s="161">
        <f>SUMIFS('Monthly CF'!10:10,'Monthly CF'!$2:$2,'Annual CF'!H$1,'Monthly CF'!$1:$1,"&lt;="&amp;Summary!$K$19)</f>
        <v>0</v>
      </c>
      <c r="I9" s="161">
        <f>SUMIFS('Monthly CF'!10:10,'Monthly CF'!$2:$2,'Annual CF'!I$1,'Monthly CF'!$1:$1,"&lt;="&amp;Summary!$K$19)</f>
        <v>0</v>
      </c>
      <c r="J9" s="161">
        <f>SUMIFS('Monthly CF'!10:10,'Monthly CF'!$2:$2,'Annual CF'!J$1,'Monthly CF'!$1:$1,"&lt;="&amp;Summary!$K$19)</f>
        <v>0</v>
      </c>
      <c r="K9" s="161">
        <f>SUMIFS('Monthly CF'!10:10,'Monthly CF'!$2:$2,'Annual CF'!K$1,'Monthly CF'!$1:$1,"&lt;="&amp;Summary!$K$19)</f>
        <v>0</v>
      </c>
      <c r="L9" s="161">
        <f>SUMIFS('Monthly CF'!10:10,'Monthly CF'!$2:$2,'Annual CF'!L$1,'Monthly CF'!$1:$1,"&lt;="&amp;Summary!$K$19)</f>
        <v>0</v>
      </c>
      <c r="M9" s="162">
        <f>SUMIFS('Monthly CF'!10:10,'Monthly CF'!$2:$2,'Annual CF'!M$1,'Monthly CF'!$1:$1,"&lt;="&amp;Summary!$K$19)</f>
        <v>0</v>
      </c>
    </row>
    <row r="10" spans="1:13" x14ac:dyDescent="0.35">
      <c r="A10" s="168">
        <f t="shared" si="2"/>
        <v>34435543.375999562</v>
      </c>
      <c r="B10" s="14" t="s">
        <v>173</v>
      </c>
      <c r="C10" s="163"/>
      <c r="D10" s="164">
        <f>SUMIFS('Monthly CF'!11:11,'Monthly CF'!$2:$2,'Annual CF'!D$1,'Monthly CF'!$1:$1,"&lt;="&amp;Summary!$K$19)</f>
        <v>2800547.9427227131</v>
      </c>
      <c r="E10" s="164">
        <f>SUMIFS('Monthly CF'!11:11,'Monthly CF'!$2:$2,'Annual CF'!E$1,'Monthly CF'!$1:$1,"&lt;="&amp;Summary!$K$19)</f>
        <v>3059685.2442048485</v>
      </c>
      <c r="F10" s="164">
        <f>SUMIFS('Monthly CF'!11:11,'Monthly CF'!$2:$2,'Annual CF'!F$1,'Monthly CF'!$1:$1,"&lt;="&amp;Summary!$K$19)</f>
        <v>3213476.1934812386</v>
      </c>
      <c r="G10" s="164">
        <f>SUMIFS('Monthly CF'!11:11,'Monthly CF'!$2:$2,'Annual CF'!G$1,'Monthly CF'!$1:$1,"&lt;="&amp;Summary!$K$19)</f>
        <v>3309880.4792856788</v>
      </c>
      <c r="H10" s="164">
        <f>SUMIFS('Monthly CF'!11:11,'Monthly CF'!$2:$2,'Annual CF'!H$1,'Monthly CF'!$1:$1,"&lt;="&amp;Summary!$K$19)</f>
        <v>3409176.893664252</v>
      </c>
      <c r="I10" s="164">
        <f>SUMIFS('Monthly CF'!11:11,'Monthly CF'!$2:$2,'Annual CF'!I$1,'Monthly CF'!$1:$1,"&lt;="&amp;Summary!$K$19)</f>
        <v>3511452.2004741821</v>
      </c>
      <c r="J10" s="164">
        <f>SUMIFS('Monthly CF'!11:11,'Monthly CF'!$2:$2,'Annual CF'!J$1,'Monthly CF'!$1:$1,"&lt;="&amp;Summary!$K$19)</f>
        <v>3616795.7664884115</v>
      </c>
      <c r="K10" s="164">
        <f>SUMIFS('Monthly CF'!11:11,'Monthly CF'!$2:$2,'Annual CF'!K$1,'Monthly CF'!$1:$1,"&lt;="&amp;Summary!$K$19)</f>
        <v>3725299.6394830681</v>
      </c>
      <c r="L10" s="164">
        <f>SUMIFS('Monthly CF'!11:11,'Monthly CF'!$2:$2,'Annual CF'!L$1,'Monthly CF'!$1:$1,"&lt;="&amp;Summary!$K$19)</f>
        <v>3837058.6286675651</v>
      </c>
      <c r="M10" s="165">
        <f>SUMIFS('Monthly CF'!11:11,'Monthly CF'!$2:$2,'Annual CF'!M$1,'Monthly CF'!$1:$1,"&lt;="&amp;Summary!$K$19)</f>
        <v>3952170.3875275971</v>
      </c>
    </row>
    <row r="11" spans="1:13" x14ac:dyDescent="0.35">
      <c r="B11" s="5"/>
      <c r="C11" s="160"/>
      <c r="D11" s="161"/>
      <c r="E11" s="161"/>
      <c r="F11" s="161"/>
      <c r="G11" s="161"/>
      <c r="H11" s="161"/>
      <c r="I11" s="161"/>
      <c r="J11" s="161"/>
      <c r="K11" s="161"/>
      <c r="L11" s="161"/>
      <c r="M11" s="162"/>
    </row>
    <row r="12" spans="1:13" x14ac:dyDescent="0.35">
      <c r="B12" s="156" t="s">
        <v>174</v>
      </c>
      <c r="C12" s="160"/>
      <c r="D12" s="161"/>
      <c r="E12" s="161"/>
      <c r="F12" s="161"/>
      <c r="G12" s="161"/>
      <c r="H12" s="161"/>
      <c r="I12" s="161"/>
      <c r="J12" s="161"/>
      <c r="K12" s="161"/>
      <c r="L12" s="161"/>
      <c r="M12" s="162"/>
    </row>
    <row r="13" spans="1:13" x14ac:dyDescent="0.35">
      <c r="A13" s="168">
        <f t="shared" ref="A13:A23" si="3">SUM(C13:M13)</f>
        <v>153392.79649248623</v>
      </c>
      <c r="B13" s="5" t="str">
        <f>Revenue!O2</f>
        <v>Laundry Income</v>
      </c>
      <c r="C13" s="160"/>
      <c r="D13" s="161">
        <f>SUMIFS('Monthly CF'!14:14,'Monthly CF'!$2:$2,'Annual CF'!D$1,'Monthly CF'!$1:$1,"&lt;="&amp;Summary!$K$19)</f>
        <v>13380.531347621647</v>
      </c>
      <c r="E13" s="161">
        <f>SUMIFS('Monthly CF'!14:14,'Monthly CF'!$2:$2,'Annual CF'!E$1,'Monthly CF'!$1:$1,"&lt;="&amp;Summary!$K$19)</f>
        <v>13781.947288050313</v>
      </c>
      <c r="F13" s="161">
        <f>SUMIFS('Monthly CF'!14:14,'Monthly CF'!$2:$2,'Annual CF'!F$1,'Monthly CF'!$1:$1,"&lt;="&amp;Summary!$K$19)</f>
        <v>14195.405706691839</v>
      </c>
      <c r="G13" s="161">
        <f>SUMIFS('Monthly CF'!14:14,'Monthly CF'!$2:$2,'Annual CF'!G$1,'Monthly CF'!$1:$1,"&lt;="&amp;Summary!$K$19)</f>
        <v>14621.267877892607</v>
      </c>
      <c r="H13" s="161">
        <f>SUMIFS('Monthly CF'!14:14,'Monthly CF'!$2:$2,'Annual CF'!H$1,'Monthly CF'!$1:$1,"&lt;="&amp;Summary!$K$19)</f>
        <v>15059.905914229406</v>
      </c>
      <c r="I13" s="161">
        <f>SUMIFS('Monthly CF'!14:14,'Monthly CF'!$2:$2,'Annual CF'!I$1,'Monthly CF'!$1:$1,"&lt;="&amp;Summary!$K$19)</f>
        <v>15511.703091656305</v>
      </c>
      <c r="J13" s="161">
        <f>SUMIFS('Monthly CF'!14:14,'Monthly CF'!$2:$2,'Annual CF'!J$1,'Monthly CF'!$1:$1,"&lt;="&amp;Summary!$K$19)</f>
        <v>15977.054184406014</v>
      </c>
      <c r="K13" s="161">
        <f>SUMIFS('Monthly CF'!14:14,'Monthly CF'!$2:$2,'Annual CF'!K$1,'Monthly CF'!$1:$1,"&lt;="&amp;Summary!$K$19)</f>
        <v>16456.365809938212</v>
      </c>
      <c r="L13" s="161">
        <f>SUMIFS('Monthly CF'!14:14,'Monthly CF'!$2:$2,'Annual CF'!L$1,'Monthly CF'!$1:$1,"&lt;="&amp;Summary!$K$19)</f>
        <v>16950.056784236371</v>
      </c>
      <c r="M13" s="162">
        <f>SUMIFS('Monthly CF'!14:14,'Monthly CF'!$2:$2,'Annual CF'!M$1,'Monthly CF'!$1:$1,"&lt;="&amp;Summary!$K$19)</f>
        <v>17458.558487763479</v>
      </c>
    </row>
    <row r="14" spans="1:13" x14ac:dyDescent="0.35">
      <c r="A14" s="168">
        <f t="shared" si="3"/>
        <v>153392.79649248623</v>
      </c>
      <c r="B14" s="5" t="str">
        <f>Revenue!O3</f>
        <v>Late Fees</v>
      </c>
      <c r="C14" s="160"/>
      <c r="D14" s="161">
        <f>SUMIFS('Monthly CF'!15:15,'Monthly CF'!$2:$2,'Annual CF'!D$1,'Monthly CF'!$1:$1,"&lt;="&amp;Summary!$K$19)</f>
        <v>13380.531347621647</v>
      </c>
      <c r="E14" s="161">
        <f>SUMIFS('Monthly CF'!15:15,'Monthly CF'!$2:$2,'Annual CF'!E$1,'Monthly CF'!$1:$1,"&lt;="&amp;Summary!$K$19)</f>
        <v>13781.947288050313</v>
      </c>
      <c r="F14" s="161">
        <f>SUMIFS('Monthly CF'!15:15,'Monthly CF'!$2:$2,'Annual CF'!F$1,'Monthly CF'!$1:$1,"&lt;="&amp;Summary!$K$19)</f>
        <v>14195.405706691839</v>
      </c>
      <c r="G14" s="161">
        <f>SUMIFS('Monthly CF'!15:15,'Monthly CF'!$2:$2,'Annual CF'!G$1,'Monthly CF'!$1:$1,"&lt;="&amp;Summary!$K$19)</f>
        <v>14621.267877892607</v>
      </c>
      <c r="H14" s="161">
        <f>SUMIFS('Monthly CF'!15:15,'Monthly CF'!$2:$2,'Annual CF'!H$1,'Monthly CF'!$1:$1,"&lt;="&amp;Summary!$K$19)</f>
        <v>15059.905914229406</v>
      </c>
      <c r="I14" s="161">
        <f>SUMIFS('Monthly CF'!15:15,'Monthly CF'!$2:$2,'Annual CF'!I$1,'Monthly CF'!$1:$1,"&lt;="&amp;Summary!$K$19)</f>
        <v>15511.703091656305</v>
      </c>
      <c r="J14" s="161">
        <f>SUMIFS('Monthly CF'!15:15,'Monthly CF'!$2:$2,'Annual CF'!J$1,'Monthly CF'!$1:$1,"&lt;="&amp;Summary!$K$19)</f>
        <v>15977.054184406014</v>
      </c>
      <c r="K14" s="161">
        <f>SUMIFS('Monthly CF'!15:15,'Monthly CF'!$2:$2,'Annual CF'!K$1,'Monthly CF'!$1:$1,"&lt;="&amp;Summary!$K$19)</f>
        <v>16456.365809938212</v>
      </c>
      <c r="L14" s="161">
        <f>SUMIFS('Monthly CF'!15:15,'Monthly CF'!$2:$2,'Annual CF'!L$1,'Monthly CF'!$1:$1,"&lt;="&amp;Summary!$K$19)</f>
        <v>16950.056784236371</v>
      </c>
      <c r="M14" s="162">
        <f>SUMIFS('Monthly CF'!15:15,'Monthly CF'!$2:$2,'Annual CF'!M$1,'Monthly CF'!$1:$1,"&lt;="&amp;Summary!$K$19)</f>
        <v>17458.558487763479</v>
      </c>
    </row>
    <row r="15" spans="1:13" x14ac:dyDescent="0.35">
      <c r="A15" s="168">
        <f t="shared" si="3"/>
        <v>383481.99123121524</v>
      </c>
      <c r="B15" s="5" t="str">
        <f>Revenue!O4</f>
        <v>Pet Rent</v>
      </c>
      <c r="C15" s="160"/>
      <c r="D15" s="161">
        <f>SUMIFS('Monthly CF'!16:16,'Monthly CF'!$2:$2,'Annual CF'!D$1,'Monthly CF'!$1:$1,"&lt;="&amp;Summary!$K$19)</f>
        <v>33451.328369054114</v>
      </c>
      <c r="E15" s="161">
        <f>SUMIFS('Monthly CF'!16:16,'Monthly CF'!$2:$2,'Annual CF'!E$1,'Monthly CF'!$1:$1,"&lt;="&amp;Summary!$K$19)</f>
        <v>34454.868220125769</v>
      </c>
      <c r="F15" s="161">
        <f>SUMIFS('Monthly CF'!16:16,'Monthly CF'!$2:$2,'Annual CF'!F$1,'Monthly CF'!$1:$1,"&lt;="&amp;Summary!$K$19)</f>
        <v>35488.514266729573</v>
      </c>
      <c r="G15" s="161">
        <f>SUMIFS('Monthly CF'!16:16,'Monthly CF'!$2:$2,'Annual CF'!G$1,'Monthly CF'!$1:$1,"&lt;="&amp;Summary!$K$19)</f>
        <v>36553.169694731492</v>
      </c>
      <c r="H15" s="161">
        <f>SUMIFS('Monthly CF'!16:16,'Monthly CF'!$2:$2,'Annual CF'!H$1,'Monthly CF'!$1:$1,"&lt;="&amp;Summary!$K$19)</f>
        <v>37649.764785573483</v>
      </c>
      <c r="I15" s="161">
        <f>SUMIFS('Monthly CF'!16:16,'Monthly CF'!$2:$2,'Annual CF'!I$1,'Monthly CF'!$1:$1,"&lt;="&amp;Summary!$K$19)</f>
        <v>38779.257729140729</v>
      </c>
      <c r="J15" s="161">
        <f>SUMIFS('Monthly CF'!16:16,'Monthly CF'!$2:$2,'Annual CF'!J$1,'Monthly CF'!$1:$1,"&lt;="&amp;Summary!$K$19)</f>
        <v>39942.635461014994</v>
      </c>
      <c r="K15" s="161">
        <f>SUMIFS('Monthly CF'!16:16,'Monthly CF'!$2:$2,'Annual CF'!K$1,'Monthly CF'!$1:$1,"&lt;="&amp;Summary!$K$19)</f>
        <v>41140.914524845495</v>
      </c>
      <c r="L15" s="161">
        <f>SUMIFS('Monthly CF'!16:16,'Monthly CF'!$2:$2,'Annual CF'!L$1,'Monthly CF'!$1:$1,"&lt;="&amp;Summary!$K$19)</f>
        <v>42375.14196059091</v>
      </c>
      <c r="M15" s="162">
        <f>SUMIFS('Monthly CF'!16:16,'Monthly CF'!$2:$2,'Annual CF'!M$1,'Monthly CF'!$1:$1,"&lt;="&amp;Summary!$K$19)</f>
        <v>43646.396219408678</v>
      </c>
    </row>
    <row r="16" spans="1:13" x14ac:dyDescent="0.35">
      <c r="A16" s="168">
        <f t="shared" si="3"/>
        <v>76696.398246243116</v>
      </c>
      <c r="B16" s="5" t="str">
        <f>Revenue!O5</f>
        <v>Pet Fees</v>
      </c>
      <c r="C16" s="160"/>
      <c r="D16" s="161">
        <f>SUMIFS('Monthly CF'!17:17,'Monthly CF'!$2:$2,'Annual CF'!D$1,'Monthly CF'!$1:$1,"&lt;="&amp;Summary!$K$19)</f>
        <v>6690.2656738108235</v>
      </c>
      <c r="E16" s="161">
        <f>SUMIFS('Monthly CF'!17:17,'Monthly CF'!$2:$2,'Annual CF'!E$1,'Monthly CF'!$1:$1,"&lt;="&amp;Summary!$K$19)</f>
        <v>6890.9736440251563</v>
      </c>
      <c r="F16" s="161">
        <f>SUMIFS('Monthly CF'!17:17,'Monthly CF'!$2:$2,'Annual CF'!F$1,'Monthly CF'!$1:$1,"&lt;="&amp;Summary!$K$19)</f>
        <v>7097.7028533459197</v>
      </c>
      <c r="G16" s="161">
        <f>SUMIFS('Monthly CF'!17:17,'Monthly CF'!$2:$2,'Annual CF'!G$1,'Monthly CF'!$1:$1,"&lt;="&amp;Summary!$K$19)</f>
        <v>7310.6339389463037</v>
      </c>
      <c r="H16" s="161">
        <f>SUMIFS('Monthly CF'!17:17,'Monthly CF'!$2:$2,'Annual CF'!H$1,'Monthly CF'!$1:$1,"&lt;="&amp;Summary!$K$19)</f>
        <v>7529.9529571147032</v>
      </c>
      <c r="I16" s="161">
        <f>SUMIFS('Monthly CF'!17:17,'Monthly CF'!$2:$2,'Annual CF'!I$1,'Monthly CF'!$1:$1,"&lt;="&amp;Summary!$K$19)</f>
        <v>7755.8515458281527</v>
      </c>
      <c r="J16" s="161">
        <f>SUMIFS('Monthly CF'!17:17,'Monthly CF'!$2:$2,'Annual CF'!J$1,'Monthly CF'!$1:$1,"&lt;="&amp;Summary!$K$19)</f>
        <v>7988.5270922030068</v>
      </c>
      <c r="K16" s="161">
        <f>SUMIFS('Monthly CF'!17:17,'Monthly CF'!$2:$2,'Annual CF'!K$1,'Monthly CF'!$1:$1,"&lt;="&amp;Summary!$K$19)</f>
        <v>8228.1829049691059</v>
      </c>
      <c r="L16" s="161">
        <f>SUMIFS('Monthly CF'!17:17,'Monthly CF'!$2:$2,'Annual CF'!L$1,'Monthly CF'!$1:$1,"&lt;="&amp;Summary!$K$19)</f>
        <v>8475.0283921181854</v>
      </c>
      <c r="M16" s="162">
        <f>SUMIFS('Monthly CF'!17:17,'Monthly CF'!$2:$2,'Annual CF'!M$1,'Monthly CF'!$1:$1,"&lt;="&amp;Summary!$K$19)</f>
        <v>8729.2792438817396</v>
      </c>
    </row>
    <row r="17" spans="1:13" x14ac:dyDescent="0.35">
      <c r="A17" s="168">
        <f t="shared" si="3"/>
        <v>0</v>
      </c>
      <c r="B17" s="5" t="str">
        <f>Revenue!O6</f>
        <v>Garage Income</v>
      </c>
      <c r="C17" s="160"/>
      <c r="D17" s="161">
        <f>SUMIFS('Monthly CF'!18:18,'Monthly CF'!$2:$2,'Annual CF'!D$1,'Monthly CF'!$1:$1,"&lt;="&amp;Summary!$K$19)</f>
        <v>0</v>
      </c>
      <c r="E17" s="161">
        <f>SUMIFS('Monthly CF'!18:18,'Monthly CF'!$2:$2,'Annual CF'!E$1,'Monthly CF'!$1:$1,"&lt;="&amp;Summary!$K$19)</f>
        <v>0</v>
      </c>
      <c r="F17" s="161">
        <f>SUMIFS('Monthly CF'!18:18,'Monthly CF'!$2:$2,'Annual CF'!F$1,'Monthly CF'!$1:$1,"&lt;="&amp;Summary!$K$19)</f>
        <v>0</v>
      </c>
      <c r="G17" s="161">
        <f>SUMIFS('Monthly CF'!18:18,'Monthly CF'!$2:$2,'Annual CF'!G$1,'Monthly CF'!$1:$1,"&lt;="&amp;Summary!$K$19)</f>
        <v>0</v>
      </c>
      <c r="H17" s="161">
        <f>SUMIFS('Monthly CF'!18:18,'Monthly CF'!$2:$2,'Annual CF'!H$1,'Monthly CF'!$1:$1,"&lt;="&amp;Summary!$K$19)</f>
        <v>0</v>
      </c>
      <c r="I17" s="161">
        <f>SUMIFS('Monthly CF'!18:18,'Monthly CF'!$2:$2,'Annual CF'!I$1,'Monthly CF'!$1:$1,"&lt;="&amp;Summary!$K$19)</f>
        <v>0</v>
      </c>
      <c r="J17" s="161">
        <f>SUMIFS('Monthly CF'!18:18,'Monthly CF'!$2:$2,'Annual CF'!J$1,'Monthly CF'!$1:$1,"&lt;="&amp;Summary!$K$19)</f>
        <v>0</v>
      </c>
      <c r="K17" s="161">
        <f>SUMIFS('Monthly CF'!18:18,'Monthly CF'!$2:$2,'Annual CF'!K$1,'Monthly CF'!$1:$1,"&lt;="&amp;Summary!$K$19)</f>
        <v>0</v>
      </c>
      <c r="L17" s="161">
        <f>SUMIFS('Monthly CF'!18:18,'Monthly CF'!$2:$2,'Annual CF'!L$1,'Monthly CF'!$1:$1,"&lt;="&amp;Summary!$K$19)</f>
        <v>0</v>
      </c>
      <c r="M17" s="162">
        <f>SUMIFS('Monthly CF'!18:18,'Monthly CF'!$2:$2,'Annual CF'!M$1,'Monthly CF'!$1:$1,"&lt;="&amp;Summary!$K$19)</f>
        <v>0</v>
      </c>
    </row>
    <row r="18" spans="1:13" x14ac:dyDescent="0.35">
      <c r="A18" s="168">
        <f t="shared" si="3"/>
        <v>0</v>
      </c>
      <c r="B18" s="5" t="str">
        <f>Revenue!O7</f>
        <v>Storage Income</v>
      </c>
      <c r="C18" s="160"/>
      <c r="D18" s="161">
        <f>SUMIFS('Monthly CF'!19:19,'Monthly CF'!$2:$2,'Annual CF'!D$1,'Monthly CF'!$1:$1,"&lt;="&amp;Summary!$K$19)</f>
        <v>0</v>
      </c>
      <c r="E18" s="161">
        <f>SUMIFS('Monthly CF'!19:19,'Monthly CF'!$2:$2,'Annual CF'!E$1,'Monthly CF'!$1:$1,"&lt;="&amp;Summary!$K$19)</f>
        <v>0</v>
      </c>
      <c r="F18" s="161">
        <f>SUMIFS('Monthly CF'!19:19,'Monthly CF'!$2:$2,'Annual CF'!F$1,'Monthly CF'!$1:$1,"&lt;="&amp;Summary!$K$19)</f>
        <v>0</v>
      </c>
      <c r="G18" s="161">
        <f>SUMIFS('Monthly CF'!19:19,'Monthly CF'!$2:$2,'Annual CF'!G$1,'Monthly CF'!$1:$1,"&lt;="&amp;Summary!$K$19)</f>
        <v>0</v>
      </c>
      <c r="H18" s="161">
        <f>SUMIFS('Monthly CF'!19:19,'Monthly CF'!$2:$2,'Annual CF'!H$1,'Monthly CF'!$1:$1,"&lt;="&amp;Summary!$K$19)</f>
        <v>0</v>
      </c>
      <c r="I18" s="161">
        <f>SUMIFS('Monthly CF'!19:19,'Monthly CF'!$2:$2,'Annual CF'!I$1,'Monthly CF'!$1:$1,"&lt;="&amp;Summary!$K$19)</f>
        <v>0</v>
      </c>
      <c r="J18" s="161">
        <f>SUMIFS('Monthly CF'!19:19,'Monthly CF'!$2:$2,'Annual CF'!J$1,'Monthly CF'!$1:$1,"&lt;="&amp;Summary!$K$19)</f>
        <v>0</v>
      </c>
      <c r="K18" s="161">
        <f>SUMIFS('Monthly CF'!19:19,'Monthly CF'!$2:$2,'Annual CF'!K$1,'Monthly CF'!$1:$1,"&lt;="&amp;Summary!$K$19)</f>
        <v>0</v>
      </c>
      <c r="L18" s="161">
        <f>SUMIFS('Monthly CF'!19:19,'Monthly CF'!$2:$2,'Annual CF'!L$1,'Monthly CF'!$1:$1,"&lt;="&amp;Summary!$K$19)</f>
        <v>0</v>
      </c>
      <c r="M18" s="162">
        <f>SUMIFS('Monthly CF'!19:19,'Monthly CF'!$2:$2,'Annual CF'!M$1,'Monthly CF'!$1:$1,"&lt;="&amp;Summary!$K$19)</f>
        <v>0</v>
      </c>
    </row>
    <row r="19" spans="1:13" x14ac:dyDescent="0.35">
      <c r="A19" s="168">
        <f t="shared" si="3"/>
        <v>76696.398246243116</v>
      </c>
      <c r="B19" s="5" t="str">
        <f>Revenue!O8</f>
        <v>Forfeited Deposits</v>
      </c>
      <c r="C19" s="160"/>
      <c r="D19" s="161">
        <f>SUMIFS('Monthly CF'!20:20,'Monthly CF'!$2:$2,'Annual CF'!D$1,'Monthly CF'!$1:$1,"&lt;="&amp;Summary!$K$19)</f>
        <v>6690.2656738108235</v>
      </c>
      <c r="E19" s="161">
        <f>SUMIFS('Monthly CF'!20:20,'Monthly CF'!$2:$2,'Annual CF'!E$1,'Monthly CF'!$1:$1,"&lt;="&amp;Summary!$K$19)</f>
        <v>6890.9736440251563</v>
      </c>
      <c r="F19" s="161">
        <f>SUMIFS('Monthly CF'!20:20,'Monthly CF'!$2:$2,'Annual CF'!F$1,'Monthly CF'!$1:$1,"&lt;="&amp;Summary!$K$19)</f>
        <v>7097.7028533459197</v>
      </c>
      <c r="G19" s="161">
        <f>SUMIFS('Monthly CF'!20:20,'Monthly CF'!$2:$2,'Annual CF'!G$1,'Monthly CF'!$1:$1,"&lt;="&amp;Summary!$K$19)</f>
        <v>7310.6339389463037</v>
      </c>
      <c r="H19" s="161">
        <f>SUMIFS('Monthly CF'!20:20,'Monthly CF'!$2:$2,'Annual CF'!H$1,'Monthly CF'!$1:$1,"&lt;="&amp;Summary!$K$19)</f>
        <v>7529.9529571147032</v>
      </c>
      <c r="I19" s="161">
        <f>SUMIFS('Monthly CF'!20:20,'Monthly CF'!$2:$2,'Annual CF'!I$1,'Monthly CF'!$1:$1,"&lt;="&amp;Summary!$K$19)</f>
        <v>7755.8515458281527</v>
      </c>
      <c r="J19" s="161">
        <f>SUMIFS('Monthly CF'!20:20,'Monthly CF'!$2:$2,'Annual CF'!J$1,'Monthly CF'!$1:$1,"&lt;="&amp;Summary!$K$19)</f>
        <v>7988.5270922030068</v>
      </c>
      <c r="K19" s="161">
        <f>SUMIFS('Monthly CF'!20:20,'Monthly CF'!$2:$2,'Annual CF'!K$1,'Monthly CF'!$1:$1,"&lt;="&amp;Summary!$K$19)</f>
        <v>8228.1829049691059</v>
      </c>
      <c r="L19" s="161">
        <f>SUMIFS('Monthly CF'!20:20,'Monthly CF'!$2:$2,'Annual CF'!L$1,'Monthly CF'!$1:$1,"&lt;="&amp;Summary!$K$19)</f>
        <v>8475.0283921181854</v>
      </c>
      <c r="M19" s="162">
        <f>SUMIFS('Monthly CF'!20:20,'Monthly CF'!$2:$2,'Annual CF'!M$1,'Monthly CF'!$1:$1,"&lt;="&amp;Summary!$K$19)</f>
        <v>8729.2792438817396</v>
      </c>
    </row>
    <row r="20" spans="1:13" x14ac:dyDescent="0.35">
      <c r="A20" s="168">
        <f t="shared" si="3"/>
        <v>0</v>
      </c>
      <c r="B20" s="5" t="str">
        <f>Revenue!O9</f>
        <v>Other Charges</v>
      </c>
      <c r="C20" s="160"/>
      <c r="D20" s="161">
        <f>SUMIFS('Monthly CF'!21:21,'Monthly CF'!$2:$2,'Annual CF'!D$1,'Monthly CF'!$1:$1,"&lt;="&amp;Summary!$K$19)</f>
        <v>0</v>
      </c>
      <c r="E20" s="161">
        <f>SUMIFS('Monthly CF'!21:21,'Monthly CF'!$2:$2,'Annual CF'!E$1,'Monthly CF'!$1:$1,"&lt;="&amp;Summary!$K$19)</f>
        <v>0</v>
      </c>
      <c r="F20" s="161">
        <f>SUMIFS('Monthly CF'!21:21,'Monthly CF'!$2:$2,'Annual CF'!F$1,'Monthly CF'!$1:$1,"&lt;="&amp;Summary!$K$19)</f>
        <v>0</v>
      </c>
      <c r="G20" s="161">
        <f>SUMIFS('Monthly CF'!21:21,'Monthly CF'!$2:$2,'Annual CF'!G$1,'Monthly CF'!$1:$1,"&lt;="&amp;Summary!$K$19)</f>
        <v>0</v>
      </c>
      <c r="H20" s="161">
        <f>SUMIFS('Monthly CF'!21:21,'Monthly CF'!$2:$2,'Annual CF'!H$1,'Monthly CF'!$1:$1,"&lt;="&amp;Summary!$K$19)</f>
        <v>0</v>
      </c>
      <c r="I20" s="161">
        <f>SUMIFS('Monthly CF'!21:21,'Monthly CF'!$2:$2,'Annual CF'!I$1,'Monthly CF'!$1:$1,"&lt;="&amp;Summary!$K$19)</f>
        <v>0</v>
      </c>
      <c r="J20" s="161">
        <f>SUMIFS('Monthly CF'!21:21,'Monthly CF'!$2:$2,'Annual CF'!J$1,'Monthly CF'!$1:$1,"&lt;="&amp;Summary!$K$19)</f>
        <v>0</v>
      </c>
      <c r="K20" s="161">
        <f>SUMIFS('Monthly CF'!21:21,'Monthly CF'!$2:$2,'Annual CF'!K$1,'Monthly CF'!$1:$1,"&lt;="&amp;Summary!$K$19)</f>
        <v>0</v>
      </c>
      <c r="L20" s="161">
        <f>SUMIFS('Monthly CF'!21:21,'Monthly CF'!$2:$2,'Annual CF'!L$1,'Monthly CF'!$1:$1,"&lt;="&amp;Summary!$K$19)</f>
        <v>0</v>
      </c>
      <c r="M20" s="162">
        <f>SUMIFS('Monthly CF'!21:21,'Monthly CF'!$2:$2,'Annual CF'!M$1,'Monthly CF'!$1:$1,"&lt;="&amp;Summary!$K$19)</f>
        <v>0</v>
      </c>
    </row>
    <row r="21" spans="1:13" x14ac:dyDescent="0.35">
      <c r="A21" s="168">
        <f t="shared" si="3"/>
        <v>0</v>
      </c>
      <c r="B21" s="5" t="str">
        <f>Revenue!O10</f>
        <v>Other Charges</v>
      </c>
      <c r="C21" s="160"/>
      <c r="D21" s="161">
        <f>SUMIFS('Monthly CF'!22:22,'Monthly CF'!$2:$2,'Annual CF'!D$1,'Monthly CF'!$1:$1,"&lt;="&amp;Summary!$K$19)</f>
        <v>0</v>
      </c>
      <c r="E21" s="161">
        <f>SUMIFS('Monthly CF'!22:22,'Monthly CF'!$2:$2,'Annual CF'!E$1,'Monthly CF'!$1:$1,"&lt;="&amp;Summary!$K$19)</f>
        <v>0</v>
      </c>
      <c r="F21" s="161">
        <f>SUMIFS('Monthly CF'!22:22,'Monthly CF'!$2:$2,'Annual CF'!F$1,'Monthly CF'!$1:$1,"&lt;="&amp;Summary!$K$19)</f>
        <v>0</v>
      </c>
      <c r="G21" s="161">
        <f>SUMIFS('Monthly CF'!22:22,'Monthly CF'!$2:$2,'Annual CF'!G$1,'Monthly CF'!$1:$1,"&lt;="&amp;Summary!$K$19)</f>
        <v>0</v>
      </c>
      <c r="H21" s="161">
        <f>SUMIFS('Monthly CF'!22:22,'Monthly CF'!$2:$2,'Annual CF'!H$1,'Monthly CF'!$1:$1,"&lt;="&amp;Summary!$K$19)</f>
        <v>0</v>
      </c>
      <c r="I21" s="161">
        <f>SUMIFS('Monthly CF'!22:22,'Monthly CF'!$2:$2,'Annual CF'!I$1,'Monthly CF'!$1:$1,"&lt;="&amp;Summary!$K$19)</f>
        <v>0</v>
      </c>
      <c r="J21" s="161">
        <f>SUMIFS('Monthly CF'!22:22,'Monthly CF'!$2:$2,'Annual CF'!J$1,'Monthly CF'!$1:$1,"&lt;="&amp;Summary!$K$19)</f>
        <v>0</v>
      </c>
      <c r="K21" s="161">
        <f>SUMIFS('Monthly CF'!22:22,'Monthly CF'!$2:$2,'Annual CF'!K$1,'Monthly CF'!$1:$1,"&lt;="&amp;Summary!$K$19)</f>
        <v>0</v>
      </c>
      <c r="L21" s="161">
        <f>SUMIFS('Monthly CF'!22:22,'Monthly CF'!$2:$2,'Annual CF'!L$1,'Monthly CF'!$1:$1,"&lt;="&amp;Summary!$K$19)</f>
        <v>0</v>
      </c>
      <c r="M21" s="162">
        <f>SUMIFS('Monthly CF'!22:22,'Monthly CF'!$2:$2,'Annual CF'!M$1,'Monthly CF'!$1:$1,"&lt;="&amp;Summary!$K$19)</f>
        <v>0</v>
      </c>
    </row>
    <row r="22" spans="1:13" x14ac:dyDescent="0.35">
      <c r="A22" s="168">
        <f t="shared" si="3"/>
        <v>0</v>
      </c>
      <c r="B22" s="5" t="str">
        <f>Revenue!O11</f>
        <v>Other Charges</v>
      </c>
      <c r="C22" s="160"/>
      <c r="D22" s="161">
        <f>SUMIFS('Monthly CF'!23:23,'Monthly CF'!$2:$2,'Annual CF'!D$1,'Monthly CF'!$1:$1,"&lt;="&amp;Summary!$K$19)</f>
        <v>0</v>
      </c>
      <c r="E22" s="161">
        <f>SUMIFS('Monthly CF'!23:23,'Monthly CF'!$2:$2,'Annual CF'!E$1,'Monthly CF'!$1:$1,"&lt;="&amp;Summary!$K$19)</f>
        <v>0</v>
      </c>
      <c r="F22" s="161">
        <f>SUMIFS('Monthly CF'!23:23,'Monthly CF'!$2:$2,'Annual CF'!F$1,'Monthly CF'!$1:$1,"&lt;="&amp;Summary!$K$19)</f>
        <v>0</v>
      </c>
      <c r="G22" s="161">
        <f>SUMIFS('Monthly CF'!23:23,'Monthly CF'!$2:$2,'Annual CF'!G$1,'Monthly CF'!$1:$1,"&lt;="&amp;Summary!$K$19)</f>
        <v>0</v>
      </c>
      <c r="H22" s="161">
        <f>SUMIFS('Monthly CF'!23:23,'Monthly CF'!$2:$2,'Annual CF'!H$1,'Monthly CF'!$1:$1,"&lt;="&amp;Summary!$K$19)</f>
        <v>0</v>
      </c>
      <c r="I22" s="161">
        <f>SUMIFS('Monthly CF'!23:23,'Monthly CF'!$2:$2,'Annual CF'!I$1,'Monthly CF'!$1:$1,"&lt;="&amp;Summary!$K$19)</f>
        <v>0</v>
      </c>
      <c r="J22" s="161">
        <f>SUMIFS('Monthly CF'!23:23,'Monthly CF'!$2:$2,'Annual CF'!J$1,'Monthly CF'!$1:$1,"&lt;="&amp;Summary!$K$19)</f>
        <v>0</v>
      </c>
      <c r="K22" s="161">
        <f>SUMIFS('Monthly CF'!23:23,'Monthly CF'!$2:$2,'Annual CF'!K$1,'Monthly CF'!$1:$1,"&lt;="&amp;Summary!$K$19)</f>
        <v>0</v>
      </c>
      <c r="L22" s="161">
        <f>SUMIFS('Monthly CF'!23:23,'Monthly CF'!$2:$2,'Annual CF'!L$1,'Monthly CF'!$1:$1,"&lt;="&amp;Summary!$K$19)</f>
        <v>0</v>
      </c>
      <c r="M22" s="162">
        <f>SUMIFS('Monthly CF'!23:23,'Monthly CF'!$2:$2,'Annual CF'!M$1,'Monthly CF'!$1:$1,"&lt;="&amp;Summary!$K$19)</f>
        <v>0</v>
      </c>
    </row>
    <row r="23" spans="1:13" x14ac:dyDescent="0.35">
      <c r="A23" s="168">
        <f t="shared" si="3"/>
        <v>843660.38070867385</v>
      </c>
      <c r="B23" s="14" t="s">
        <v>175</v>
      </c>
      <c r="C23" s="166"/>
      <c r="D23" s="164">
        <f>SUMIFS('Monthly CF'!24:24,'Monthly CF'!$2:$2,'Annual CF'!D$1,'Monthly CF'!$1:$1,"&lt;="&amp;Summary!$K$19)</f>
        <v>73592.922411919062</v>
      </c>
      <c r="E23" s="164">
        <f>SUMIFS('Monthly CF'!24:24,'Monthly CF'!$2:$2,'Annual CF'!E$1,'Monthly CF'!$1:$1,"&lt;="&amp;Summary!$K$19)</f>
        <v>75800.710084276696</v>
      </c>
      <c r="F23" s="164">
        <f>SUMIFS('Monthly CF'!24:24,'Monthly CF'!$2:$2,'Annual CF'!F$1,'Monthly CF'!$1:$1,"&lt;="&amp;Summary!$K$19)</f>
        <v>78074.731386805099</v>
      </c>
      <c r="G23" s="164">
        <f>SUMIFS('Monthly CF'!24:24,'Monthly CF'!$2:$2,'Annual CF'!G$1,'Monthly CF'!$1:$1,"&lt;="&amp;Summary!$K$19)</f>
        <v>80416.973328409309</v>
      </c>
      <c r="H23" s="164">
        <f>SUMIFS('Monthly CF'!24:24,'Monthly CF'!$2:$2,'Annual CF'!H$1,'Monthly CF'!$1:$1,"&lt;="&amp;Summary!$K$19)</f>
        <v>82829.482528261695</v>
      </c>
      <c r="I23" s="164">
        <f>SUMIFS('Monthly CF'!24:24,'Monthly CF'!$2:$2,'Annual CF'!I$1,'Monthly CF'!$1:$1,"&lt;="&amp;Summary!$K$19)</f>
        <v>85314.367004109648</v>
      </c>
      <c r="J23" s="164">
        <f>SUMIFS('Monthly CF'!24:24,'Monthly CF'!$2:$2,'Annual CF'!J$1,'Monthly CF'!$1:$1,"&lt;="&amp;Summary!$K$19)</f>
        <v>87873.79801423302</v>
      </c>
      <c r="K23" s="164">
        <f>SUMIFS('Monthly CF'!24:24,'Monthly CF'!$2:$2,'Annual CF'!K$1,'Monthly CF'!$1:$1,"&lt;="&amp;Summary!$K$19)</f>
        <v>90510.011954660135</v>
      </c>
      <c r="L23" s="164">
        <f>SUMIFS('Monthly CF'!24:24,'Monthly CF'!$2:$2,'Annual CF'!L$1,'Monthly CF'!$1:$1,"&lt;="&amp;Summary!$K$19)</f>
        <v>93225.312313300019</v>
      </c>
      <c r="M23" s="165">
        <f>SUMIFS('Monthly CF'!24:24,'Monthly CF'!$2:$2,'Annual CF'!M$1,'Monthly CF'!$1:$1,"&lt;="&amp;Summary!$K$19)</f>
        <v>96022.071682699112</v>
      </c>
    </row>
    <row r="24" spans="1:13" x14ac:dyDescent="0.35">
      <c r="B24" s="5"/>
      <c r="C24" s="160"/>
      <c r="D24" s="161"/>
      <c r="E24" s="161"/>
      <c r="F24" s="161"/>
      <c r="G24" s="161"/>
      <c r="H24" s="161"/>
      <c r="I24" s="161"/>
      <c r="J24" s="161"/>
      <c r="K24" s="161"/>
      <c r="L24" s="161"/>
      <c r="M24" s="162"/>
    </row>
    <row r="25" spans="1:13" x14ac:dyDescent="0.35">
      <c r="A25" s="168">
        <f>SUM(C25:M25)</f>
        <v>35279203.756708235</v>
      </c>
      <c r="B25" s="14" t="s">
        <v>176</v>
      </c>
      <c r="C25" s="166"/>
      <c r="D25" s="164">
        <f>SUMIFS('Monthly CF'!26:26,'Monthly CF'!$2:$2,'Annual CF'!D$1,'Monthly CF'!$1:$1,"&lt;="&amp;Summary!$K$19)</f>
        <v>2874140.8651346327</v>
      </c>
      <c r="E25" s="164">
        <f>SUMIFS('Monthly CF'!26:26,'Monthly CF'!$2:$2,'Annual CF'!E$1,'Monthly CF'!$1:$1,"&lt;="&amp;Summary!$K$19)</f>
        <v>3135485.9542891253</v>
      </c>
      <c r="F25" s="164">
        <f>SUMIFS('Monthly CF'!26:26,'Monthly CF'!$2:$2,'Annual CF'!F$1,'Monthly CF'!$1:$1,"&lt;="&amp;Summary!$K$19)</f>
        <v>3291550.924868044</v>
      </c>
      <c r="G25" s="164">
        <f>SUMIFS('Monthly CF'!26:26,'Monthly CF'!$2:$2,'Annual CF'!G$1,'Monthly CF'!$1:$1,"&lt;="&amp;Summary!$K$19)</f>
        <v>3390297.4526140881</v>
      </c>
      <c r="H25" s="164">
        <f>SUMIFS('Monthly CF'!26:26,'Monthly CF'!$2:$2,'Annual CF'!H$1,'Monthly CF'!$1:$1,"&lt;="&amp;Summary!$K$19)</f>
        <v>3492006.3761925129</v>
      </c>
      <c r="I25" s="164">
        <f>SUMIFS('Monthly CF'!26:26,'Monthly CF'!$2:$2,'Annual CF'!I$1,'Monthly CF'!$1:$1,"&lt;="&amp;Summary!$K$19)</f>
        <v>3596766.5674782922</v>
      </c>
      <c r="J25" s="164">
        <f>SUMIFS('Monthly CF'!26:26,'Monthly CF'!$2:$2,'Annual CF'!J$1,'Monthly CF'!$1:$1,"&lt;="&amp;Summary!$K$19)</f>
        <v>3704669.5645026444</v>
      </c>
      <c r="K25" s="164">
        <f>SUMIFS('Monthly CF'!26:26,'Monthly CF'!$2:$2,'Annual CF'!K$1,'Monthly CF'!$1:$1,"&lt;="&amp;Summary!$K$19)</f>
        <v>3815809.6514377287</v>
      </c>
      <c r="L25" s="164">
        <f>SUMIFS('Monthly CF'!26:26,'Monthly CF'!$2:$2,'Annual CF'!L$1,'Monthly CF'!$1:$1,"&lt;="&amp;Summary!$K$19)</f>
        <v>3930283.9409808647</v>
      </c>
      <c r="M25" s="165">
        <f>SUMIFS('Monthly CF'!26:26,'Monthly CF'!$2:$2,'Annual CF'!M$1,'Monthly CF'!$1:$1,"&lt;="&amp;Summary!$K$19)</f>
        <v>4048192.4592102966</v>
      </c>
    </row>
    <row r="26" spans="1:13" x14ac:dyDescent="0.35">
      <c r="B26" s="5"/>
      <c r="C26" s="160"/>
      <c r="D26" s="161"/>
      <c r="E26" s="161"/>
      <c r="F26" s="161"/>
      <c r="G26" s="161"/>
      <c r="H26" s="161"/>
      <c r="I26" s="161"/>
      <c r="J26" s="161"/>
      <c r="K26" s="161"/>
      <c r="L26" s="161"/>
      <c r="M26" s="162"/>
    </row>
    <row r="27" spans="1:13" x14ac:dyDescent="0.35">
      <c r="B27" s="156" t="s">
        <v>177</v>
      </c>
      <c r="C27" s="160"/>
      <c r="D27" s="161"/>
      <c r="E27" s="161"/>
      <c r="F27" s="161"/>
      <c r="G27" s="161"/>
      <c r="H27" s="161"/>
      <c r="I27" s="161"/>
      <c r="J27" s="161"/>
      <c r="K27" s="161"/>
      <c r="L27" s="161"/>
      <c r="M27" s="162"/>
    </row>
    <row r="28" spans="1:13" x14ac:dyDescent="0.35">
      <c r="A28" s="168">
        <f t="shared" ref="A28:A40" si="4">SUM(C28:M28)</f>
        <v>-2300891.9473872795</v>
      </c>
      <c r="B28" s="5" t="str">
        <f>Expenses!E3</f>
        <v>Payroll</v>
      </c>
      <c r="C28" s="160"/>
      <c r="D28" s="161">
        <f>SUMIFS('Monthly CF'!29:29,'Monthly CF'!$2:$2,'Annual CF'!D$1,'Monthly CF'!$1:$1,"&lt;="&amp;Summary!$K$19)</f>
        <v>-200707.97021432457</v>
      </c>
      <c r="E28" s="161">
        <f>SUMIFS('Monthly CF'!29:29,'Monthly CF'!$2:$2,'Annual CF'!E$1,'Monthly CF'!$1:$1,"&lt;="&amp;Summary!$K$19)</f>
        <v>-206729.20932075434</v>
      </c>
      <c r="F28" s="161">
        <f>SUMIFS('Monthly CF'!29:29,'Monthly CF'!$2:$2,'Annual CF'!F$1,'Monthly CF'!$1:$1,"&lt;="&amp;Summary!$K$19)</f>
        <v>-212931.08560037694</v>
      </c>
      <c r="G28" s="161">
        <f>SUMIFS('Monthly CF'!29:29,'Monthly CF'!$2:$2,'Annual CF'!G$1,'Monthly CF'!$1:$1,"&lt;="&amp;Summary!$K$19)</f>
        <v>-219319.01816838828</v>
      </c>
      <c r="H28" s="161">
        <f>SUMIFS('Monthly CF'!29:29,'Monthly CF'!$2:$2,'Annual CF'!H$1,'Monthly CF'!$1:$1,"&lt;="&amp;Summary!$K$19)</f>
        <v>-225898.58871343991</v>
      </c>
      <c r="I28" s="161">
        <f>SUMIFS('Monthly CF'!29:29,'Monthly CF'!$2:$2,'Annual CF'!I$1,'Monthly CF'!$1:$1,"&lt;="&amp;Summary!$K$19)</f>
        <v>-232675.54637484308</v>
      </c>
      <c r="J28" s="161">
        <f>SUMIFS('Monthly CF'!29:29,'Monthly CF'!$2:$2,'Annual CF'!J$1,'Monthly CF'!$1:$1,"&lt;="&amp;Summary!$K$19)</f>
        <v>-239655.81276608841</v>
      </c>
      <c r="K28" s="161">
        <f>SUMIFS('Monthly CF'!29:29,'Monthly CF'!$2:$2,'Annual CF'!K$1,'Monthly CF'!$1:$1,"&lt;="&amp;Summary!$K$19)</f>
        <v>-246845.48714907112</v>
      </c>
      <c r="L28" s="161">
        <f>SUMIFS('Monthly CF'!29:29,'Monthly CF'!$2:$2,'Annual CF'!L$1,'Monthly CF'!$1:$1,"&lt;="&amp;Summary!$K$19)</f>
        <v>-254250.85176354327</v>
      </c>
      <c r="M28" s="162">
        <f>SUMIFS('Monthly CF'!29:29,'Monthly CF'!$2:$2,'Annual CF'!M$1,'Monthly CF'!$1:$1,"&lt;="&amp;Summary!$K$19)</f>
        <v>-261878.37731644957</v>
      </c>
    </row>
    <row r="29" spans="1:13" x14ac:dyDescent="0.35">
      <c r="A29" s="168">
        <f t="shared" si="4"/>
        <v>-351525.15862861217</v>
      </c>
      <c r="B29" s="5" t="str">
        <f>Expenses!E4</f>
        <v>General &amp; Administrative</v>
      </c>
      <c r="C29" s="160"/>
      <c r="D29" s="161">
        <f>SUMIFS('Monthly CF'!30:30,'Monthly CF'!$2:$2,'Annual CF'!D$1,'Monthly CF'!$1:$1,"&lt;="&amp;Summary!$K$19)</f>
        <v>-30663.71767163292</v>
      </c>
      <c r="E29" s="161">
        <f>SUMIFS('Monthly CF'!30:30,'Monthly CF'!$2:$2,'Annual CF'!E$1,'Monthly CF'!$1:$1,"&lt;="&amp;Summary!$K$19)</f>
        <v>-31583.629201781914</v>
      </c>
      <c r="F29" s="161">
        <f>SUMIFS('Monthly CF'!30:30,'Monthly CF'!$2:$2,'Annual CF'!F$1,'Monthly CF'!$1:$1,"&lt;="&amp;Summary!$K$19)</f>
        <v>-32531.138077835363</v>
      </c>
      <c r="G29" s="161">
        <f>SUMIFS('Monthly CF'!30:30,'Monthly CF'!$2:$2,'Annual CF'!G$1,'Monthly CF'!$1:$1,"&lt;="&amp;Summary!$K$19)</f>
        <v>-33507.072220170434</v>
      </c>
      <c r="H29" s="161">
        <f>SUMIFS('Monthly CF'!30:30,'Monthly CF'!$2:$2,'Annual CF'!H$1,'Monthly CF'!$1:$1,"&lt;="&amp;Summary!$K$19)</f>
        <v>-34512.284386775544</v>
      </c>
      <c r="I29" s="161">
        <f>SUMIFS('Monthly CF'!30:30,'Monthly CF'!$2:$2,'Annual CF'!I$1,'Monthly CF'!$1:$1,"&lt;="&amp;Summary!$K$19)</f>
        <v>-35547.652918378815</v>
      </c>
      <c r="J29" s="161">
        <f>SUMIFS('Monthly CF'!30:30,'Monthly CF'!$2:$2,'Annual CF'!J$1,'Monthly CF'!$1:$1,"&lt;="&amp;Summary!$K$19)</f>
        <v>-36614.082505930186</v>
      </c>
      <c r="K29" s="161">
        <f>SUMIFS('Monthly CF'!30:30,'Monthly CF'!$2:$2,'Annual CF'!K$1,'Monthly CF'!$1:$1,"&lt;="&amp;Summary!$K$19)</f>
        <v>-37712.50498110809</v>
      </c>
      <c r="L29" s="161">
        <f>SUMIFS('Monthly CF'!30:30,'Monthly CF'!$2:$2,'Annual CF'!L$1,'Monthly CF'!$1:$1,"&lt;="&amp;Summary!$K$19)</f>
        <v>-38843.880130541336</v>
      </c>
      <c r="M29" s="162">
        <f>SUMIFS('Monthly CF'!30:30,'Monthly CF'!$2:$2,'Annual CF'!M$1,'Monthly CF'!$1:$1,"&lt;="&amp;Summary!$K$19)</f>
        <v>-40009.196534457566</v>
      </c>
    </row>
    <row r="30" spans="1:13" x14ac:dyDescent="0.35">
      <c r="A30" s="168">
        <f t="shared" si="4"/>
        <v>-287611.49342340993</v>
      </c>
      <c r="B30" s="5" t="str">
        <f>Expenses!E5</f>
        <v>Marketing</v>
      </c>
      <c r="C30" s="160"/>
      <c r="D30" s="161">
        <f>SUMIFS('Monthly CF'!31:31,'Monthly CF'!$2:$2,'Annual CF'!D$1,'Monthly CF'!$1:$1,"&lt;="&amp;Summary!$K$19)</f>
        <v>-25088.496276790571</v>
      </c>
      <c r="E30" s="161">
        <f>SUMIFS('Monthly CF'!31:31,'Monthly CF'!$2:$2,'Annual CF'!E$1,'Monthly CF'!$1:$1,"&lt;="&amp;Summary!$K$19)</f>
        <v>-25841.151165094292</v>
      </c>
      <c r="F30" s="161">
        <f>SUMIFS('Monthly CF'!31:31,'Monthly CF'!$2:$2,'Annual CF'!F$1,'Monthly CF'!$1:$1,"&lt;="&amp;Summary!$K$19)</f>
        <v>-26616.385700047118</v>
      </c>
      <c r="G30" s="161">
        <f>SUMIFS('Monthly CF'!31:31,'Monthly CF'!$2:$2,'Annual CF'!G$1,'Monthly CF'!$1:$1,"&lt;="&amp;Summary!$K$19)</f>
        <v>-27414.877271048535</v>
      </c>
      <c r="H30" s="161">
        <f>SUMIFS('Monthly CF'!31:31,'Monthly CF'!$2:$2,'Annual CF'!H$1,'Monthly CF'!$1:$1,"&lt;="&amp;Summary!$K$19)</f>
        <v>-28237.323589179989</v>
      </c>
      <c r="I30" s="161">
        <f>SUMIFS('Monthly CF'!31:31,'Monthly CF'!$2:$2,'Annual CF'!I$1,'Monthly CF'!$1:$1,"&lt;="&amp;Summary!$K$19)</f>
        <v>-29084.443296855385</v>
      </c>
      <c r="J30" s="161">
        <f>SUMIFS('Monthly CF'!31:31,'Monthly CF'!$2:$2,'Annual CF'!J$1,'Monthly CF'!$1:$1,"&lt;="&amp;Summary!$K$19)</f>
        <v>-29956.976595761051</v>
      </c>
      <c r="K30" s="161">
        <f>SUMIFS('Monthly CF'!31:31,'Monthly CF'!$2:$2,'Annual CF'!K$1,'Monthly CF'!$1:$1,"&lt;="&amp;Summary!$K$19)</f>
        <v>-30855.68589363389</v>
      </c>
      <c r="L30" s="161">
        <f>SUMIFS('Monthly CF'!31:31,'Monthly CF'!$2:$2,'Annual CF'!L$1,'Monthly CF'!$1:$1,"&lt;="&amp;Summary!$K$19)</f>
        <v>-31781.356470442908</v>
      </c>
      <c r="M30" s="162">
        <f>SUMIFS('Monthly CF'!31:31,'Monthly CF'!$2:$2,'Annual CF'!M$1,'Monthly CF'!$1:$1,"&lt;="&amp;Summary!$K$19)</f>
        <v>-32734.797164556196</v>
      </c>
    </row>
    <row r="31" spans="1:13" x14ac:dyDescent="0.35">
      <c r="A31" s="168">
        <f t="shared" si="4"/>
        <v>-703050.31725722435</v>
      </c>
      <c r="B31" s="5" t="str">
        <f>Expenses!E6</f>
        <v>Repairs &amp; Maintenance</v>
      </c>
      <c r="C31" s="160"/>
      <c r="D31" s="161">
        <f>SUMIFS('Monthly CF'!32:32,'Monthly CF'!$2:$2,'Annual CF'!D$1,'Monthly CF'!$1:$1,"&lt;="&amp;Summary!$K$19)</f>
        <v>-61327.435343265839</v>
      </c>
      <c r="E31" s="161">
        <f>SUMIFS('Monthly CF'!32:32,'Monthly CF'!$2:$2,'Annual CF'!E$1,'Monthly CF'!$1:$1,"&lt;="&amp;Summary!$K$19)</f>
        <v>-63167.258403563828</v>
      </c>
      <c r="F31" s="161">
        <f>SUMIFS('Monthly CF'!32:32,'Monthly CF'!$2:$2,'Annual CF'!F$1,'Monthly CF'!$1:$1,"&lt;="&amp;Summary!$K$19)</f>
        <v>-65062.276155670726</v>
      </c>
      <c r="G31" s="161">
        <f>SUMIFS('Monthly CF'!32:32,'Monthly CF'!$2:$2,'Annual CF'!G$1,'Monthly CF'!$1:$1,"&lt;="&amp;Summary!$K$19)</f>
        <v>-67014.144440340868</v>
      </c>
      <c r="H31" s="161">
        <f>SUMIFS('Monthly CF'!32:32,'Monthly CF'!$2:$2,'Annual CF'!H$1,'Monthly CF'!$1:$1,"&lt;="&amp;Summary!$K$19)</f>
        <v>-69024.568773551087</v>
      </c>
      <c r="I31" s="161">
        <f>SUMIFS('Monthly CF'!32:32,'Monthly CF'!$2:$2,'Annual CF'!I$1,'Monthly CF'!$1:$1,"&lt;="&amp;Summary!$K$19)</f>
        <v>-71095.30583675763</v>
      </c>
      <c r="J31" s="161">
        <f>SUMIFS('Monthly CF'!32:32,'Monthly CF'!$2:$2,'Annual CF'!J$1,'Monthly CF'!$1:$1,"&lt;="&amp;Summary!$K$19)</f>
        <v>-73228.165011860372</v>
      </c>
      <c r="K31" s="161">
        <f>SUMIFS('Monthly CF'!32:32,'Monthly CF'!$2:$2,'Annual CF'!K$1,'Monthly CF'!$1:$1,"&lt;="&amp;Summary!$K$19)</f>
        <v>-75425.00996221618</v>
      </c>
      <c r="L31" s="161">
        <f>SUMIFS('Monthly CF'!32:32,'Monthly CF'!$2:$2,'Annual CF'!L$1,'Monthly CF'!$1:$1,"&lt;="&amp;Summary!$K$19)</f>
        <v>-77687.760261082673</v>
      </c>
      <c r="M31" s="162">
        <f>SUMIFS('Monthly CF'!32:32,'Monthly CF'!$2:$2,'Annual CF'!M$1,'Monthly CF'!$1:$1,"&lt;="&amp;Summary!$K$19)</f>
        <v>-80018.393068915131</v>
      </c>
    </row>
    <row r="32" spans="1:13" x14ac:dyDescent="0.35">
      <c r="A32" s="168">
        <f t="shared" si="4"/>
        <v>-479352.48903901654</v>
      </c>
      <c r="B32" s="5" t="str">
        <f>Expenses!E7</f>
        <v>Turnover Costs</v>
      </c>
      <c r="C32" s="160"/>
      <c r="D32" s="161">
        <f>SUMIFS('Monthly CF'!33:33,'Monthly CF'!$2:$2,'Annual CF'!D$1,'Monthly CF'!$1:$1,"&lt;="&amp;Summary!$K$19)</f>
        <v>-41814.160461317624</v>
      </c>
      <c r="E32" s="161">
        <f>SUMIFS('Monthly CF'!33:33,'Monthly CF'!$2:$2,'Annual CF'!E$1,'Monthly CF'!$1:$1,"&lt;="&amp;Summary!$K$19)</f>
        <v>-43068.585275157151</v>
      </c>
      <c r="F32" s="161">
        <f>SUMIFS('Monthly CF'!33:33,'Monthly CF'!$2:$2,'Annual CF'!F$1,'Monthly CF'!$1:$1,"&lt;="&amp;Summary!$K$19)</f>
        <v>-44360.642833411868</v>
      </c>
      <c r="G32" s="161">
        <f>SUMIFS('Monthly CF'!33:33,'Monthly CF'!$2:$2,'Annual CF'!G$1,'Monthly CF'!$1:$1,"&lt;="&amp;Summary!$K$19)</f>
        <v>-45691.462118414223</v>
      </c>
      <c r="H32" s="161">
        <f>SUMIFS('Monthly CF'!33:33,'Monthly CF'!$2:$2,'Annual CF'!H$1,'Monthly CF'!$1:$1,"&lt;="&amp;Summary!$K$19)</f>
        <v>-47062.205981966654</v>
      </c>
      <c r="I32" s="161">
        <f>SUMIFS('Monthly CF'!33:33,'Monthly CF'!$2:$2,'Annual CF'!I$1,'Monthly CF'!$1:$1,"&lt;="&amp;Summary!$K$19)</f>
        <v>-48474.072161425654</v>
      </c>
      <c r="J32" s="161">
        <f>SUMIFS('Monthly CF'!33:33,'Monthly CF'!$2:$2,'Annual CF'!J$1,'Monthly CF'!$1:$1,"&lt;="&amp;Summary!$K$19)</f>
        <v>-49928.294326268435</v>
      </c>
      <c r="K32" s="161">
        <f>SUMIFS('Monthly CF'!33:33,'Monthly CF'!$2:$2,'Annual CF'!K$1,'Monthly CF'!$1:$1,"&lt;="&amp;Summary!$K$19)</f>
        <v>-51426.143156056482</v>
      </c>
      <c r="L32" s="161">
        <f>SUMIFS('Monthly CF'!33:33,'Monthly CF'!$2:$2,'Annual CF'!L$1,'Monthly CF'!$1:$1,"&lt;="&amp;Summary!$K$19)</f>
        <v>-52968.927450738178</v>
      </c>
      <c r="M32" s="162">
        <f>SUMIFS('Monthly CF'!33:33,'Monthly CF'!$2:$2,'Annual CF'!M$1,'Monthly CF'!$1:$1,"&lt;="&amp;Summary!$K$19)</f>
        <v>-54557.99527426032</v>
      </c>
    </row>
    <row r="33" spans="1:13" x14ac:dyDescent="0.35">
      <c r="A33" s="168">
        <f t="shared" si="4"/>
        <v>-287611.49342340993</v>
      </c>
      <c r="B33" s="5" t="str">
        <f>Expenses!E8</f>
        <v>Contract Services</v>
      </c>
      <c r="C33" s="160"/>
      <c r="D33" s="161">
        <f>SUMIFS('Monthly CF'!34:34,'Monthly CF'!$2:$2,'Annual CF'!D$1,'Monthly CF'!$1:$1,"&lt;="&amp;Summary!$K$19)</f>
        <v>-25088.496276790571</v>
      </c>
      <c r="E33" s="161">
        <f>SUMIFS('Monthly CF'!34:34,'Monthly CF'!$2:$2,'Annual CF'!E$1,'Monthly CF'!$1:$1,"&lt;="&amp;Summary!$K$19)</f>
        <v>-25841.151165094292</v>
      </c>
      <c r="F33" s="161">
        <f>SUMIFS('Monthly CF'!34:34,'Monthly CF'!$2:$2,'Annual CF'!F$1,'Monthly CF'!$1:$1,"&lt;="&amp;Summary!$K$19)</f>
        <v>-26616.385700047118</v>
      </c>
      <c r="G33" s="161">
        <f>SUMIFS('Monthly CF'!34:34,'Monthly CF'!$2:$2,'Annual CF'!G$1,'Monthly CF'!$1:$1,"&lt;="&amp;Summary!$K$19)</f>
        <v>-27414.877271048535</v>
      </c>
      <c r="H33" s="161">
        <f>SUMIFS('Monthly CF'!34:34,'Monthly CF'!$2:$2,'Annual CF'!H$1,'Monthly CF'!$1:$1,"&lt;="&amp;Summary!$K$19)</f>
        <v>-28237.323589179989</v>
      </c>
      <c r="I33" s="161">
        <f>SUMIFS('Monthly CF'!34:34,'Monthly CF'!$2:$2,'Annual CF'!I$1,'Monthly CF'!$1:$1,"&lt;="&amp;Summary!$K$19)</f>
        <v>-29084.443296855385</v>
      </c>
      <c r="J33" s="161">
        <f>SUMIFS('Monthly CF'!34:34,'Monthly CF'!$2:$2,'Annual CF'!J$1,'Monthly CF'!$1:$1,"&lt;="&amp;Summary!$K$19)</f>
        <v>-29956.976595761051</v>
      </c>
      <c r="K33" s="161">
        <f>SUMIFS('Monthly CF'!34:34,'Monthly CF'!$2:$2,'Annual CF'!K$1,'Monthly CF'!$1:$1,"&lt;="&amp;Summary!$K$19)</f>
        <v>-30855.68589363389</v>
      </c>
      <c r="L33" s="161">
        <f>SUMIFS('Monthly CF'!34:34,'Monthly CF'!$2:$2,'Annual CF'!L$1,'Monthly CF'!$1:$1,"&lt;="&amp;Summary!$K$19)</f>
        <v>-31781.356470442908</v>
      </c>
      <c r="M33" s="162">
        <f>SUMIFS('Monthly CF'!34:34,'Monthly CF'!$2:$2,'Annual CF'!M$1,'Monthly CF'!$1:$1,"&lt;="&amp;Summary!$K$19)</f>
        <v>-32734.797164556196</v>
      </c>
    </row>
    <row r="34" spans="1:13" x14ac:dyDescent="0.35">
      <c r="A34" s="168">
        <f t="shared" si="4"/>
        <v>-703050.31725722435</v>
      </c>
      <c r="B34" s="5" t="str">
        <f>Expenses!E9</f>
        <v>Utilities</v>
      </c>
      <c r="C34" s="160"/>
      <c r="D34" s="161">
        <f>SUMIFS('Monthly CF'!35:35,'Monthly CF'!$2:$2,'Annual CF'!D$1,'Monthly CF'!$1:$1,"&lt;="&amp;Summary!$K$19)</f>
        <v>-61327.435343265839</v>
      </c>
      <c r="E34" s="161">
        <f>SUMIFS('Monthly CF'!35:35,'Monthly CF'!$2:$2,'Annual CF'!E$1,'Monthly CF'!$1:$1,"&lt;="&amp;Summary!$K$19)</f>
        <v>-63167.258403563828</v>
      </c>
      <c r="F34" s="161">
        <f>SUMIFS('Monthly CF'!35:35,'Monthly CF'!$2:$2,'Annual CF'!F$1,'Monthly CF'!$1:$1,"&lt;="&amp;Summary!$K$19)</f>
        <v>-65062.276155670726</v>
      </c>
      <c r="G34" s="161">
        <f>SUMIFS('Monthly CF'!35:35,'Monthly CF'!$2:$2,'Annual CF'!G$1,'Monthly CF'!$1:$1,"&lt;="&amp;Summary!$K$19)</f>
        <v>-67014.144440340868</v>
      </c>
      <c r="H34" s="161">
        <f>SUMIFS('Monthly CF'!35:35,'Monthly CF'!$2:$2,'Annual CF'!H$1,'Monthly CF'!$1:$1,"&lt;="&amp;Summary!$K$19)</f>
        <v>-69024.568773551087</v>
      </c>
      <c r="I34" s="161">
        <f>SUMIFS('Monthly CF'!35:35,'Monthly CF'!$2:$2,'Annual CF'!I$1,'Monthly CF'!$1:$1,"&lt;="&amp;Summary!$K$19)</f>
        <v>-71095.30583675763</v>
      </c>
      <c r="J34" s="161">
        <f>SUMIFS('Monthly CF'!35:35,'Monthly CF'!$2:$2,'Annual CF'!J$1,'Monthly CF'!$1:$1,"&lt;="&amp;Summary!$K$19)</f>
        <v>-73228.165011860372</v>
      </c>
      <c r="K34" s="161">
        <f>SUMIFS('Monthly CF'!35:35,'Monthly CF'!$2:$2,'Annual CF'!K$1,'Monthly CF'!$1:$1,"&lt;="&amp;Summary!$K$19)</f>
        <v>-75425.00996221618</v>
      </c>
      <c r="L34" s="161">
        <f>SUMIFS('Monthly CF'!35:35,'Monthly CF'!$2:$2,'Annual CF'!L$1,'Monthly CF'!$1:$1,"&lt;="&amp;Summary!$K$19)</f>
        <v>-77687.760261082673</v>
      </c>
      <c r="M34" s="162">
        <f>SUMIFS('Monthly CF'!35:35,'Monthly CF'!$2:$2,'Annual CF'!M$1,'Monthly CF'!$1:$1,"&lt;="&amp;Summary!$K$19)</f>
        <v>-80018.393068915131</v>
      </c>
    </row>
    <row r="35" spans="1:13" x14ac:dyDescent="0.35">
      <c r="A35" s="168">
        <f t="shared" si="4"/>
        <v>607179.81944942102</v>
      </c>
      <c r="B35" s="5" t="str">
        <f>Expenses!E10</f>
        <v>Utility Bill-Back</v>
      </c>
      <c r="C35" s="160"/>
      <c r="D35" s="161">
        <f>SUMIFS('Monthly CF'!36:36,'Monthly CF'!$2:$2,'Annual CF'!D$1,'Monthly CF'!$1:$1,"&lt;="&amp;Summary!$K$19)</f>
        <v>52964.603251002321</v>
      </c>
      <c r="E35" s="161">
        <f>SUMIFS('Monthly CF'!36:36,'Monthly CF'!$2:$2,'Annual CF'!E$1,'Monthly CF'!$1:$1,"&lt;="&amp;Summary!$K$19)</f>
        <v>54553.541348532395</v>
      </c>
      <c r="F35" s="161">
        <f>SUMIFS('Monthly CF'!36:36,'Monthly CF'!$2:$2,'Annual CF'!F$1,'Monthly CF'!$1:$1,"&lt;="&amp;Summary!$K$19)</f>
        <v>56190.147588988366</v>
      </c>
      <c r="G35" s="161">
        <f>SUMIFS('Monthly CF'!36:36,'Monthly CF'!$2:$2,'Annual CF'!G$1,'Monthly CF'!$1:$1,"&lt;="&amp;Summary!$K$19)</f>
        <v>57875.852016658013</v>
      </c>
      <c r="H35" s="161">
        <f>SUMIFS('Monthly CF'!36:36,'Monthly CF'!$2:$2,'Annual CF'!H$1,'Monthly CF'!$1:$1,"&lt;="&amp;Summary!$K$19)</f>
        <v>59612.127577157757</v>
      </c>
      <c r="I35" s="161">
        <f>SUMIFS('Monthly CF'!36:36,'Monthly CF'!$2:$2,'Annual CF'!I$1,'Monthly CF'!$1:$1,"&lt;="&amp;Summary!$K$19)</f>
        <v>61400.491404472501</v>
      </c>
      <c r="J35" s="161">
        <f>SUMIFS('Monthly CF'!36:36,'Monthly CF'!$2:$2,'Annual CF'!J$1,'Monthly CF'!$1:$1,"&lt;="&amp;Summary!$K$19)</f>
        <v>63242.506146606676</v>
      </c>
      <c r="K35" s="161">
        <f>SUMIFS('Monthly CF'!36:36,'Monthly CF'!$2:$2,'Annual CF'!K$1,'Monthly CF'!$1:$1,"&lt;="&amp;Summary!$K$19)</f>
        <v>65139.781331004873</v>
      </c>
      <c r="L35" s="161">
        <f>SUMIFS('Monthly CF'!36:36,'Monthly CF'!$2:$2,'Annual CF'!L$1,'Monthly CF'!$1:$1,"&lt;="&amp;Summary!$K$19)</f>
        <v>67093.974770935034</v>
      </c>
      <c r="M35" s="162">
        <f>SUMIFS('Monthly CF'!36:36,'Monthly CF'!$2:$2,'Annual CF'!M$1,'Monthly CF'!$1:$1,"&lt;="&amp;Summary!$K$19)</f>
        <v>69106.794014063067</v>
      </c>
    </row>
    <row r="36" spans="1:13" x14ac:dyDescent="0.35">
      <c r="A36" s="168">
        <f t="shared" si="4"/>
        <v>-1411168.1502683288</v>
      </c>
      <c r="B36" s="5" t="str">
        <f>Expenses!E11</f>
        <v>Property Management Fee</v>
      </c>
      <c r="C36" s="160"/>
      <c r="D36" s="161">
        <f>SUMIFS('Monthly CF'!37:37,'Monthly CF'!$2:$2,'Annual CF'!D$1,'Monthly CF'!$1:$1,"&lt;="&amp;Summary!$K$19)</f>
        <v>-114965.6346053853</v>
      </c>
      <c r="E36" s="161">
        <f>SUMIFS('Monthly CF'!37:37,'Monthly CF'!$2:$2,'Annual CF'!E$1,'Monthly CF'!$1:$1,"&lt;="&amp;Summary!$K$19)</f>
        <v>-125419.43817156499</v>
      </c>
      <c r="F36" s="161">
        <f>SUMIFS('Monthly CF'!37:37,'Monthly CF'!$2:$2,'Annual CF'!F$1,'Monthly CF'!$1:$1,"&lt;="&amp;Summary!$K$19)</f>
        <v>-131662.03699472174</v>
      </c>
      <c r="G36" s="161">
        <f>SUMIFS('Monthly CF'!37:37,'Monthly CF'!$2:$2,'Annual CF'!G$1,'Monthly CF'!$1:$1,"&lt;="&amp;Summary!$K$19)</f>
        <v>-135611.89810456353</v>
      </c>
      <c r="H36" s="161">
        <f>SUMIFS('Monthly CF'!37:37,'Monthly CF'!$2:$2,'Annual CF'!H$1,'Monthly CF'!$1:$1,"&lt;="&amp;Summary!$K$19)</f>
        <v>-139680.25504770051</v>
      </c>
      <c r="I36" s="161">
        <f>SUMIFS('Monthly CF'!37:37,'Monthly CF'!$2:$2,'Annual CF'!I$1,'Monthly CF'!$1:$1,"&lt;="&amp;Summary!$K$19)</f>
        <v>-143870.66269913167</v>
      </c>
      <c r="J36" s="161">
        <f>SUMIFS('Monthly CF'!37:37,'Monthly CF'!$2:$2,'Annual CF'!J$1,'Monthly CF'!$1:$1,"&lt;="&amp;Summary!$K$19)</f>
        <v>-148186.78258010576</v>
      </c>
      <c r="K36" s="161">
        <f>SUMIFS('Monthly CF'!37:37,'Monthly CF'!$2:$2,'Annual CF'!K$1,'Monthly CF'!$1:$1,"&lt;="&amp;Summary!$K$19)</f>
        <v>-152632.38605750914</v>
      </c>
      <c r="L36" s="161">
        <f>SUMIFS('Monthly CF'!37:37,'Monthly CF'!$2:$2,'Annual CF'!L$1,'Monthly CF'!$1:$1,"&lt;="&amp;Summary!$K$19)</f>
        <v>-157211.3576392346</v>
      </c>
      <c r="M36" s="162">
        <f>SUMIFS('Monthly CF'!37:37,'Monthly CF'!$2:$2,'Annual CF'!M$1,'Monthly CF'!$1:$1,"&lt;="&amp;Summary!$K$19)</f>
        <v>-161927.69836841186</v>
      </c>
    </row>
    <row r="37" spans="1:13" x14ac:dyDescent="0.35">
      <c r="A37" s="168">
        <f t="shared" si="4"/>
        <v>-4812662.8415347198</v>
      </c>
      <c r="B37" s="5" t="str">
        <f>Expenses!E12</f>
        <v>Property Taxes</v>
      </c>
      <c r="C37" s="160"/>
      <c r="D37" s="161">
        <f>SUMIFS('Monthly CF'!38:38,'Monthly CF'!$2:$2,'Annual CF'!D$1,'Monthly CF'!$1:$1,"&lt;="&amp;Summary!$K$19)</f>
        <v>-412500</v>
      </c>
      <c r="E37" s="161">
        <f>SUMIFS('Monthly CF'!38:38,'Monthly CF'!$2:$2,'Annual CF'!E$1,'Monthly CF'!$1:$1,"&lt;="&amp;Summary!$K$19)</f>
        <v>-433125</v>
      </c>
      <c r="F37" s="161">
        <f>SUMIFS('Monthly CF'!38:38,'Monthly CF'!$2:$2,'Annual CF'!F$1,'Monthly CF'!$1:$1,"&lt;="&amp;Summary!$K$19)</f>
        <v>-446118.75</v>
      </c>
      <c r="G37" s="161">
        <f>SUMIFS('Monthly CF'!38:38,'Monthly CF'!$2:$2,'Annual CF'!G$1,'Monthly CF'!$1:$1,"&lt;="&amp;Summary!$K$19)</f>
        <v>-459502.3125</v>
      </c>
      <c r="H37" s="161">
        <f>SUMIFS('Monthly CF'!38:38,'Monthly CF'!$2:$2,'Annual CF'!H$1,'Monthly CF'!$1:$1,"&lt;="&amp;Summary!$K$19)</f>
        <v>-473287.38187500014</v>
      </c>
      <c r="I37" s="161">
        <f>SUMIFS('Monthly CF'!38:38,'Monthly CF'!$2:$2,'Annual CF'!I$1,'Monthly CF'!$1:$1,"&lt;="&amp;Summary!$K$19)</f>
        <v>-487486.0033312501</v>
      </c>
      <c r="J37" s="161">
        <f>SUMIFS('Monthly CF'!38:38,'Monthly CF'!$2:$2,'Annual CF'!J$1,'Monthly CF'!$1:$1,"&lt;="&amp;Summary!$K$19)</f>
        <v>-502110.58343118749</v>
      </c>
      <c r="K37" s="161">
        <f>SUMIFS('Monthly CF'!38:38,'Monthly CF'!$2:$2,'Annual CF'!K$1,'Monthly CF'!$1:$1,"&lt;="&amp;Summary!$K$19)</f>
        <v>-517173.90093412326</v>
      </c>
      <c r="L37" s="161">
        <f>SUMIFS('Monthly CF'!38:38,'Monthly CF'!$2:$2,'Annual CF'!L$1,'Monthly CF'!$1:$1,"&lt;="&amp;Summary!$K$19)</f>
        <v>-532689.11796214699</v>
      </c>
      <c r="M37" s="162">
        <f>SUMIFS('Monthly CF'!38:38,'Monthly CF'!$2:$2,'Annual CF'!M$1,'Monthly CF'!$1:$1,"&lt;="&amp;Summary!$K$19)</f>
        <v>-548669.79150101135</v>
      </c>
    </row>
    <row r="38" spans="1:13" x14ac:dyDescent="0.35">
      <c r="A38" s="168">
        <f t="shared" si="4"/>
        <v>-567462.02591780119</v>
      </c>
      <c r="B38" s="5" t="str">
        <f>Expenses!E13</f>
        <v>Insurance</v>
      </c>
      <c r="C38" s="160"/>
      <c r="D38" s="161">
        <f>SUMIFS('Monthly CF'!39:39,'Monthly CF'!$2:$2,'Annual CF'!D$1,'Monthly CF'!$1:$1,"&lt;="&amp;Summary!$K$19)</f>
        <v>-49500</v>
      </c>
      <c r="E38" s="161">
        <f>SUMIFS('Monthly CF'!39:39,'Monthly CF'!$2:$2,'Annual CF'!E$1,'Monthly CF'!$1:$1,"&lt;="&amp;Summary!$K$19)</f>
        <v>-50985</v>
      </c>
      <c r="F38" s="161">
        <f>SUMIFS('Monthly CF'!39:39,'Monthly CF'!$2:$2,'Annual CF'!F$1,'Monthly CF'!$1:$1,"&lt;="&amp;Summary!$K$19)</f>
        <v>-52514.55000000001</v>
      </c>
      <c r="G38" s="161">
        <f>SUMIFS('Monthly CF'!39:39,'Monthly CF'!$2:$2,'Annual CF'!G$1,'Monthly CF'!$1:$1,"&lt;="&amp;Summary!$K$19)</f>
        <v>-54089.986499999992</v>
      </c>
      <c r="H38" s="161">
        <f>SUMIFS('Monthly CF'!39:39,'Monthly CF'!$2:$2,'Annual CF'!H$1,'Monthly CF'!$1:$1,"&lt;="&amp;Summary!$K$19)</f>
        <v>-55712.686095000005</v>
      </c>
      <c r="I38" s="161">
        <f>SUMIFS('Monthly CF'!39:39,'Monthly CF'!$2:$2,'Annual CF'!I$1,'Monthly CF'!$1:$1,"&lt;="&amp;Summary!$K$19)</f>
        <v>-57384.066677849994</v>
      </c>
      <c r="J38" s="161">
        <f>SUMIFS('Monthly CF'!39:39,'Monthly CF'!$2:$2,'Annual CF'!J$1,'Monthly CF'!$1:$1,"&lt;="&amp;Summary!$K$19)</f>
        <v>-59105.588678185501</v>
      </c>
      <c r="K38" s="161">
        <f>SUMIFS('Monthly CF'!39:39,'Monthly CF'!$2:$2,'Annual CF'!K$1,'Monthly CF'!$1:$1,"&lt;="&amp;Summary!$K$19)</f>
        <v>-60878.756338531071</v>
      </c>
      <c r="L38" s="161">
        <f>SUMIFS('Monthly CF'!39:39,'Monthly CF'!$2:$2,'Annual CF'!L$1,'Monthly CF'!$1:$1,"&lt;="&amp;Summary!$K$19)</f>
        <v>-62705.11902868699</v>
      </c>
      <c r="M38" s="162">
        <f>SUMIFS('Monthly CF'!39:39,'Monthly CF'!$2:$2,'Annual CF'!M$1,'Monthly CF'!$1:$1,"&lt;="&amp;Summary!$K$19)</f>
        <v>-64586.272599547599</v>
      </c>
    </row>
    <row r="39" spans="1:13" x14ac:dyDescent="0.35">
      <c r="A39" s="168">
        <f t="shared" si="4"/>
        <v>-378308.01727853407</v>
      </c>
      <c r="B39" s="5" t="s">
        <v>178</v>
      </c>
      <c r="C39" s="160"/>
      <c r="D39" s="161">
        <f>SUMIFS('Monthly CF'!40:40,'Monthly CF'!$2:$2,'Annual CF'!D$1,'Monthly CF'!$1:$1,"&lt;="&amp;Summary!$K$19)</f>
        <v>-33000</v>
      </c>
      <c r="E39" s="161">
        <f>SUMIFS('Monthly CF'!40:40,'Monthly CF'!$2:$2,'Annual CF'!E$1,'Monthly CF'!$1:$1,"&lt;="&amp;Summary!$K$19)</f>
        <v>-33990</v>
      </c>
      <c r="F39" s="161">
        <f>SUMIFS('Monthly CF'!40:40,'Monthly CF'!$2:$2,'Annual CF'!F$1,'Monthly CF'!$1:$1,"&lt;="&amp;Summary!$K$19)</f>
        <v>-35009.69999999999</v>
      </c>
      <c r="G39" s="161">
        <f>SUMIFS('Monthly CF'!40:40,'Monthly CF'!$2:$2,'Annual CF'!G$1,'Monthly CF'!$1:$1,"&lt;="&amp;Summary!$K$19)</f>
        <v>-36059.991000000002</v>
      </c>
      <c r="H39" s="161">
        <f>SUMIFS('Monthly CF'!40:40,'Monthly CF'!$2:$2,'Annual CF'!H$1,'Monthly CF'!$1:$1,"&lt;="&amp;Summary!$K$19)</f>
        <v>-37141.790729999986</v>
      </c>
      <c r="I39" s="161">
        <f>SUMIFS('Monthly CF'!40:40,'Monthly CF'!$2:$2,'Annual CF'!I$1,'Monthly CF'!$1:$1,"&lt;="&amp;Summary!$K$19)</f>
        <v>-38256.044451899987</v>
      </c>
      <c r="J39" s="161">
        <f>SUMIFS('Monthly CF'!40:40,'Monthly CF'!$2:$2,'Annual CF'!J$1,'Monthly CF'!$1:$1,"&lt;="&amp;Summary!$K$19)</f>
        <v>-39403.725785456998</v>
      </c>
      <c r="K39" s="161">
        <f>SUMIFS('Monthly CF'!40:40,'Monthly CF'!$2:$2,'Annual CF'!K$1,'Monthly CF'!$1:$1,"&lt;="&amp;Summary!$K$19)</f>
        <v>-40585.837559020707</v>
      </c>
      <c r="L39" s="161">
        <f>SUMIFS('Monthly CF'!40:40,'Monthly CF'!$2:$2,'Annual CF'!L$1,'Monthly CF'!$1:$1,"&lt;="&amp;Summary!$K$19)</f>
        <v>-41803.412685791329</v>
      </c>
      <c r="M39" s="162">
        <f>SUMIFS('Monthly CF'!40:40,'Monthly CF'!$2:$2,'Annual CF'!M$1,'Monthly CF'!$1:$1,"&lt;="&amp;Summary!$K$19)</f>
        <v>-43057.515066365071</v>
      </c>
    </row>
    <row r="40" spans="1:13" x14ac:dyDescent="0.35">
      <c r="A40" s="168">
        <f t="shared" si="4"/>
        <v>-11675514.431966139</v>
      </c>
      <c r="B40" s="14" t="s">
        <v>179</v>
      </c>
      <c r="C40" s="166"/>
      <c r="D40" s="164">
        <f>SUMIFS('Monthly CF'!41:41,'Monthly CF'!$2:$2,'Annual CF'!D$1,'Monthly CF'!$1:$1,"&lt;="&amp;Summary!$K$19)</f>
        <v>-1003018.7429417709</v>
      </c>
      <c r="E40" s="164">
        <f>SUMIFS('Monthly CF'!41:41,'Monthly CF'!$2:$2,'Annual CF'!E$1,'Monthly CF'!$1:$1,"&lt;="&amp;Summary!$K$19)</f>
        <v>-1048364.1397580423</v>
      </c>
      <c r="F40" s="164">
        <f>SUMIFS('Monthly CF'!41:41,'Monthly CF'!$2:$2,'Annual CF'!F$1,'Monthly CF'!$1:$1,"&lt;="&amp;Summary!$K$19)</f>
        <v>-1082295.0796287933</v>
      </c>
      <c r="G40" s="164">
        <f>SUMIFS('Monthly CF'!41:41,'Monthly CF'!$2:$2,'Annual CF'!G$1,'Monthly CF'!$1:$1,"&lt;="&amp;Summary!$K$19)</f>
        <v>-1114763.9320176572</v>
      </c>
      <c r="H40" s="164">
        <f>SUMIFS('Monthly CF'!41:41,'Monthly CF'!$2:$2,'Annual CF'!H$1,'Monthly CF'!$1:$1,"&lt;="&amp;Summary!$K$19)</f>
        <v>-1148206.8499781871</v>
      </c>
      <c r="I40" s="164">
        <f>SUMIFS('Monthly CF'!41:41,'Monthly CF'!$2:$2,'Annual CF'!I$1,'Monthly CF'!$1:$1,"&lt;="&amp;Summary!$K$19)</f>
        <v>-1182653.0554775328</v>
      </c>
      <c r="J40" s="164">
        <f>SUMIFS('Monthly CF'!41:41,'Monthly CF'!$2:$2,'Annual CF'!J$1,'Monthly CF'!$1:$1,"&lt;="&amp;Summary!$K$19)</f>
        <v>-1218132.6471418592</v>
      </c>
      <c r="K40" s="164">
        <f>SUMIFS('Monthly CF'!41:41,'Monthly CF'!$2:$2,'Annual CF'!K$1,'Monthly CF'!$1:$1,"&lt;="&amp;Summary!$K$19)</f>
        <v>-1254676.6265561152</v>
      </c>
      <c r="L40" s="164">
        <f>SUMIFS('Monthly CF'!41:41,'Monthly CF'!$2:$2,'Annual CF'!L$1,'Monthly CF'!$1:$1,"&lt;="&amp;Summary!$K$19)</f>
        <v>-1292316.9253527988</v>
      </c>
      <c r="M40" s="165">
        <f>SUMIFS('Monthly CF'!41:41,'Monthly CF'!$2:$2,'Annual CF'!M$1,'Monthly CF'!$1:$1,"&lt;="&amp;Summary!$K$19)</f>
        <v>-1331086.4331133831</v>
      </c>
    </row>
    <row r="41" spans="1:13" x14ac:dyDescent="0.35">
      <c r="B41" s="5"/>
      <c r="C41" s="160"/>
      <c r="D41" s="161"/>
      <c r="E41" s="161"/>
      <c r="F41" s="161"/>
      <c r="G41" s="161"/>
      <c r="H41" s="161"/>
      <c r="I41" s="161"/>
      <c r="J41" s="161"/>
      <c r="K41" s="161"/>
      <c r="L41" s="161"/>
      <c r="M41" s="162"/>
    </row>
    <row r="42" spans="1:13" x14ac:dyDescent="0.35">
      <c r="A42" s="168">
        <f>SUM(C42:M42)</f>
        <v>23603689.32474209</v>
      </c>
      <c r="B42" s="14" t="s">
        <v>180</v>
      </c>
      <c r="C42" s="166"/>
      <c r="D42" s="164">
        <f>SUMIFS('Monthly CF'!43:43,'Monthly CF'!$2:$2,'Annual CF'!D$1,'Monthly CF'!$1:$1,"&lt;="&amp;Summary!$K$19)</f>
        <v>1871122.1221928613</v>
      </c>
      <c r="E42" s="164">
        <f>SUMIFS('Monthly CF'!43:43,'Monthly CF'!$2:$2,'Annual CF'!E$1,'Monthly CF'!$1:$1,"&lt;="&amp;Summary!$K$19)</f>
        <v>2087121.8145310828</v>
      </c>
      <c r="F42" s="164">
        <f>SUMIFS('Monthly CF'!43:43,'Monthly CF'!$2:$2,'Annual CF'!F$1,'Monthly CF'!$1:$1,"&lt;="&amp;Summary!$K$19)</f>
        <v>2209255.8452392505</v>
      </c>
      <c r="G42" s="164">
        <f>SUMIFS('Monthly CF'!43:43,'Monthly CF'!$2:$2,'Annual CF'!G$1,'Monthly CF'!$1:$1,"&lt;="&amp;Summary!$K$19)</f>
        <v>2275533.5205964306</v>
      </c>
      <c r="H42" s="164">
        <f>SUMIFS('Monthly CF'!43:43,'Monthly CF'!$2:$2,'Annual CF'!H$1,'Monthly CF'!$1:$1,"&lt;="&amp;Summary!$K$19)</f>
        <v>2343799.5262143263</v>
      </c>
      <c r="I42" s="164">
        <f>SUMIFS('Monthly CF'!43:43,'Monthly CF'!$2:$2,'Annual CF'!I$1,'Monthly CF'!$1:$1,"&lt;="&amp;Summary!$K$19)</f>
        <v>2414113.5120007596</v>
      </c>
      <c r="J42" s="164">
        <f>SUMIFS('Monthly CF'!43:43,'Monthly CF'!$2:$2,'Annual CF'!J$1,'Monthly CF'!$1:$1,"&lt;="&amp;Summary!$K$19)</f>
        <v>2486536.9173607854</v>
      </c>
      <c r="K42" s="164">
        <f>SUMIFS('Monthly CF'!43:43,'Monthly CF'!$2:$2,'Annual CF'!K$1,'Monthly CF'!$1:$1,"&lt;="&amp;Summary!$K$19)</f>
        <v>2561133.024881613</v>
      </c>
      <c r="L42" s="164">
        <f>SUMIFS('Monthly CF'!43:43,'Monthly CF'!$2:$2,'Annual CF'!L$1,'Monthly CF'!$1:$1,"&lt;="&amp;Summary!$K$19)</f>
        <v>2637967.0156280664</v>
      </c>
      <c r="M42" s="165">
        <f>SUMIFS('Monthly CF'!43:43,'Monthly CF'!$2:$2,'Annual CF'!M$1,'Monthly CF'!$1:$1,"&lt;="&amp;Summary!$K$19)</f>
        <v>2717106.026096913</v>
      </c>
    </row>
    <row r="43" spans="1:13" x14ac:dyDescent="0.35">
      <c r="B43" s="5"/>
      <c r="C43" s="160"/>
      <c r="D43" s="161"/>
      <c r="E43" s="161"/>
      <c r="F43" s="161"/>
      <c r="G43" s="161"/>
      <c r="H43" s="161"/>
      <c r="I43" s="161"/>
      <c r="J43" s="161"/>
      <c r="K43" s="161"/>
      <c r="L43" s="161"/>
      <c r="M43" s="162"/>
    </row>
    <row r="44" spans="1:13" x14ac:dyDescent="0.35">
      <c r="A44" s="168">
        <f>SUM(C44:M44)</f>
        <v>-1963500.0000000007</v>
      </c>
      <c r="B44" s="5" t="s">
        <v>181</v>
      </c>
      <c r="C44" s="160"/>
      <c r="D44" s="161">
        <f>SUMIFS('Monthly CF'!45:45,'Monthly CF'!$2:$2,'Annual CF'!D$1,'Monthly CF'!$1:$1,"&lt;="&amp;Summary!$K$19)</f>
        <v>-1603020.833333334</v>
      </c>
      <c r="E44" s="161">
        <f>SUMIFS('Monthly CF'!45:45,'Monthly CF'!$2:$2,'Annual CF'!E$1,'Monthly CF'!$1:$1,"&lt;="&amp;Summary!$K$19)</f>
        <v>-332750</v>
      </c>
      <c r="F44" s="161">
        <f>SUMIFS('Monthly CF'!45:45,'Monthly CF'!$2:$2,'Annual CF'!F$1,'Monthly CF'!$1:$1,"&lt;="&amp;Summary!$K$19)</f>
        <v>-27729.166666666664</v>
      </c>
      <c r="G44" s="161">
        <f>SUMIFS('Monthly CF'!45:45,'Monthly CF'!$2:$2,'Annual CF'!G$1,'Monthly CF'!$1:$1,"&lt;="&amp;Summary!$K$19)</f>
        <v>0</v>
      </c>
      <c r="H44" s="161">
        <f>SUMIFS('Monthly CF'!45:45,'Monthly CF'!$2:$2,'Annual CF'!H$1,'Monthly CF'!$1:$1,"&lt;="&amp;Summary!$K$19)</f>
        <v>0</v>
      </c>
      <c r="I44" s="161">
        <f>SUMIFS('Monthly CF'!45:45,'Monthly CF'!$2:$2,'Annual CF'!I$1,'Monthly CF'!$1:$1,"&lt;="&amp;Summary!$K$19)</f>
        <v>0</v>
      </c>
      <c r="J44" s="161">
        <f>SUMIFS('Monthly CF'!45:45,'Monthly CF'!$2:$2,'Annual CF'!J$1,'Monthly CF'!$1:$1,"&lt;="&amp;Summary!$K$19)</f>
        <v>0</v>
      </c>
      <c r="K44" s="161">
        <f>SUMIFS('Monthly CF'!45:45,'Monthly CF'!$2:$2,'Annual CF'!K$1,'Monthly CF'!$1:$1,"&lt;="&amp;Summary!$K$19)</f>
        <v>0</v>
      </c>
      <c r="L44" s="161">
        <f>SUMIFS('Monthly CF'!45:45,'Monthly CF'!$2:$2,'Annual CF'!L$1,'Monthly CF'!$1:$1,"&lt;="&amp;Summary!$K$19)</f>
        <v>0</v>
      </c>
      <c r="M44" s="162">
        <f>SUMIFS('Monthly CF'!45:45,'Monthly CF'!$2:$2,'Annual CF'!M$1,'Monthly CF'!$1:$1,"&lt;="&amp;Summary!$K$19)</f>
        <v>0</v>
      </c>
    </row>
    <row r="45" spans="1:13" x14ac:dyDescent="0.35">
      <c r="B45" s="5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2"/>
    </row>
    <row r="46" spans="1:13" x14ac:dyDescent="0.35">
      <c r="A46" s="168">
        <f>SUM(C46:M46)</f>
        <v>21640189.32474209</v>
      </c>
      <c r="B46" s="14" t="s">
        <v>182</v>
      </c>
      <c r="C46" s="163"/>
      <c r="D46" s="164">
        <f>SUMIFS('Monthly CF'!47:47,'Monthly CF'!$2:$2,'Annual CF'!D$1,'Monthly CF'!$1:$1,"&lt;="&amp;Summary!$K$19)</f>
        <v>268101.28885952802</v>
      </c>
      <c r="E46" s="164">
        <f>SUMIFS('Monthly CF'!47:47,'Monthly CF'!$2:$2,'Annual CF'!E$1,'Monthly CF'!$1:$1,"&lt;="&amp;Summary!$K$19)</f>
        <v>1754371.8145310825</v>
      </c>
      <c r="F46" s="164">
        <f>SUMIFS('Monthly CF'!47:47,'Monthly CF'!$2:$2,'Annual CF'!F$1,'Monthly CF'!$1:$1,"&lt;="&amp;Summary!$K$19)</f>
        <v>2181526.6785725839</v>
      </c>
      <c r="G46" s="164">
        <f>SUMIFS('Monthly CF'!47:47,'Monthly CF'!$2:$2,'Annual CF'!G$1,'Monthly CF'!$1:$1,"&lt;="&amp;Summary!$K$19)</f>
        <v>2275533.5205964306</v>
      </c>
      <c r="H46" s="164">
        <f>SUMIFS('Monthly CF'!47:47,'Monthly CF'!$2:$2,'Annual CF'!H$1,'Monthly CF'!$1:$1,"&lt;="&amp;Summary!$K$19)</f>
        <v>2343799.5262143263</v>
      </c>
      <c r="I46" s="164">
        <f>SUMIFS('Monthly CF'!47:47,'Monthly CF'!$2:$2,'Annual CF'!I$1,'Monthly CF'!$1:$1,"&lt;="&amp;Summary!$K$19)</f>
        <v>2414113.5120007596</v>
      </c>
      <c r="J46" s="164">
        <f>SUMIFS('Monthly CF'!47:47,'Monthly CF'!$2:$2,'Annual CF'!J$1,'Monthly CF'!$1:$1,"&lt;="&amp;Summary!$K$19)</f>
        <v>2486536.9173607854</v>
      </c>
      <c r="K46" s="164">
        <f>SUMIFS('Monthly CF'!47:47,'Monthly CF'!$2:$2,'Annual CF'!K$1,'Monthly CF'!$1:$1,"&lt;="&amp;Summary!$K$19)</f>
        <v>2561133.024881613</v>
      </c>
      <c r="L46" s="164">
        <f>SUMIFS('Monthly CF'!47:47,'Monthly CF'!$2:$2,'Annual CF'!L$1,'Monthly CF'!$1:$1,"&lt;="&amp;Summary!$K$19)</f>
        <v>2637967.0156280664</v>
      </c>
      <c r="M46" s="165">
        <f>SUMIFS('Monthly CF'!47:47,'Monthly CF'!$2:$2,'Annual CF'!M$1,'Monthly CF'!$1:$1,"&lt;="&amp;Summary!$K$19)</f>
        <v>2717106.026096913</v>
      </c>
    </row>
    <row r="47" spans="1:13" x14ac:dyDescent="0.35">
      <c r="B47" s="5"/>
      <c r="C47" s="160"/>
      <c r="D47" s="161"/>
      <c r="E47" s="161"/>
      <c r="F47" s="161"/>
      <c r="G47" s="161"/>
      <c r="H47" s="161"/>
      <c r="I47" s="161"/>
      <c r="J47" s="161"/>
      <c r="K47" s="161"/>
      <c r="L47" s="161"/>
      <c r="M47" s="162"/>
    </row>
    <row r="48" spans="1:13" x14ac:dyDescent="0.35">
      <c r="B48" s="156" t="s">
        <v>183</v>
      </c>
      <c r="C48" s="160"/>
      <c r="D48" s="161"/>
      <c r="E48" s="161"/>
      <c r="F48" s="161"/>
      <c r="G48" s="161"/>
      <c r="H48" s="161"/>
      <c r="I48" s="161"/>
      <c r="J48" s="161"/>
      <c r="K48" s="161"/>
      <c r="L48" s="161"/>
      <c r="M48" s="162"/>
    </row>
    <row r="49" spans="1:13" x14ac:dyDescent="0.35">
      <c r="A49" s="168">
        <f t="shared" ref="A49:A52" si="5">SUM(C49:M49)</f>
        <v>56000000</v>
      </c>
      <c r="B49" s="5" t="s">
        <v>184</v>
      </c>
      <c r="C49" s="160">
        <f>Summary!E2</f>
        <v>26000000</v>
      </c>
      <c r="D49" s="161">
        <f>SUMIFS('Monthly CF'!50:50,'Monthly CF'!$2:$2,'Annual CF'!D$1,'Monthly CF'!$1:$1,"&lt;="&amp;Summary!$K$19)</f>
        <v>0</v>
      </c>
      <c r="E49" s="161">
        <f>SUMIFS('Monthly CF'!50:50,'Monthly CF'!$2:$2,'Annual CF'!E$1,'Monthly CF'!$1:$1,"&lt;="&amp;Summary!$K$19)</f>
        <v>0</v>
      </c>
      <c r="F49" s="161">
        <f>SUMIFS('Monthly CF'!50:50,'Monthly CF'!$2:$2,'Annual CF'!F$1,'Monthly CF'!$1:$1,"&lt;="&amp;Summary!$K$19)</f>
        <v>0</v>
      </c>
      <c r="G49" s="161">
        <f>SUMIFS('Monthly CF'!50:50,'Monthly CF'!$2:$2,'Annual CF'!G$1,'Monthly CF'!$1:$1,"&lt;="&amp;Summary!$K$19)</f>
        <v>0</v>
      </c>
      <c r="H49" s="161">
        <f>SUMIFS('Monthly CF'!50:50,'Monthly CF'!$2:$2,'Annual CF'!H$1,'Monthly CF'!$1:$1,"&lt;="&amp;Summary!$K$19)</f>
        <v>30000000</v>
      </c>
      <c r="I49" s="161">
        <f>SUMIFS('Monthly CF'!50:50,'Monthly CF'!$2:$2,'Annual CF'!I$1,'Monthly CF'!$1:$1,"&lt;="&amp;Summary!$K$19)</f>
        <v>0</v>
      </c>
      <c r="J49" s="161">
        <f>SUMIFS('Monthly CF'!50:50,'Monthly CF'!$2:$2,'Annual CF'!J$1,'Monthly CF'!$1:$1,"&lt;="&amp;Summary!$K$19)</f>
        <v>0</v>
      </c>
      <c r="K49" s="161">
        <f>SUMIFS('Monthly CF'!50:50,'Monthly CF'!$2:$2,'Annual CF'!K$1,'Monthly CF'!$1:$1,"&lt;="&amp;Summary!$K$19)</f>
        <v>0</v>
      </c>
      <c r="L49" s="161">
        <f>SUMIFS('Monthly CF'!50:50,'Monthly CF'!$2:$2,'Annual CF'!L$1,'Monthly CF'!$1:$1,"&lt;="&amp;Summary!$K$19)</f>
        <v>0</v>
      </c>
      <c r="M49" s="162">
        <f>SUMIFS('Monthly CF'!50:50,'Monthly CF'!$2:$2,'Annual CF'!M$1,'Monthly CF'!$1:$1,"&lt;="&amp;Summary!$K$19)</f>
        <v>0</v>
      </c>
    </row>
    <row r="50" spans="1:13" x14ac:dyDescent="0.35">
      <c r="A50" s="168">
        <f t="shared" si="5"/>
        <v>-13136461.571055777</v>
      </c>
      <c r="B50" s="5" t="s">
        <v>185</v>
      </c>
      <c r="C50" s="160"/>
      <c r="D50" s="161">
        <f>SUMIFS('Monthly CF'!51:51,'Monthly CF'!$2:$2,'Annual CF'!D$1,'Monthly CF'!$1:$1,"&lt;="&amp;Summary!$K$19)</f>
        <v>-1039999.9999999999</v>
      </c>
      <c r="E50" s="161">
        <f>SUMIFS('Monthly CF'!51:51,'Monthly CF'!$2:$2,'Annual CF'!E$1,'Monthly CF'!$1:$1,"&lt;="&amp;Summary!$K$19)</f>
        <v>-1039999.9999999999</v>
      </c>
      <c r="F50" s="161">
        <f>SUMIFS('Monthly CF'!51:51,'Monthly CF'!$2:$2,'Annual CF'!F$1,'Monthly CF'!$1:$1,"&lt;="&amp;Summary!$K$19)</f>
        <v>-1039999.9999999999</v>
      </c>
      <c r="G50" s="161">
        <f>SUMIFS('Monthly CF'!51:51,'Monthly CF'!$2:$2,'Annual CF'!G$1,'Monthly CF'!$1:$1,"&lt;="&amp;Summary!$K$19)</f>
        <v>-1489535.7218522336</v>
      </c>
      <c r="H50" s="161">
        <f>SUMIFS('Monthly CF'!51:51,'Monthly CF'!$2:$2,'Annual CF'!H$1,'Monthly CF'!$1:$1,"&lt;="&amp;Summary!$K$19)</f>
        <v>-1489535.7218522336</v>
      </c>
      <c r="I50" s="161">
        <f>SUMIFS('Monthly CF'!51:51,'Monthly CF'!$2:$2,'Annual CF'!I$1,'Monthly CF'!$1:$1,"&lt;="&amp;Summary!$K$19)</f>
        <v>-1200000</v>
      </c>
      <c r="J50" s="161">
        <f>SUMIFS('Monthly CF'!51:51,'Monthly CF'!$2:$2,'Annual CF'!J$1,'Monthly CF'!$1:$1,"&lt;="&amp;Summary!$K$19)</f>
        <v>-1200000</v>
      </c>
      <c r="K50" s="161">
        <f>SUMIFS('Monthly CF'!51:51,'Monthly CF'!$2:$2,'Annual CF'!K$1,'Monthly CF'!$1:$1,"&lt;="&amp;Summary!$K$19)</f>
        <v>-1200000</v>
      </c>
      <c r="L50" s="161">
        <f>SUMIFS('Monthly CF'!51:51,'Monthly CF'!$2:$2,'Annual CF'!L$1,'Monthly CF'!$1:$1,"&lt;="&amp;Summary!$K$19)</f>
        <v>-1718695.0636756544</v>
      </c>
      <c r="M50" s="162">
        <f>SUMIFS('Monthly CF'!51:51,'Monthly CF'!$2:$2,'Annual CF'!M$1,'Monthly CF'!$1:$1,"&lt;="&amp;Summary!$K$19)</f>
        <v>-1718695.0636756544</v>
      </c>
    </row>
    <row r="51" spans="1:13" x14ac:dyDescent="0.35">
      <c r="A51" s="168">
        <f t="shared" si="5"/>
        <v>-53987460.683557644</v>
      </c>
      <c r="B51" s="5" t="s">
        <v>166</v>
      </c>
      <c r="C51" s="160"/>
      <c r="D51" s="161">
        <f>SUMIFS('Monthly CF'!52:52,'Monthly CF'!$2:$2,'Annual CF'!D$1,'Monthly CF'!$1:$1,"&lt;="&amp;Summary!$K$19)</f>
        <v>0</v>
      </c>
      <c r="E51" s="161">
        <f>SUMIFS('Monthly CF'!52:52,'Monthly CF'!$2:$2,'Annual CF'!E$1,'Monthly CF'!$1:$1,"&lt;="&amp;Summary!$K$19)</f>
        <v>0</v>
      </c>
      <c r="F51" s="161">
        <f>SUMIFS('Monthly CF'!52:52,'Monthly CF'!$2:$2,'Annual CF'!F$1,'Monthly CF'!$1:$1,"&lt;="&amp;Summary!$K$19)</f>
        <v>0</v>
      </c>
      <c r="G51" s="161">
        <f>SUMIFS('Monthly CF'!52:52,'Monthly CF'!$2:$2,'Annual CF'!G$1,'Monthly CF'!$1:$1,"&lt;="&amp;Summary!$K$19)</f>
        <v>0</v>
      </c>
      <c r="H51" s="161">
        <f>SUMIFS('Monthly CF'!52:52,'Monthly CF'!$2:$2,'Annual CF'!H$1,'Monthly CF'!$1:$1,"&lt;="&amp;Summary!$K$19)</f>
        <v>-25065606.745937474</v>
      </c>
      <c r="I51" s="161">
        <f>SUMIFS('Monthly CF'!52:52,'Monthly CF'!$2:$2,'Annual CF'!I$1,'Monthly CF'!$1:$1,"&lt;="&amp;Summary!$K$19)</f>
        <v>0</v>
      </c>
      <c r="J51" s="161">
        <f>SUMIFS('Monthly CF'!52:52,'Monthly CF'!$2:$2,'Annual CF'!J$1,'Monthly CF'!$1:$1,"&lt;="&amp;Summary!$K$19)</f>
        <v>0</v>
      </c>
      <c r="K51" s="161">
        <f>SUMIFS('Monthly CF'!52:52,'Monthly CF'!$2:$2,'Annual CF'!K$1,'Monthly CF'!$1:$1,"&lt;="&amp;Summary!$K$19)</f>
        <v>0</v>
      </c>
      <c r="L51" s="161">
        <f>SUMIFS('Monthly CF'!52:52,'Monthly CF'!$2:$2,'Annual CF'!L$1,'Monthly CF'!$1:$1,"&lt;="&amp;Summary!$K$19)</f>
        <v>0</v>
      </c>
      <c r="M51" s="162">
        <f>SUMIFS('Monthly CF'!52:52,'Monthly CF'!$2:$2,'Annual CF'!M$1,'Monthly CF'!$1:$1,"&lt;="&amp;Summary!$K$19)</f>
        <v>-28921853.937620167</v>
      </c>
    </row>
    <row r="52" spans="1:13" x14ac:dyDescent="0.35">
      <c r="A52" s="168">
        <f t="shared" si="5"/>
        <v>-560000</v>
      </c>
      <c r="B52" s="5" t="s">
        <v>186</v>
      </c>
      <c r="C52" s="160">
        <f>C49*-Summary!E8</f>
        <v>-260000</v>
      </c>
      <c r="D52" s="161">
        <f>SUMIFS('Monthly CF'!53:53,'Monthly CF'!$2:$2,'Annual CF'!D$1,'Monthly CF'!$1:$1,"&lt;="&amp;Summary!$K$19)</f>
        <v>0</v>
      </c>
      <c r="E52" s="161">
        <f>SUMIFS('Monthly CF'!53:53,'Monthly CF'!$2:$2,'Annual CF'!E$1,'Monthly CF'!$1:$1,"&lt;="&amp;Summary!$K$19)</f>
        <v>0</v>
      </c>
      <c r="F52" s="161">
        <f>SUMIFS('Monthly CF'!53:53,'Monthly CF'!$2:$2,'Annual CF'!F$1,'Monthly CF'!$1:$1,"&lt;="&amp;Summary!$K$19)</f>
        <v>0</v>
      </c>
      <c r="G52" s="161">
        <f>SUMIFS('Monthly CF'!53:53,'Monthly CF'!$2:$2,'Annual CF'!G$1,'Monthly CF'!$1:$1,"&lt;="&amp;Summary!$K$19)</f>
        <v>0</v>
      </c>
      <c r="H52" s="161">
        <f>SUMIFS('Monthly CF'!53:53,'Monthly CF'!$2:$2,'Annual CF'!H$1,'Monthly CF'!$1:$1,"&lt;="&amp;Summary!$K$19)</f>
        <v>-300000</v>
      </c>
      <c r="I52" s="161">
        <f>SUMIFS('Monthly CF'!53:53,'Monthly CF'!$2:$2,'Annual CF'!I$1,'Monthly CF'!$1:$1,"&lt;="&amp;Summary!$K$19)</f>
        <v>0</v>
      </c>
      <c r="J52" s="161">
        <f>SUMIFS('Monthly CF'!53:53,'Monthly CF'!$2:$2,'Annual CF'!J$1,'Monthly CF'!$1:$1,"&lt;="&amp;Summary!$K$19)</f>
        <v>0</v>
      </c>
      <c r="K52" s="161">
        <f>SUMIFS('Monthly CF'!53:53,'Monthly CF'!$2:$2,'Annual CF'!K$1,'Monthly CF'!$1:$1,"&lt;="&amp;Summary!$K$19)</f>
        <v>0</v>
      </c>
      <c r="L52" s="161">
        <f>SUMIFS('Monthly CF'!53:53,'Monthly CF'!$2:$2,'Annual CF'!L$1,'Monthly CF'!$1:$1,"&lt;="&amp;Summary!$K$19)</f>
        <v>0</v>
      </c>
      <c r="M52" s="162">
        <f>SUMIFS('Monthly CF'!53:53,'Monthly CF'!$2:$2,'Annual CF'!M$1,'Monthly CF'!$1:$1,"&lt;="&amp;Summary!$K$19)</f>
        <v>0</v>
      </c>
    </row>
    <row r="53" spans="1:13" x14ac:dyDescent="0.35">
      <c r="B53" s="5"/>
      <c r="C53" s="160"/>
      <c r="D53" s="161"/>
      <c r="E53" s="161"/>
      <c r="F53" s="161"/>
      <c r="G53" s="161"/>
      <c r="H53" s="161"/>
      <c r="I53" s="161"/>
      <c r="J53" s="161"/>
      <c r="K53" s="161"/>
      <c r="L53" s="161"/>
      <c r="M53" s="162"/>
    </row>
    <row r="54" spans="1:13" x14ac:dyDescent="0.35">
      <c r="A54" s="168">
        <f>SUM(C54:M54)</f>
        <v>8503727.7536863144</v>
      </c>
      <c r="B54" s="14" t="s">
        <v>187</v>
      </c>
      <c r="C54" s="163"/>
      <c r="D54" s="164">
        <f>SUMIFS('Monthly CF'!55:55,'Monthly CF'!$2:$2,'Annual CF'!D$1,'Monthly CF'!$1:$1,"&lt;="&amp;Summary!$K$19)</f>
        <v>-771898.71114047198</v>
      </c>
      <c r="E54" s="164">
        <f>SUMIFS('Monthly CF'!55:55,'Monthly CF'!$2:$2,'Annual CF'!E$1,'Monthly CF'!$1:$1,"&lt;="&amp;Summary!$K$19)</f>
        <v>714371.81453108252</v>
      </c>
      <c r="F54" s="164">
        <f>SUMIFS('Monthly CF'!55:55,'Monthly CF'!$2:$2,'Annual CF'!F$1,'Monthly CF'!$1:$1,"&lt;="&amp;Summary!$K$19)</f>
        <v>1141526.6785725842</v>
      </c>
      <c r="G54" s="164">
        <f>SUMIFS('Monthly CF'!55:55,'Monthly CF'!$2:$2,'Annual CF'!G$1,'Monthly CF'!$1:$1,"&lt;="&amp;Summary!$K$19)</f>
        <v>785997.79874419724</v>
      </c>
      <c r="H54" s="164">
        <f>SUMIFS('Monthly CF'!55:55,'Monthly CF'!$2:$2,'Annual CF'!H$1,'Monthly CF'!$1:$1,"&lt;="&amp;Summary!$K$19)</f>
        <v>854263.80436209275</v>
      </c>
      <c r="I54" s="164">
        <f>SUMIFS('Monthly CF'!55:55,'Monthly CF'!$2:$2,'Annual CF'!I$1,'Monthly CF'!$1:$1,"&lt;="&amp;Summary!$K$19)</f>
        <v>1214113.5120007596</v>
      </c>
      <c r="J54" s="164">
        <f>SUMIFS('Monthly CF'!55:55,'Monthly CF'!$2:$2,'Annual CF'!J$1,'Monthly CF'!$1:$1,"&lt;="&amp;Summary!$K$19)</f>
        <v>1286536.9173607857</v>
      </c>
      <c r="K54" s="164">
        <f>SUMIFS('Monthly CF'!55:55,'Monthly CF'!$2:$2,'Annual CF'!K$1,'Monthly CF'!$1:$1,"&lt;="&amp;Summary!$K$19)</f>
        <v>1361133.0248816134</v>
      </c>
      <c r="L54" s="164">
        <f>SUMIFS('Monthly CF'!55:55,'Monthly CF'!$2:$2,'Annual CF'!L$1,'Monthly CF'!$1:$1,"&lt;="&amp;Summary!$K$19)</f>
        <v>919271.95195241226</v>
      </c>
      <c r="M54" s="165">
        <f>SUMIFS('Monthly CF'!55:55,'Monthly CF'!$2:$2,'Annual CF'!M$1,'Monthly CF'!$1:$1,"&lt;="&amp;Summary!$K$19)</f>
        <v>998410.96242125914</v>
      </c>
    </row>
    <row r="55" spans="1:13" x14ac:dyDescent="0.35">
      <c r="B55" s="5"/>
      <c r="C55" s="160"/>
      <c r="D55" s="161"/>
      <c r="E55" s="161"/>
      <c r="F55" s="161"/>
      <c r="G55" s="161"/>
      <c r="H55" s="161"/>
      <c r="I55" s="161"/>
      <c r="J55" s="161"/>
      <c r="K55" s="161"/>
      <c r="L55" s="161"/>
      <c r="M55" s="162"/>
    </row>
    <row r="56" spans="1:13" x14ac:dyDescent="0.35">
      <c r="B56" s="156" t="s">
        <v>188</v>
      </c>
      <c r="C56" s="160"/>
      <c r="D56" s="161"/>
      <c r="E56" s="161"/>
      <c r="F56" s="161"/>
      <c r="G56" s="161"/>
      <c r="H56" s="161"/>
      <c r="I56" s="161"/>
      <c r="J56" s="161"/>
      <c r="K56" s="161"/>
      <c r="L56" s="161"/>
      <c r="M56" s="162"/>
    </row>
    <row r="57" spans="1:13" x14ac:dyDescent="0.35">
      <c r="A57" s="168">
        <f t="shared" ref="A57:A58" si="6">SUM(C57:M57)</f>
        <v>-300000</v>
      </c>
      <c r="B57" s="5" t="s">
        <v>189</v>
      </c>
      <c r="C57" s="160">
        <f>-Summary!B23</f>
        <v>-300000</v>
      </c>
      <c r="D57" s="161"/>
      <c r="E57" s="161"/>
      <c r="F57" s="161"/>
      <c r="G57" s="161"/>
      <c r="H57" s="161"/>
      <c r="I57" s="161"/>
      <c r="J57" s="161"/>
      <c r="K57" s="161"/>
      <c r="L57" s="161"/>
      <c r="M57" s="162"/>
    </row>
    <row r="58" spans="1:13" x14ac:dyDescent="0.35">
      <c r="A58" s="168">
        <f t="shared" si="6"/>
        <v>300000</v>
      </c>
      <c r="B58" s="5" t="s">
        <v>190</v>
      </c>
      <c r="C58" s="160"/>
      <c r="D58" s="161">
        <f>SUMIFS('Monthly CF'!59:59,'Monthly CF'!$2:$2,'Annual CF'!D$1,'Monthly CF'!$1:$1,"&lt;="&amp;Summary!$K$19)</f>
        <v>300000</v>
      </c>
      <c r="E58" s="161">
        <f>SUMIFS('Monthly CF'!59:59,'Monthly CF'!$2:$2,'Annual CF'!E$1,'Monthly CF'!$1:$1,"&lt;="&amp;Summary!$K$19)</f>
        <v>0</v>
      </c>
      <c r="F58" s="161">
        <f>SUMIFS('Monthly CF'!59:59,'Monthly CF'!$2:$2,'Annual CF'!F$1,'Monthly CF'!$1:$1,"&lt;="&amp;Summary!$K$19)</f>
        <v>0</v>
      </c>
      <c r="G58" s="161">
        <f>SUMIFS('Monthly CF'!59:59,'Monthly CF'!$2:$2,'Annual CF'!G$1,'Monthly CF'!$1:$1,"&lt;="&amp;Summary!$K$19)</f>
        <v>0</v>
      </c>
      <c r="H58" s="161">
        <f>SUMIFS('Monthly CF'!59:59,'Monthly CF'!$2:$2,'Annual CF'!H$1,'Monthly CF'!$1:$1,"&lt;="&amp;Summary!$K$19)</f>
        <v>0</v>
      </c>
      <c r="I58" s="161">
        <f>SUMIFS('Monthly CF'!59:59,'Monthly CF'!$2:$2,'Annual CF'!I$1,'Monthly CF'!$1:$1,"&lt;="&amp;Summary!$K$19)</f>
        <v>0</v>
      </c>
      <c r="J58" s="161">
        <f>SUMIFS('Monthly CF'!59:59,'Monthly CF'!$2:$2,'Annual CF'!J$1,'Monthly CF'!$1:$1,"&lt;="&amp;Summary!$K$19)</f>
        <v>0</v>
      </c>
      <c r="K58" s="161">
        <f>SUMIFS('Monthly CF'!59:59,'Monthly CF'!$2:$2,'Annual CF'!K$1,'Monthly CF'!$1:$1,"&lt;="&amp;Summary!$K$19)</f>
        <v>0</v>
      </c>
      <c r="L58" s="161">
        <f>SUMIFS('Monthly CF'!59:59,'Monthly CF'!$2:$2,'Annual CF'!L$1,'Monthly CF'!$1:$1,"&lt;="&amp;Summary!$K$19)</f>
        <v>0</v>
      </c>
      <c r="M58" s="162">
        <f>SUMIFS('Monthly CF'!59:59,'Monthly CF'!$2:$2,'Annual CF'!M$1,'Monthly CF'!$1:$1,"&lt;="&amp;Summary!$K$19)</f>
        <v>0</v>
      </c>
    </row>
    <row r="59" spans="1:13" x14ac:dyDescent="0.35">
      <c r="B59" s="5"/>
      <c r="C59" s="160"/>
      <c r="D59" s="161"/>
      <c r="E59" s="161"/>
      <c r="F59" s="161"/>
      <c r="G59" s="161"/>
      <c r="H59" s="161"/>
      <c r="I59" s="161"/>
      <c r="J59" s="161"/>
      <c r="K59" s="161"/>
      <c r="L59" s="161"/>
      <c r="M59" s="162"/>
    </row>
    <row r="60" spans="1:13" x14ac:dyDescent="0.35">
      <c r="B60" s="156" t="s">
        <v>193</v>
      </c>
      <c r="C60" s="160"/>
      <c r="D60" s="161"/>
      <c r="E60" s="161"/>
      <c r="F60" s="161"/>
      <c r="G60" s="161"/>
      <c r="H60" s="161"/>
      <c r="I60" s="161"/>
      <c r="J60" s="161"/>
      <c r="K60" s="161"/>
      <c r="L60" s="161"/>
      <c r="M60" s="162"/>
    </row>
    <row r="61" spans="1:13" x14ac:dyDescent="0.35">
      <c r="A61" s="168">
        <f t="shared" ref="A61:A64" si="7">SUM(C61:M61)</f>
        <v>-40000000</v>
      </c>
      <c r="B61" s="5" t="s">
        <v>19</v>
      </c>
      <c r="C61" s="160">
        <f>-Summary!B20</f>
        <v>-40000000</v>
      </c>
      <c r="D61" s="161"/>
      <c r="E61" s="161"/>
      <c r="F61" s="161"/>
      <c r="G61" s="161"/>
      <c r="H61" s="161"/>
      <c r="I61" s="161"/>
      <c r="J61" s="161"/>
      <c r="K61" s="161"/>
      <c r="L61" s="161"/>
      <c r="M61" s="162"/>
    </row>
    <row r="62" spans="1:13" x14ac:dyDescent="0.35">
      <c r="A62" s="168">
        <f t="shared" si="7"/>
        <v>-150000</v>
      </c>
      <c r="B62" s="5" t="s">
        <v>21</v>
      </c>
      <c r="C62" s="160">
        <f>-Summary!B22</f>
        <v>-150000</v>
      </c>
      <c r="D62" s="161"/>
      <c r="E62" s="161"/>
      <c r="F62" s="161"/>
      <c r="G62" s="161"/>
      <c r="H62" s="161"/>
      <c r="I62" s="161"/>
      <c r="J62" s="161"/>
      <c r="K62" s="161"/>
      <c r="L62" s="161"/>
      <c r="M62" s="162"/>
    </row>
    <row r="63" spans="1:13" x14ac:dyDescent="0.35">
      <c r="A63" s="168">
        <f t="shared" si="7"/>
        <v>46643653.447997071</v>
      </c>
      <c r="B63" s="5" t="s">
        <v>53</v>
      </c>
      <c r="C63" s="160"/>
      <c r="D63" s="161">
        <f>SUMIFS('Monthly CF'!64:64,'Monthly CF'!$2:$2,'Annual CF'!D$1,'Monthly CF'!$1:$1,"&lt;="&amp;Summary!$K$19)</f>
        <v>0</v>
      </c>
      <c r="E63" s="161">
        <f>SUMIFS('Monthly CF'!64:64,'Monthly CF'!$2:$2,'Annual CF'!E$1,'Monthly CF'!$1:$1,"&lt;="&amp;Summary!$K$19)</f>
        <v>0</v>
      </c>
      <c r="F63" s="161">
        <f>SUMIFS('Monthly CF'!64:64,'Monthly CF'!$2:$2,'Annual CF'!F$1,'Monthly CF'!$1:$1,"&lt;="&amp;Summary!$K$19)</f>
        <v>0</v>
      </c>
      <c r="G63" s="161">
        <f>SUMIFS('Monthly CF'!64:64,'Monthly CF'!$2:$2,'Annual CF'!G$1,'Monthly CF'!$1:$1,"&lt;="&amp;Summary!$K$19)</f>
        <v>0</v>
      </c>
      <c r="H63" s="161">
        <f>SUMIFS('Monthly CF'!64:64,'Monthly CF'!$2:$2,'Annual CF'!H$1,'Monthly CF'!$1:$1,"&lt;="&amp;Summary!$K$19)</f>
        <v>0</v>
      </c>
      <c r="I63" s="161">
        <f>SUMIFS('Monthly CF'!64:64,'Monthly CF'!$2:$2,'Annual CF'!I$1,'Monthly CF'!$1:$1,"&lt;="&amp;Summary!$K$19)</f>
        <v>0</v>
      </c>
      <c r="J63" s="161">
        <f>SUMIFS('Monthly CF'!64:64,'Monthly CF'!$2:$2,'Annual CF'!J$1,'Monthly CF'!$1:$1,"&lt;="&amp;Summary!$K$19)</f>
        <v>0</v>
      </c>
      <c r="K63" s="161">
        <f>SUMIFS('Monthly CF'!64:64,'Monthly CF'!$2:$2,'Annual CF'!K$1,'Monthly CF'!$1:$1,"&lt;="&amp;Summary!$K$19)</f>
        <v>0</v>
      </c>
      <c r="L63" s="161">
        <f>SUMIFS('Monthly CF'!64:64,'Monthly CF'!$2:$2,'Annual CF'!L$1,'Monthly CF'!$1:$1,"&lt;="&amp;Summary!$K$19)</f>
        <v>0</v>
      </c>
      <c r="M63" s="162">
        <f>SUMIFS('Monthly CF'!64:64,'Monthly CF'!$2:$2,'Annual CF'!M$1,'Monthly CF'!$1:$1,"&lt;="&amp;Summary!$K$19)</f>
        <v>46643653.447997071</v>
      </c>
    </row>
    <row r="64" spans="1:13" x14ac:dyDescent="0.35">
      <c r="A64" s="168">
        <f t="shared" si="7"/>
        <v>-1399309.603439912</v>
      </c>
      <c r="B64" s="5" t="s">
        <v>55</v>
      </c>
      <c r="C64" s="160"/>
      <c r="D64" s="161">
        <f>SUMIFS('Monthly CF'!65:65,'Monthly CF'!$2:$2,'Annual CF'!D$1,'Monthly CF'!$1:$1,"&lt;="&amp;Summary!$K$19)</f>
        <v>0</v>
      </c>
      <c r="E64" s="161">
        <f>SUMIFS('Monthly CF'!65:65,'Monthly CF'!$2:$2,'Annual CF'!E$1,'Monthly CF'!$1:$1,"&lt;="&amp;Summary!$K$19)</f>
        <v>0</v>
      </c>
      <c r="F64" s="161">
        <f>SUMIFS('Monthly CF'!65:65,'Monthly CF'!$2:$2,'Annual CF'!F$1,'Monthly CF'!$1:$1,"&lt;="&amp;Summary!$K$19)</f>
        <v>0</v>
      </c>
      <c r="G64" s="161">
        <f>SUMIFS('Monthly CF'!65:65,'Monthly CF'!$2:$2,'Annual CF'!G$1,'Monthly CF'!$1:$1,"&lt;="&amp;Summary!$K$19)</f>
        <v>0</v>
      </c>
      <c r="H64" s="161">
        <f>SUMIFS('Monthly CF'!65:65,'Monthly CF'!$2:$2,'Annual CF'!H$1,'Monthly CF'!$1:$1,"&lt;="&amp;Summary!$K$19)</f>
        <v>0</v>
      </c>
      <c r="I64" s="161">
        <f>SUMIFS('Monthly CF'!65:65,'Monthly CF'!$2:$2,'Annual CF'!I$1,'Monthly CF'!$1:$1,"&lt;="&amp;Summary!$K$19)</f>
        <v>0</v>
      </c>
      <c r="J64" s="161">
        <f>SUMIFS('Monthly CF'!65:65,'Monthly CF'!$2:$2,'Annual CF'!J$1,'Monthly CF'!$1:$1,"&lt;="&amp;Summary!$K$19)</f>
        <v>0</v>
      </c>
      <c r="K64" s="161">
        <f>SUMIFS('Monthly CF'!65:65,'Monthly CF'!$2:$2,'Annual CF'!K$1,'Monthly CF'!$1:$1,"&lt;="&amp;Summary!$K$19)</f>
        <v>0</v>
      </c>
      <c r="L64" s="161">
        <f>SUMIFS('Monthly CF'!65:65,'Monthly CF'!$2:$2,'Annual CF'!L$1,'Monthly CF'!$1:$1,"&lt;="&amp;Summary!$K$19)</f>
        <v>0</v>
      </c>
      <c r="M64" s="162">
        <f>SUMIFS('Monthly CF'!65:65,'Monthly CF'!$2:$2,'Annual CF'!M$1,'Monthly CF'!$1:$1,"&lt;="&amp;Summary!$K$19)</f>
        <v>-1399309.603439912</v>
      </c>
    </row>
    <row r="65" spans="1:13" x14ac:dyDescent="0.35">
      <c r="B65" s="5"/>
      <c r="C65" s="160"/>
      <c r="D65" s="161"/>
      <c r="E65" s="161"/>
      <c r="F65" s="161"/>
      <c r="G65" s="161"/>
      <c r="H65" s="161"/>
      <c r="I65" s="161"/>
      <c r="J65" s="161"/>
      <c r="K65" s="161"/>
      <c r="L65" s="161"/>
      <c r="M65" s="162"/>
    </row>
    <row r="66" spans="1:13" x14ac:dyDescent="0.35">
      <c r="A66" s="168">
        <f>SUM(C66:M66)</f>
        <v>15050610.91468583</v>
      </c>
      <c r="B66" s="14" t="s">
        <v>194</v>
      </c>
      <c r="C66" s="166">
        <f>SUM(C46,C49:C52,C57:C58,C61:C64)</f>
        <v>-14710000</v>
      </c>
      <c r="D66" s="164">
        <f>SUMIFS('Monthly CF'!67:67,'Monthly CF'!$2:$2,'Annual CF'!D$1,'Monthly CF'!$1:$1,"&lt;="&amp;Summary!$K$19)</f>
        <v>-471898.71114047203</v>
      </c>
      <c r="E66" s="164">
        <f>SUMIFS('Monthly CF'!67:67,'Monthly CF'!$2:$2,'Annual CF'!E$1,'Monthly CF'!$1:$1,"&lt;="&amp;Summary!$K$19)</f>
        <v>714371.81453108252</v>
      </c>
      <c r="F66" s="164">
        <f>SUMIFS('Monthly CF'!67:67,'Monthly CF'!$2:$2,'Annual CF'!F$1,'Monthly CF'!$1:$1,"&lt;="&amp;Summary!$K$19)</f>
        <v>1141526.6785725842</v>
      </c>
      <c r="G66" s="164">
        <f>SUMIFS('Monthly CF'!67:67,'Monthly CF'!$2:$2,'Annual CF'!G$1,'Monthly CF'!$1:$1,"&lt;="&amp;Summary!$K$19)</f>
        <v>785997.79874419724</v>
      </c>
      <c r="H66" s="164">
        <f>SUMIFS('Monthly CF'!67:67,'Monthly CF'!$2:$2,'Annual CF'!H$1,'Monthly CF'!$1:$1,"&lt;="&amp;Summary!$K$19)</f>
        <v>5488657.058424619</v>
      </c>
      <c r="I66" s="164">
        <f>SUMIFS('Monthly CF'!67:67,'Monthly CF'!$2:$2,'Annual CF'!I$1,'Monthly CF'!$1:$1,"&lt;="&amp;Summary!$K$19)</f>
        <v>1214113.5120007596</v>
      </c>
      <c r="J66" s="164">
        <f>SUMIFS('Monthly CF'!67:67,'Monthly CF'!$2:$2,'Annual CF'!J$1,'Monthly CF'!$1:$1,"&lt;="&amp;Summary!$K$19)</f>
        <v>1286536.9173607857</v>
      </c>
      <c r="K66" s="164">
        <f>SUMIFS('Monthly CF'!67:67,'Monthly CF'!$2:$2,'Annual CF'!K$1,'Monthly CF'!$1:$1,"&lt;="&amp;Summary!$K$19)</f>
        <v>1361133.0248816134</v>
      </c>
      <c r="L66" s="164">
        <f>SUMIFS('Monthly CF'!67:67,'Monthly CF'!$2:$2,'Annual CF'!L$1,'Monthly CF'!$1:$1,"&lt;="&amp;Summary!$K$19)</f>
        <v>919271.95195241226</v>
      </c>
      <c r="M66" s="165">
        <f>SUMIFS('Monthly CF'!67:67,'Monthly CF'!$2:$2,'Annual CF'!M$1,'Monthly CF'!$1:$1,"&lt;="&amp;Summary!$K$19)</f>
        <v>17320900.869358249</v>
      </c>
    </row>
    <row r="68" spans="1:13" x14ac:dyDescent="0.35">
      <c r="B68" s="169" t="s">
        <v>196</v>
      </c>
      <c r="C68" s="170"/>
      <c r="D68" s="171">
        <f>SUM(D54,D58)/ABS(SUMIF($C$66:C66,"&lt;"&amp;0,$C$66:C66))</f>
        <v>-3.2080129921174164E-2</v>
      </c>
      <c r="E68" s="171">
        <f>SUM(E54,E58)/ABS(SUMIF($C$66:D66,"&lt;"&amp;0,$C$66:D66))</f>
        <v>4.705418130651054E-2</v>
      </c>
      <c r="F68" s="171">
        <f>SUM(F54,F58)/ABS(SUMIF($C$66:E66,"&lt;"&amp;0,$C$66:E66))</f>
        <v>7.5189981193520425E-2</v>
      </c>
      <c r="G68" s="171">
        <f>SUM(G54,G58)/ABS(SUMIF($C$66:F66,"&lt;"&amp;0,$C$66:F66))</f>
        <v>5.1772035481137305E-2</v>
      </c>
      <c r="H68" s="171">
        <f>SUM(H54,H58)/ABS(SUMIF($C$66:G66,"&lt;"&amp;0,$C$66:G66))</f>
        <v>5.6268574874316232E-2</v>
      </c>
      <c r="I68" s="171">
        <f>SUM(I54,I58)/ABS(SUMIF($C$66:H66,"&lt;"&amp;0,$C$66:H66))</f>
        <v>7.9971124501696453E-2</v>
      </c>
      <c r="J68" s="171">
        <f>SUM(J54,J58)/ABS(SUMIF($C$66:I66,"&lt;"&amp;0,$C$66:I66))</f>
        <v>8.4741503143920024E-2</v>
      </c>
      <c r="K68" s="171">
        <f>SUM(K54,K58)/ABS(SUMIF($C$66:J66,"&lt;"&amp;0,$C$66:J66))</f>
        <v>8.9654993145410367E-2</v>
      </c>
      <c r="L68" s="171">
        <f>SUM(L54,L58)/ABS(SUMIF($C$66:K66,"&lt;"&amp;0,$C$66:K66))</f>
        <v>6.0550525954823478E-2</v>
      </c>
      <c r="M68" s="171">
        <f>SUM(M54,M58)/ABS(SUMIF($C$66:L66,"&lt;"&amp;0,$C$66:L66))</f>
        <v>6.5763247497404628E-2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Revenue</vt:lpstr>
      <vt:lpstr>Expenses</vt:lpstr>
      <vt:lpstr>Construction Budget</vt:lpstr>
      <vt:lpstr>Financing</vt:lpstr>
      <vt:lpstr>Monthly CF</vt:lpstr>
      <vt:lpstr>Annual 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 Agarwal</dc:creator>
  <cp:lastModifiedBy>Manya Agarwal</cp:lastModifiedBy>
  <dcterms:created xsi:type="dcterms:W3CDTF">2020-05-08T16:32:12Z</dcterms:created>
  <dcterms:modified xsi:type="dcterms:W3CDTF">2026-09-17T11:16:18Z</dcterms:modified>
</cp:coreProperties>
</file>