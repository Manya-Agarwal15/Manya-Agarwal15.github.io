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allagherandmohan-my.sharepoint.com/personal/managarwal_gallaghermohan_com/Documents/Documents/"/>
    </mc:Choice>
  </mc:AlternateContent>
  <xr:revisionPtr revIDLastSave="447" documentId="8_{8CA149F0-64C1-49EC-9386-BBF7718DC292}" xr6:coauthVersionLast="47" xr6:coauthVersionMax="47" xr10:uidLastSave="{9CBFEF5C-362A-4739-BD89-502AC3B62F48}"/>
  <bookViews>
    <workbookView xWindow="-110" yWindow="-110" windowWidth="19420" windowHeight="10300" xr2:uid="{D891F363-D695-47F7-8DF4-99C66AE9AC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2" i="1" l="1"/>
  <c r="D29" i="1"/>
  <c r="D15" i="1"/>
  <c r="D14" i="1"/>
  <c r="C31" i="1"/>
  <c r="C57" i="1"/>
  <c r="C45" i="1"/>
  <c r="B28" i="1"/>
  <c r="B41" i="1"/>
  <c r="C38" i="1"/>
  <c r="C20" i="1"/>
  <c r="C21" i="1" s="1"/>
  <c r="C17" i="1"/>
  <c r="E6" i="1"/>
  <c r="F6" i="1" s="1"/>
  <c r="E5" i="1"/>
  <c r="F5" i="1" s="1"/>
  <c r="C61" i="1" s="1"/>
  <c r="C62" i="1" s="1"/>
  <c r="E4" i="1"/>
  <c r="F4" i="1" s="1"/>
  <c r="C49" i="1" s="1"/>
  <c r="E3" i="1"/>
  <c r="C10" i="1"/>
  <c r="F3" i="1" s="1"/>
  <c r="D12" i="1"/>
  <c r="C13" i="1"/>
  <c r="D13" i="1" s="1"/>
  <c r="C50" i="1" l="1"/>
  <c r="D25" i="1"/>
  <c r="D16" i="1"/>
  <c r="E13" i="1"/>
  <c r="D28" i="1"/>
  <c r="D41" i="1" s="1"/>
  <c r="D53" i="1" s="1"/>
  <c r="D65" i="1" s="1"/>
  <c r="D71" i="1" s="1"/>
  <c r="D76" i="1" s="1"/>
  <c r="C28" i="1"/>
  <c r="C41" i="1" s="1"/>
  <c r="C53" i="1" s="1"/>
  <c r="C65" i="1" s="1"/>
  <c r="C71" i="1" s="1"/>
  <c r="C76" i="1" s="1"/>
  <c r="E12" i="1"/>
  <c r="C19" i="1"/>
  <c r="D22" i="1" a="1"/>
  <c r="D22" i="1" s="1"/>
  <c r="C18" i="1"/>
  <c r="E15" i="1" l="1"/>
  <c r="F12" i="1"/>
  <c r="C26" i="1"/>
  <c r="C39" i="1" s="1"/>
  <c r="C35" i="1"/>
  <c r="F13" i="1"/>
  <c r="E28" i="1"/>
  <c r="E41" i="1" s="1"/>
  <c r="E53" i="1" s="1"/>
  <c r="E65" i="1" s="1"/>
  <c r="E71" i="1" s="1"/>
  <c r="E76" i="1" s="1"/>
  <c r="D26" i="1"/>
  <c r="F22" i="1" a="1"/>
  <c r="F22" i="1" s="1"/>
  <c r="F25" i="1"/>
  <c r="E22" i="1" a="1"/>
  <c r="E22" i="1" s="1"/>
  <c r="E25" i="1"/>
  <c r="E16" i="1"/>
  <c r="D23" i="1"/>
  <c r="D24" i="1"/>
  <c r="E14" i="1"/>
  <c r="G12" i="1"/>
  <c r="F16" i="1"/>
  <c r="F14" i="1"/>
  <c r="F15" i="1"/>
  <c r="C37" i="1" l="1"/>
  <c r="C77" i="1"/>
  <c r="D31" i="1"/>
  <c r="D72" i="1" s="1"/>
  <c r="D44" i="1"/>
  <c r="D56" i="1" s="1"/>
  <c r="C72" i="1"/>
  <c r="C51" i="1"/>
  <c r="C63" i="1"/>
  <c r="G13" i="1"/>
  <c r="F28" i="1"/>
  <c r="F41" i="1" s="1"/>
  <c r="F53" i="1" s="1"/>
  <c r="F65" i="1" s="1"/>
  <c r="F71" i="1" s="1"/>
  <c r="F76" i="1" s="1"/>
  <c r="D35" i="1"/>
  <c r="D77" i="1" s="1"/>
  <c r="F23" i="1"/>
  <c r="F24" i="1"/>
  <c r="E24" i="1"/>
  <c r="E23" i="1"/>
  <c r="E26" i="1" s="1"/>
  <c r="E44" i="1" s="1"/>
  <c r="E56" i="1" s="1"/>
  <c r="G22" i="1" a="1"/>
  <c r="G22" i="1" s="1"/>
  <c r="G25" i="1"/>
  <c r="H12" i="1"/>
  <c r="G16" i="1"/>
  <c r="G15" i="1"/>
  <c r="G14" i="1"/>
  <c r="C67" i="1" l="1"/>
  <c r="C78" i="1" s="1"/>
  <c r="C79" i="1" s="1"/>
  <c r="C66" i="1"/>
  <c r="C44" i="1"/>
  <c r="C34" i="1"/>
  <c r="C33" i="1"/>
  <c r="E31" i="1"/>
  <c r="E72" i="1" s="1"/>
  <c r="E35" i="1"/>
  <c r="E77" i="1" s="1"/>
  <c r="F26" i="1"/>
  <c r="F44" i="1" s="1"/>
  <c r="F56" i="1" s="1"/>
  <c r="H13" i="1"/>
  <c r="G28" i="1"/>
  <c r="G41" i="1" s="1"/>
  <c r="G53" i="1" s="1"/>
  <c r="G65" i="1" s="1"/>
  <c r="G71" i="1" s="1"/>
  <c r="G76" i="1" s="1"/>
  <c r="G23" i="1"/>
  <c r="G24" i="1"/>
  <c r="H22" i="1" a="1"/>
  <c r="H22" i="1" s="1"/>
  <c r="H25" i="1"/>
  <c r="I12" i="1"/>
  <c r="H15" i="1"/>
  <c r="H14" i="1"/>
  <c r="H16" i="1"/>
  <c r="C68" i="1" l="1"/>
  <c r="C69" i="1" s="1"/>
  <c r="C73" i="1"/>
  <c r="C74" i="1" s="1"/>
  <c r="D30" i="1"/>
  <c r="D32" i="1"/>
  <c r="C56" i="1"/>
  <c r="C47" i="1"/>
  <c r="D42" i="1" s="1"/>
  <c r="C48" i="1"/>
  <c r="G26" i="1"/>
  <c r="G31" i="1"/>
  <c r="G72" i="1" s="1"/>
  <c r="G35" i="1"/>
  <c r="G77" i="1" s="1"/>
  <c r="I13" i="1"/>
  <c r="H28" i="1"/>
  <c r="H41" i="1" s="1"/>
  <c r="H53" i="1" s="1"/>
  <c r="H65" i="1" s="1"/>
  <c r="H71" i="1" s="1"/>
  <c r="H76" i="1" s="1"/>
  <c r="F31" i="1"/>
  <c r="F72" i="1" s="1"/>
  <c r="F35" i="1"/>
  <c r="F77" i="1" s="1"/>
  <c r="H23" i="1"/>
  <c r="H24" i="1"/>
  <c r="I25" i="1"/>
  <c r="I22" i="1" a="1"/>
  <c r="I22" i="1" s="1"/>
  <c r="J12" i="1"/>
  <c r="I15" i="1"/>
  <c r="I14" i="1"/>
  <c r="I16" i="1"/>
  <c r="G44" i="1" l="1"/>
  <c r="G56" i="1" s="1"/>
  <c r="D43" i="1"/>
  <c r="C60" i="1"/>
  <c r="C59" i="1"/>
  <c r="D54" i="1" s="1"/>
  <c r="D45" i="1"/>
  <c r="D34" i="1"/>
  <c r="D36" i="1" s="1"/>
  <c r="D33" i="1"/>
  <c r="E29" i="1" s="1"/>
  <c r="E30" i="1" s="1"/>
  <c r="H26" i="1"/>
  <c r="H44" i="1" s="1"/>
  <c r="H56" i="1" s="1"/>
  <c r="J13" i="1"/>
  <c r="I28" i="1"/>
  <c r="I41" i="1" s="1"/>
  <c r="I53" i="1" s="1"/>
  <c r="I65" i="1" s="1"/>
  <c r="I71" i="1" s="1"/>
  <c r="I76" i="1" s="1"/>
  <c r="I24" i="1"/>
  <c r="I23" i="1"/>
  <c r="I26" i="1" s="1"/>
  <c r="I44" i="1" s="1"/>
  <c r="I56" i="1" s="1"/>
  <c r="J25" i="1"/>
  <c r="J22" i="1" a="1"/>
  <c r="J22" i="1" s="1"/>
  <c r="K12" i="1"/>
  <c r="J15" i="1"/>
  <c r="J14" i="1"/>
  <c r="J16" i="1"/>
  <c r="D37" i="1" l="1"/>
  <c r="D38" i="1"/>
  <c r="D39" i="1" s="1"/>
  <c r="D46" i="1" s="1"/>
  <c r="E32" i="1"/>
  <c r="D55" i="1"/>
  <c r="H35" i="1"/>
  <c r="H77" i="1" s="1"/>
  <c r="H31" i="1"/>
  <c r="H72" i="1" s="1"/>
  <c r="I31" i="1"/>
  <c r="I72" i="1" s="1"/>
  <c r="I35" i="1"/>
  <c r="I77" i="1" s="1"/>
  <c r="K13" i="1"/>
  <c r="J28" i="1"/>
  <c r="J41" i="1" s="1"/>
  <c r="J53" i="1" s="1"/>
  <c r="J65" i="1" s="1"/>
  <c r="J71" i="1" s="1"/>
  <c r="J76" i="1" s="1"/>
  <c r="J23" i="1"/>
  <c r="J24" i="1"/>
  <c r="K22" i="1" a="1"/>
  <c r="K22" i="1" s="1"/>
  <c r="K25" i="1"/>
  <c r="L12" i="1"/>
  <c r="K15" i="1"/>
  <c r="K14" i="1"/>
  <c r="K16" i="1"/>
  <c r="E33" i="1" l="1"/>
  <c r="F29" i="1" s="1"/>
  <c r="F30" i="1" s="1"/>
  <c r="F32" i="1" s="1"/>
  <c r="D57" i="1"/>
  <c r="D48" i="1"/>
  <c r="D47" i="1"/>
  <c r="E42" i="1" s="1"/>
  <c r="E43" i="1" s="1"/>
  <c r="D49" i="1"/>
  <c r="E34" i="1"/>
  <c r="E36" i="1" s="1"/>
  <c r="E45" i="1"/>
  <c r="J26" i="1"/>
  <c r="J31" i="1" s="1"/>
  <c r="J72" i="1" s="1"/>
  <c r="J35" i="1"/>
  <c r="J77" i="1" s="1"/>
  <c r="L13" i="1"/>
  <c r="K28" i="1"/>
  <c r="K41" i="1" s="1"/>
  <c r="K53" i="1" s="1"/>
  <c r="K65" i="1" s="1"/>
  <c r="K71" i="1" s="1"/>
  <c r="K76" i="1" s="1"/>
  <c r="K24" i="1"/>
  <c r="K23" i="1"/>
  <c r="L25" i="1"/>
  <c r="L22" i="1" a="1"/>
  <c r="L22" i="1" s="1"/>
  <c r="M12" i="1"/>
  <c r="L16" i="1"/>
  <c r="L14" i="1"/>
  <c r="L15" i="1"/>
  <c r="K26" i="1" l="1"/>
  <c r="K44" i="1" s="1"/>
  <c r="K56" i="1" s="1"/>
  <c r="E37" i="1"/>
  <c r="D50" i="1"/>
  <c r="J44" i="1"/>
  <c r="J56" i="1" s="1"/>
  <c r="F45" i="1"/>
  <c r="E38" i="1"/>
  <c r="E39" i="1" s="1"/>
  <c r="E46" i="1" s="1"/>
  <c r="E47" i="1" s="1"/>
  <c r="F42" i="1" s="1"/>
  <c r="F43" i="1" s="1"/>
  <c r="M13" i="1"/>
  <c r="L28" i="1"/>
  <c r="L41" i="1" s="1"/>
  <c r="L53" i="1" s="1"/>
  <c r="L65" i="1" s="1"/>
  <c r="L71" i="1" s="1"/>
  <c r="L76" i="1" s="1"/>
  <c r="F34" i="1"/>
  <c r="F36" i="1" s="1"/>
  <c r="F33" i="1"/>
  <c r="G29" i="1" s="1"/>
  <c r="L24" i="1"/>
  <c r="L23" i="1"/>
  <c r="M25" i="1"/>
  <c r="M22" i="1" a="1"/>
  <c r="M22" i="1" s="1"/>
  <c r="N12" i="1"/>
  <c r="M16" i="1"/>
  <c r="M15" i="1"/>
  <c r="M14" i="1"/>
  <c r="K35" i="1" l="1"/>
  <c r="K77" i="1" s="1"/>
  <c r="K31" i="1"/>
  <c r="K72" i="1" s="1"/>
  <c r="E49" i="1"/>
  <c r="E50" i="1" s="1"/>
  <c r="E51" i="1" s="1"/>
  <c r="D51" i="1"/>
  <c r="D58" i="1" s="1"/>
  <c r="D59" i="1" s="1"/>
  <c r="E54" i="1" s="1"/>
  <c r="E55" i="1" s="1"/>
  <c r="D61" i="1"/>
  <c r="D60" i="1"/>
  <c r="E57" i="1"/>
  <c r="L26" i="1"/>
  <c r="L44" i="1" s="1"/>
  <c r="L56" i="1" s="1"/>
  <c r="E48" i="1"/>
  <c r="F37" i="1"/>
  <c r="F38" i="1"/>
  <c r="N13" i="1"/>
  <c r="M28" i="1"/>
  <c r="M41" i="1" s="1"/>
  <c r="M53" i="1" s="1"/>
  <c r="M65" i="1" s="1"/>
  <c r="M71" i="1" s="1"/>
  <c r="M76" i="1" s="1"/>
  <c r="M24" i="1"/>
  <c r="M23" i="1"/>
  <c r="G30" i="1"/>
  <c r="G32" i="1" s="1"/>
  <c r="N25" i="1"/>
  <c r="N22" i="1" a="1"/>
  <c r="N22" i="1" s="1"/>
  <c r="O12" i="1"/>
  <c r="N15" i="1"/>
  <c r="N14" i="1"/>
  <c r="N16" i="1"/>
  <c r="L35" i="1" l="1"/>
  <c r="L77" i="1" s="1"/>
  <c r="L31" i="1"/>
  <c r="L72" i="1" s="1"/>
  <c r="E58" i="1"/>
  <c r="E59" i="1" s="1"/>
  <c r="F54" i="1" s="1"/>
  <c r="F55" i="1" s="1"/>
  <c r="E61" i="1"/>
  <c r="D62" i="1"/>
  <c r="G45" i="1"/>
  <c r="G34" i="1"/>
  <c r="G36" i="1" s="1"/>
  <c r="M26" i="1"/>
  <c r="M44" i="1" s="1"/>
  <c r="M56" i="1" s="1"/>
  <c r="F39" i="1"/>
  <c r="F46" i="1" s="1"/>
  <c r="M31" i="1"/>
  <c r="M72" i="1" s="1"/>
  <c r="O13" i="1"/>
  <c r="N28" i="1"/>
  <c r="N41" i="1" s="1"/>
  <c r="N53" i="1" s="1"/>
  <c r="N65" i="1" s="1"/>
  <c r="N71" i="1" s="1"/>
  <c r="N76" i="1" s="1"/>
  <c r="N24" i="1"/>
  <c r="N23" i="1"/>
  <c r="O25" i="1"/>
  <c r="O22" i="1" a="1"/>
  <c r="O22" i="1" s="1"/>
  <c r="G33" i="1"/>
  <c r="H29" i="1" s="1"/>
  <c r="P12" i="1"/>
  <c r="O15" i="1"/>
  <c r="O16" i="1"/>
  <c r="O14" i="1"/>
  <c r="D63" i="1" l="1"/>
  <c r="D66" i="1" s="1"/>
  <c r="N26" i="1"/>
  <c r="N44" i="1" s="1"/>
  <c r="N56" i="1" s="1"/>
  <c r="E60" i="1"/>
  <c r="D67" i="1"/>
  <c r="D78" i="1" s="1"/>
  <c r="D79" i="1" s="1"/>
  <c r="E62" i="1"/>
  <c r="E63" i="1" s="1"/>
  <c r="F57" i="1"/>
  <c r="G37" i="1"/>
  <c r="M35" i="1"/>
  <c r="M77" i="1" s="1"/>
  <c r="F47" i="1"/>
  <c r="G42" i="1" s="1"/>
  <c r="G43" i="1" s="1"/>
  <c r="F49" i="1"/>
  <c r="G38" i="1"/>
  <c r="G39" i="1" s="1"/>
  <c r="F48" i="1"/>
  <c r="N31" i="1"/>
  <c r="N72" i="1" s="1"/>
  <c r="N35" i="1"/>
  <c r="N77" i="1" s="1"/>
  <c r="P13" i="1"/>
  <c r="O28" i="1"/>
  <c r="O41" i="1" s="1"/>
  <c r="O53" i="1" s="1"/>
  <c r="O65" i="1" s="1"/>
  <c r="O71" i="1" s="1"/>
  <c r="O76" i="1" s="1"/>
  <c r="P25" i="1"/>
  <c r="P22" i="1" a="1"/>
  <c r="P22" i="1" s="1"/>
  <c r="H30" i="1"/>
  <c r="O24" i="1"/>
  <c r="O23" i="1"/>
  <c r="O26" i="1" s="1"/>
  <c r="O44" i="1" s="1"/>
  <c r="O56" i="1" s="1"/>
  <c r="Q12" i="1"/>
  <c r="P16" i="1"/>
  <c r="P15" i="1"/>
  <c r="P14" i="1"/>
  <c r="F50" i="1" l="1"/>
  <c r="D73" i="1"/>
  <c r="D74" i="1" s="1"/>
  <c r="D68" i="1"/>
  <c r="E66" i="1"/>
  <c r="E67" i="1"/>
  <c r="E78" i="1" s="1"/>
  <c r="E79" i="1" s="1"/>
  <c r="G46" i="1"/>
  <c r="G47" i="1" s="1"/>
  <c r="H42" i="1" s="1"/>
  <c r="O31" i="1"/>
  <c r="O72" i="1" s="1"/>
  <c r="O35" i="1"/>
  <c r="O77" i="1" s="1"/>
  <c r="Q13" i="1"/>
  <c r="P28" i="1"/>
  <c r="P41" i="1" s="1"/>
  <c r="P53" i="1" s="1"/>
  <c r="P65" i="1" s="1"/>
  <c r="P71" i="1" s="1"/>
  <c r="P76" i="1" s="1"/>
  <c r="Q22" i="1" a="1"/>
  <c r="Q22" i="1" s="1"/>
  <c r="Q25" i="1"/>
  <c r="H32" i="1"/>
  <c r="P24" i="1"/>
  <c r="P23" i="1"/>
  <c r="R12" i="1"/>
  <c r="Q15" i="1"/>
  <c r="Q14" i="1"/>
  <c r="Q16" i="1"/>
  <c r="D69" i="1" l="1"/>
  <c r="F51" i="1"/>
  <c r="F58" i="1" s="1"/>
  <c r="E73" i="1"/>
  <c r="E74" i="1" s="1"/>
  <c r="E68" i="1"/>
  <c r="E69" i="1" s="1"/>
  <c r="G49" i="1"/>
  <c r="G57" i="1"/>
  <c r="H45" i="1"/>
  <c r="H43" i="1"/>
  <c r="H34" i="1"/>
  <c r="H36" i="1" s="1"/>
  <c r="Q28" i="1"/>
  <c r="Q41" i="1" s="1"/>
  <c r="Q53" i="1" s="1"/>
  <c r="Q65" i="1" s="1"/>
  <c r="Q71" i="1" s="1"/>
  <c r="Q76" i="1" s="1"/>
  <c r="R13" i="1"/>
  <c r="R22" i="1" a="1"/>
  <c r="R22" i="1" s="1"/>
  <c r="R25" i="1"/>
  <c r="P26" i="1"/>
  <c r="P44" i="1" s="1"/>
  <c r="P56" i="1" s="1"/>
  <c r="Q23" i="1"/>
  <c r="Q24" i="1"/>
  <c r="H33" i="1"/>
  <c r="I29" i="1" s="1"/>
  <c r="S12" i="1"/>
  <c r="R16" i="1"/>
  <c r="R14" i="1"/>
  <c r="R15" i="1"/>
  <c r="F60" i="1" l="1"/>
  <c r="F61" i="1"/>
  <c r="F59" i="1"/>
  <c r="G54" i="1" s="1"/>
  <c r="G55" i="1" s="1"/>
  <c r="H37" i="1"/>
  <c r="G50" i="1"/>
  <c r="H38" i="1"/>
  <c r="G48" i="1"/>
  <c r="Q26" i="1"/>
  <c r="Q44" i="1" s="1"/>
  <c r="Q56" i="1" s="1"/>
  <c r="H39" i="1"/>
  <c r="H46" i="1" s="1"/>
  <c r="Q31" i="1"/>
  <c r="Q72" i="1" s="1"/>
  <c r="P31" i="1"/>
  <c r="P72" i="1" s="1"/>
  <c r="P35" i="1"/>
  <c r="P77" i="1" s="1"/>
  <c r="R28" i="1"/>
  <c r="R41" i="1" s="1"/>
  <c r="R53" i="1" s="1"/>
  <c r="R65" i="1" s="1"/>
  <c r="R71" i="1" s="1"/>
  <c r="R76" i="1" s="1"/>
  <c r="S13" i="1"/>
  <c r="S22" i="1" a="1"/>
  <c r="S22" i="1" s="1"/>
  <c r="S25" i="1"/>
  <c r="I30" i="1"/>
  <c r="I32" i="1" s="1"/>
  <c r="R23" i="1"/>
  <c r="R24" i="1"/>
  <c r="T12" i="1"/>
  <c r="S15" i="1"/>
  <c r="S14" i="1"/>
  <c r="S16" i="1"/>
  <c r="Q35" i="1" l="1"/>
  <c r="Q77" i="1" s="1"/>
  <c r="G51" i="1"/>
  <c r="G58" i="1" s="1"/>
  <c r="G60" i="1" s="1"/>
  <c r="F62" i="1"/>
  <c r="H57" i="1"/>
  <c r="I45" i="1"/>
  <c r="H47" i="1"/>
  <c r="I42" i="1" s="1"/>
  <c r="I43" i="1" s="1"/>
  <c r="H49" i="1"/>
  <c r="H48" i="1"/>
  <c r="I34" i="1"/>
  <c r="I36" i="1" s="1"/>
  <c r="R26" i="1"/>
  <c r="R44" i="1" s="1"/>
  <c r="R56" i="1" s="1"/>
  <c r="T13" i="1"/>
  <c r="S28" i="1"/>
  <c r="S41" i="1" s="1"/>
  <c r="S53" i="1" s="1"/>
  <c r="S65" i="1" s="1"/>
  <c r="S71" i="1" s="1"/>
  <c r="S76" i="1" s="1"/>
  <c r="I33" i="1"/>
  <c r="J29" i="1" s="1"/>
  <c r="T22" i="1" a="1"/>
  <c r="T22" i="1" s="1"/>
  <c r="T25" i="1"/>
  <c r="S23" i="1"/>
  <c r="S24" i="1"/>
  <c r="U12" i="1"/>
  <c r="T15" i="1"/>
  <c r="T14" i="1"/>
  <c r="T16" i="1"/>
  <c r="G59" i="1" l="1"/>
  <c r="H54" i="1" s="1"/>
  <c r="H55" i="1" s="1"/>
  <c r="G61" i="1"/>
  <c r="F63" i="1"/>
  <c r="H50" i="1"/>
  <c r="I37" i="1"/>
  <c r="G62" i="1"/>
  <c r="G63" i="1" s="1"/>
  <c r="I38" i="1"/>
  <c r="I39" i="1" s="1"/>
  <c r="I46" i="1" s="1"/>
  <c r="R35" i="1"/>
  <c r="R77" i="1" s="1"/>
  <c r="R31" i="1"/>
  <c r="R72" i="1" s="1"/>
  <c r="S26" i="1"/>
  <c r="S44" i="1" s="1"/>
  <c r="S56" i="1" s="1"/>
  <c r="T28" i="1"/>
  <c r="T41" i="1" s="1"/>
  <c r="T53" i="1" s="1"/>
  <c r="T65" i="1" s="1"/>
  <c r="T71" i="1" s="1"/>
  <c r="T76" i="1" s="1"/>
  <c r="U13" i="1"/>
  <c r="U25" i="1"/>
  <c r="U22" i="1" a="1"/>
  <c r="U22" i="1" s="1"/>
  <c r="T23" i="1"/>
  <c r="T24" i="1"/>
  <c r="J30" i="1"/>
  <c r="V12" i="1"/>
  <c r="U14" i="1"/>
  <c r="U15" i="1"/>
  <c r="U16" i="1"/>
  <c r="H51" i="1" l="1"/>
  <c r="H58" i="1" s="1"/>
  <c r="H61" i="1" s="1"/>
  <c r="F66" i="1"/>
  <c r="F67" i="1"/>
  <c r="F78" i="1" s="1"/>
  <c r="F79" i="1" s="1"/>
  <c r="I57" i="1"/>
  <c r="G67" i="1"/>
  <c r="G78" i="1" s="1"/>
  <c r="G79" i="1" s="1"/>
  <c r="G66" i="1"/>
  <c r="I47" i="1"/>
  <c r="J42" i="1" s="1"/>
  <c r="J43" i="1" s="1"/>
  <c r="I49" i="1"/>
  <c r="I48" i="1"/>
  <c r="S35" i="1"/>
  <c r="S77" i="1" s="1"/>
  <c r="S31" i="1"/>
  <c r="S72" i="1" s="1"/>
  <c r="T26" i="1"/>
  <c r="T44" i="1" s="1"/>
  <c r="T56" i="1" s="1"/>
  <c r="V13" i="1"/>
  <c r="U28" i="1"/>
  <c r="U41" i="1" s="1"/>
  <c r="U53" i="1" s="1"/>
  <c r="U65" i="1" s="1"/>
  <c r="U71" i="1" s="1"/>
  <c r="U76" i="1" s="1"/>
  <c r="J32" i="1"/>
  <c r="U23" i="1"/>
  <c r="U24" i="1"/>
  <c r="V25" i="1"/>
  <c r="V22" i="1" a="1"/>
  <c r="V22" i="1" s="1"/>
  <c r="W12" i="1"/>
  <c r="V14" i="1"/>
  <c r="V16" i="1"/>
  <c r="V15" i="1"/>
  <c r="H60" i="1" l="1"/>
  <c r="H59" i="1"/>
  <c r="I54" i="1" s="1"/>
  <c r="I55" i="1" s="1"/>
  <c r="F68" i="1"/>
  <c r="F73" i="1"/>
  <c r="F74" i="1" s="1"/>
  <c r="H62" i="1"/>
  <c r="G68" i="1"/>
  <c r="G69" i="1" s="1"/>
  <c r="G73" i="1"/>
  <c r="G74" i="1" s="1"/>
  <c r="I50" i="1"/>
  <c r="J45" i="1"/>
  <c r="U26" i="1"/>
  <c r="U44" i="1" s="1"/>
  <c r="U56" i="1" s="1"/>
  <c r="J34" i="1"/>
  <c r="J36" i="1" s="1"/>
  <c r="J38" i="1" s="1"/>
  <c r="W13" i="1"/>
  <c r="V28" i="1"/>
  <c r="V41" i="1" s="1"/>
  <c r="V53" i="1" s="1"/>
  <c r="V65" i="1" s="1"/>
  <c r="V71" i="1" s="1"/>
  <c r="V76" i="1" s="1"/>
  <c r="T31" i="1"/>
  <c r="T72" i="1" s="1"/>
  <c r="T35" i="1"/>
  <c r="T77" i="1" s="1"/>
  <c r="W25" i="1"/>
  <c r="W22" i="1" a="1"/>
  <c r="W22" i="1" s="1"/>
  <c r="V24" i="1"/>
  <c r="V23" i="1"/>
  <c r="J33" i="1"/>
  <c r="K29" i="1" s="1"/>
  <c r="X12" i="1"/>
  <c r="W15" i="1"/>
  <c r="W14" i="1"/>
  <c r="W16" i="1"/>
  <c r="I51" i="1" l="1"/>
  <c r="I58" i="1" s="1"/>
  <c r="I59" i="1" s="1"/>
  <c r="J54" i="1" s="1"/>
  <c r="J55" i="1" s="1"/>
  <c r="H63" i="1"/>
  <c r="F69" i="1"/>
  <c r="H66" i="1"/>
  <c r="H67" i="1"/>
  <c r="H78" i="1" s="1"/>
  <c r="H79" i="1" s="1"/>
  <c r="J37" i="1"/>
  <c r="V26" i="1"/>
  <c r="V44" i="1" s="1"/>
  <c r="V56" i="1" s="1"/>
  <c r="U35" i="1"/>
  <c r="U77" i="1" s="1"/>
  <c r="U31" i="1"/>
  <c r="U72" i="1" s="1"/>
  <c r="J39" i="1"/>
  <c r="J46" i="1" s="1"/>
  <c r="W28" i="1"/>
  <c r="W41" i="1" s="1"/>
  <c r="W53" i="1" s="1"/>
  <c r="W65" i="1" s="1"/>
  <c r="W71" i="1" s="1"/>
  <c r="W76" i="1" s="1"/>
  <c r="X13" i="1"/>
  <c r="X25" i="1"/>
  <c r="X22" i="1" a="1"/>
  <c r="X22" i="1" s="1"/>
  <c r="K30" i="1"/>
  <c r="K32" i="1" s="1"/>
  <c r="W24" i="1"/>
  <c r="W23" i="1"/>
  <c r="Y12" i="1"/>
  <c r="X15" i="1"/>
  <c r="X16" i="1"/>
  <c r="X14" i="1"/>
  <c r="I60" i="1" l="1"/>
  <c r="I61" i="1"/>
  <c r="I62" i="1" s="1"/>
  <c r="I63" i="1" s="1"/>
  <c r="V35" i="1"/>
  <c r="V77" i="1" s="1"/>
  <c r="V31" i="1"/>
  <c r="V72" i="1" s="1"/>
  <c r="J57" i="1"/>
  <c r="H68" i="1"/>
  <c r="H73" i="1"/>
  <c r="H74" i="1" s="1"/>
  <c r="K45" i="1"/>
  <c r="J47" i="1"/>
  <c r="K42" i="1" s="1"/>
  <c r="K43" i="1" s="1"/>
  <c r="J49" i="1"/>
  <c r="J48" i="1"/>
  <c r="Y13" i="1"/>
  <c r="X28" i="1"/>
  <c r="X41" i="1" s="1"/>
  <c r="X53" i="1" s="1"/>
  <c r="X65" i="1" s="1"/>
  <c r="X71" i="1" s="1"/>
  <c r="X76" i="1" s="1"/>
  <c r="W26" i="1"/>
  <c r="W44" i="1" s="1"/>
  <c r="W56" i="1" s="1"/>
  <c r="K34" i="1"/>
  <c r="K36" i="1" s="1"/>
  <c r="K33" i="1"/>
  <c r="L29" i="1" s="1"/>
  <c r="L30" i="1" s="1"/>
  <c r="L32" i="1" s="1"/>
  <c r="X23" i="1"/>
  <c r="X24" i="1"/>
  <c r="Y25" i="1"/>
  <c r="Y22" i="1" a="1"/>
  <c r="Y22" i="1" s="1"/>
  <c r="Z12" i="1"/>
  <c r="Y14" i="1"/>
  <c r="Y15" i="1"/>
  <c r="Y16" i="1"/>
  <c r="I66" i="1" l="1"/>
  <c r="I67" i="1"/>
  <c r="I78" i="1" s="1"/>
  <c r="I79" i="1" s="1"/>
  <c r="H69" i="1"/>
  <c r="J50" i="1"/>
  <c r="J51" i="1" s="1"/>
  <c r="J58" i="1" s="1"/>
  <c r="J60" i="1" s="1"/>
  <c r="L45" i="1"/>
  <c r="L34" i="1"/>
  <c r="L36" i="1" s="1"/>
  <c r="K37" i="1"/>
  <c r="K38" i="1"/>
  <c r="X26" i="1"/>
  <c r="X44" i="1" s="1"/>
  <c r="X56" i="1" s="1"/>
  <c r="W31" i="1"/>
  <c r="W72" i="1" s="1"/>
  <c r="W35" i="1"/>
  <c r="W77" i="1" s="1"/>
  <c r="Z13" i="1"/>
  <c r="Y28" i="1"/>
  <c r="Y41" i="1" s="1"/>
  <c r="Y53" i="1" s="1"/>
  <c r="Y65" i="1" s="1"/>
  <c r="Y71" i="1" s="1"/>
  <c r="Y76" i="1" s="1"/>
  <c r="Z25" i="1"/>
  <c r="Z22" i="1" a="1"/>
  <c r="Z22" i="1" s="1"/>
  <c r="Y24" i="1"/>
  <c r="Y23" i="1"/>
  <c r="L33" i="1"/>
  <c r="M29" i="1" s="1"/>
  <c r="AA12" i="1"/>
  <c r="Z15" i="1"/>
  <c r="Z14" i="1"/>
  <c r="Z16" i="1"/>
  <c r="J59" i="1" l="1"/>
  <c r="K54" i="1" s="1"/>
  <c r="K55" i="1" s="1"/>
  <c r="I68" i="1"/>
  <c r="I73" i="1"/>
  <c r="I74" i="1" s="1"/>
  <c r="Y26" i="1"/>
  <c r="Y44" i="1" s="1"/>
  <c r="Y56" i="1" s="1"/>
  <c r="J61" i="1"/>
  <c r="J62" i="1" s="1"/>
  <c r="J63" i="1" s="1"/>
  <c r="L37" i="1"/>
  <c r="L38" i="1"/>
  <c r="L39" i="1" s="1"/>
  <c r="J67" i="1"/>
  <c r="J78" i="1" s="1"/>
  <c r="J79" i="1" s="1"/>
  <c r="J66" i="1"/>
  <c r="J68" i="1" s="1"/>
  <c r="J69" i="1" s="1"/>
  <c r="K39" i="1"/>
  <c r="K46" i="1" s="1"/>
  <c r="Y31" i="1"/>
  <c r="Y72" i="1" s="1"/>
  <c r="AA13" i="1"/>
  <c r="Z28" i="1"/>
  <c r="Z41" i="1" s="1"/>
  <c r="Z53" i="1" s="1"/>
  <c r="Z65" i="1" s="1"/>
  <c r="Z71" i="1" s="1"/>
  <c r="Z76" i="1" s="1"/>
  <c r="X31" i="1"/>
  <c r="X72" i="1" s="1"/>
  <c r="X35" i="1"/>
  <c r="X77" i="1" s="1"/>
  <c r="M30" i="1"/>
  <c r="M32" i="1" s="1"/>
  <c r="AA25" i="1"/>
  <c r="AA22" i="1" a="1"/>
  <c r="AA22" i="1" s="1"/>
  <c r="Z24" i="1"/>
  <c r="Z23" i="1"/>
  <c r="AB12" i="1"/>
  <c r="AA15" i="1"/>
  <c r="AA16" i="1"/>
  <c r="AA14" i="1"/>
  <c r="Y35" i="1" l="1"/>
  <c r="Y77" i="1" s="1"/>
  <c r="I69" i="1"/>
  <c r="J73" i="1"/>
  <c r="J74" i="1" s="1"/>
  <c r="K57" i="1"/>
  <c r="M45" i="1"/>
  <c r="K47" i="1"/>
  <c r="L42" i="1" s="1"/>
  <c r="L43" i="1" s="1"/>
  <c r="L46" i="1" s="1"/>
  <c r="K49" i="1"/>
  <c r="Z26" i="1"/>
  <c r="Z44" i="1" s="1"/>
  <c r="Z56" i="1" s="1"/>
  <c r="M34" i="1"/>
  <c r="M36" i="1" s="1"/>
  <c r="AA28" i="1"/>
  <c r="AA41" i="1" s="1"/>
  <c r="AA53" i="1" s="1"/>
  <c r="AA65" i="1" s="1"/>
  <c r="AA71" i="1" s="1"/>
  <c r="AA76" i="1" s="1"/>
  <c r="AB13" i="1"/>
  <c r="M33" i="1"/>
  <c r="N29" i="1" s="1"/>
  <c r="N30" i="1" s="1"/>
  <c r="AB25" i="1"/>
  <c r="AB22" i="1" a="1"/>
  <c r="AB22" i="1" s="1"/>
  <c r="AA24" i="1"/>
  <c r="AA23" i="1"/>
  <c r="AC12" i="1"/>
  <c r="AB15" i="1"/>
  <c r="AB16" i="1"/>
  <c r="AB14" i="1"/>
  <c r="M37" i="1" l="1"/>
  <c r="K50" i="1"/>
  <c r="K51" i="1" s="1"/>
  <c r="K58" i="1" s="1"/>
  <c r="K60" i="1" s="1"/>
  <c r="Z35" i="1"/>
  <c r="Z77" i="1" s="1"/>
  <c r="Z31" i="1"/>
  <c r="Z72" i="1" s="1"/>
  <c r="L49" i="1"/>
  <c r="L57" i="1"/>
  <c r="L47" i="1"/>
  <c r="M42" i="1" s="1"/>
  <c r="M43" i="1" s="1"/>
  <c r="M38" i="1"/>
  <c r="M39" i="1" s="1"/>
  <c r="K48" i="1"/>
  <c r="AC13" i="1"/>
  <c r="AB28" i="1"/>
  <c r="AB41" i="1" s="1"/>
  <c r="AB53" i="1" s="1"/>
  <c r="AB65" i="1" s="1"/>
  <c r="AB71" i="1" s="1"/>
  <c r="AB76" i="1" s="1"/>
  <c r="N32" i="1"/>
  <c r="AA26" i="1"/>
  <c r="AA44" i="1" s="1"/>
  <c r="AA56" i="1" s="1"/>
  <c r="AB23" i="1"/>
  <c r="AB24" i="1"/>
  <c r="AC22" i="1" a="1"/>
  <c r="AC22" i="1" s="1"/>
  <c r="AC25" i="1"/>
  <c r="AD12" i="1"/>
  <c r="AC15" i="1"/>
  <c r="AC14" i="1"/>
  <c r="AC16" i="1"/>
  <c r="K59" i="1" l="1"/>
  <c r="L54" i="1" s="1"/>
  <c r="L55" i="1" s="1"/>
  <c r="K61" i="1"/>
  <c r="K62" i="1" s="1"/>
  <c r="K63" i="1" s="1"/>
  <c r="K66" i="1" s="1"/>
  <c r="K73" i="1" s="1"/>
  <c r="K74" i="1" s="1"/>
  <c r="L50" i="1"/>
  <c r="L51" i="1" s="1"/>
  <c r="N45" i="1"/>
  <c r="M46" i="1"/>
  <c r="N34" i="1"/>
  <c r="N36" i="1" s="1"/>
  <c r="N33" i="1"/>
  <c r="O29" i="1" s="1"/>
  <c r="O30" i="1" s="1"/>
  <c r="O32" i="1" s="1"/>
  <c r="AA31" i="1"/>
  <c r="AA72" i="1" s="1"/>
  <c r="AA35" i="1"/>
  <c r="AA77" i="1" s="1"/>
  <c r="AB26" i="1"/>
  <c r="AB44" i="1" s="1"/>
  <c r="AB56" i="1" s="1"/>
  <c r="AD13" i="1"/>
  <c r="AC28" i="1"/>
  <c r="AC41" i="1" s="1"/>
  <c r="AC53" i="1" s="1"/>
  <c r="AC65" i="1" s="1"/>
  <c r="AC71" i="1" s="1"/>
  <c r="AC76" i="1" s="1"/>
  <c r="AC24" i="1"/>
  <c r="AC23" i="1"/>
  <c r="AD22" i="1" a="1"/>
  <c r="AD22" i="1" s="1"/>
  <c r="AD25" i="1"/>
  <c r="AE12" i="1"/>
  <c r="AD16" i="1"/>
  <c r="AD14" i="1"/>
  <c r="AD15" i="1"/>
  <c r="K67" i="1" l="1"/>
  <c r="K78" i="1" s="1"/>
  <c r="K79" i="1" s="1"/>
  <c r="AC26" i="1"/>
  <c r="AC44" i="1" s="1"/>
  <c r="AC56" i="1" s="1"/>
  <c r="L58" i="1"/>
  <c r="L59" i="1" s="1"/>
  <c r="M54" i="1" s="1"/>
  <c r="M55" i="1" s="1"/>
  <c r="N37" i="1"/>
  <c r="M57" i="1"/>
  <c r="O45" i="1"/>
  <c r="L60" i="1"/>
  <c r="L61" i="1"/>
  <c r="M47" i="1"/>
  <c r="N42" i="1" s="1"/>
  <c r="N43" i="1" s="1"/>
  <c r="M49" i="1"/>
  <c r="O34" i="1"/>
  <c r="O36" i="1" s="1"/>
  <c r="N38" i="1"/>
  <c r="N39" i="1" s="1"/>
  <c r="O33" i="1"/>
  <c r="P29" i="1" s="1"/>
  <c r="P30" i="1" s="1"/>
  <c r="P32" i="1" s="1"/>
  <c r="AE13" i="1"/>
  <c r="AD28" i="1"/>
  <c r="AD41" i="1" s="1"/>
  <c r="AD53" i="1" s="1"/>
  <c r="AD65" i="1" s="1"/>
  <c r="AD71" i="1" s="1"/>
  <c r="AD76" i="1" s="1"/>
  <c r="AB31" i="1"/>
  <c r="AB72" i="1" s="1"/>
  <c r="AB35" i="1"/>
  <c r="AB77" i="1" s="1"/>
  <c r="AE22" i="1" a="1"/>
  <c r="AE22" i="1" s="1"/>
  <c r="AE25" i="1"/>
  <c r="AD24" i="1"/>
  <c r="AD23" i="1"/>
  <c r="AF12" i="1"/>
  <c r="AE16" i="1"/>
  <c r="AE15" i="1"/>
  <c r="AE14" i="1"/>
  <c r="K68" i="1" l="1"/>
  <c r="K69" i="1" s="1"/>
  <c r="AC35" i="1"/>
  <c r="AC77" i="1" s="1"/>
  <c r="AC31" i="1"/>
  <c r="AC72" i="1" s="1"/>
  <c r="O37" i="1"/>
  <c r="M50" i="1"/>
  <c r="M51" i="1" s="1"/>
  <c r="M58" i="1" s="1"/>
  <c r="L62" i="1"/>
  <c r="L63" i="1" s="1"/>
  <c r="L66" i="1" s="1"/>
  <c r="L67" i="1"/>
  <c r="L78" i="1" s="1"/>
  <c r="L79" i="1" s="1"/>
  <c r="P45" i="1"/>
  <c r="AD26" i="1"/>
  <c r="AD44" i="1" s="1"/>
  <c r="AD56" i="1" s="1"/>
  <c r="N46" i="1"/>
  <c r="L48" i="1"/>
  <c r="O38" i="1"/>
  <c r="O39" i="1" s="1"/>
  <c r="AF13" i="1"/>
  <c r="AE28" i="1"/>
  <c r="AE41" i="1" s="1"/>
  <c r="AE53" i="1" s="1"/>
  <c r="AE65" i="1" s="1"/>
  <c r="AE71" i="1" s="1"/>
  <c r="AE76" i="1" s="1"/>
  <c r="P34" i="1"/>
  <c r="P36" i="1" s="1"/>
  <c r="P33" i="1"/>
  <c r="Q29" i="1" s="1"/>
  <c r="Q30" i="1" s="1"/>
  <c r="Q32" i="1" s="1"/>
  <c r="AE24" i="1"/>
  <c r="AE23" i="1"/>
  <c r="AF22" i="1" a="1"/>
  <c r="AF22" i="1" s="1"/>
  <c r="AF25" i="1"/>
  <c r="AG12" i="1"/>
  <c r="AF16" i="1"/>
  <c r="AF14" i="1"/>
  <c r="AF15" i="1"/>
  <c r="L68" i="1" l="1"/>
  <c r="L69" i="1" s="1"/>
  <c r="L73" i="1"/>
  <c r="L74" i="1" s="1"/>
  <c r="M59" i="1"/>
  <c r="N54" i="1" s="1"/>
  <c r="N55" i="1" s="1"/>
  <c r="M60" i="1"/>
  <c r="M61" i="1"/>
  <c r="N57" i="1"/>
  <c r="Q45" i="1"/>
  <c r="AD35" i="1"/>
  <c r="AD77" i="1" s="1"/>
  <c r="AD31" i="1"/>
  <c r="AD72" i="1" s="1"/>
  <c r="N47" i="1"/>
  <c r="O42" i="1" s="1"/>
  <c r="O43" i="1" s="1"/>
  <c r="O46" i="1" s="1"/>
  <c r="N49" i="1"/>
  <c r="Q34" i="1"/>
  <c r="Q36" i="1" s="1"/>
  <c r="AE26" i="1"/>
  <c r="AE44" i="1" s="1"/>
  <c r="AE56" i="1" s="1"/>
  <c r="P37" i="1"/>
  <c r="P38" i="1"/>
  <c r="AG13" i="1"/>
  <c r="AF28" i="1"/>
  <c r="AF41" i="1" s="1"/>
  <c r="AF53" i="1" s="1"/>
  <c r="AF65" i="1" s="1"/>
  <c r="AF71" i="1" s="1"/>
  <c r="AF76" i="1" s="1"/>
  <c r="Q33" i="1"/>
  <c r="R29" i="1" s="1"/>
  <c r="R30" i="1" s="1"/>
  <c r="R32" i="1" s="1"/>
  <c r="AG22" i="1" a="1"/>
  <c r="AG22" i="1" s="1"/>
  <c r="AG25" i="1"/>
  <c r="AF23" i="1"/>
  <c r="AF24" i="1"/>
  <c r="AH12" i="1"/>
  <c r="AG16" i="1"/>
  <c r="AG15" i="1"/>
  <c r="AG14" i="1"/>
  <c r="Q37" i="1" l="1"/>
  <c r="N50" i="1"/>
  <c r="N51" i="1" s="1"/>
  <c r="N58" i="1" s="1"/>
  <c r="M62" i="1"/>
  <c r="M63" i="1" s="1"/>
  <c r="O57" i="1"/>
  <c r="R45" i="1"/>
  <c r="O47" i="1"/>
  <c r="P42" i="1" s="1"/>
  <c r="P43" i="1" s="1"/>
  <c r="O49" i="1"/>
  <c r="M48" i="1"/>
  <c r="Q38" i="1"/>
  <c r="Q39" i="1" s="1"/>
  <c r="R34" i="1"/>
  <c r="R36" i="1" s="1"/>
  <c r="AE35" i="1"/>
  <c r="AE77" i="1" s="1"/>
  <c r="AE31" i="1"/>
  <c r="AE72" i="1" s="1"/>
  <c r="R33" i="1"/>
  <c r="S29" i="1" s="1"/>
  <c r="S30" i="1" s="1"/>
  <c r="P39" i="1"/>
  <c r="AG28" i="1"/>
  <c r="AG41" i="1" s="1"/>
  <c r="AG53" i="1" s="1"/>
  <c r="AG65" i="1" s="1"/>
  <c r="AG71" i="1" s="1"/>
  <c r="AG76" i="1" s="1"/>
  <c r="AH13" i="1"/>
  <c r="AH22" i="1" a="1"/>
  <c r="AH22" i="1" s="1"/>
  <c r="AH25" i="1"/>
  <c r="AF26" i="1"/>
  <c r="AF44" i="1" s="1"/>
  <c r="AF56" i="1" s="1"/>
  <c r="AG23" i="1"/>
  <c r="AG24" i="1"/>
  <c r="AI12" i="1"/>
  <c r="AH16" i="1"/>
  <c r="AH15" i="1"/>
  <c r="AH14" i="1"/>
  <c r="N59" i="1" l="1"/>
  <c r="O54" i="1" s="1"/>
  <c r="O55" i="1" s="1"/>
  <c r="N61" i="1"/>
  <c r="N60" i="1"/>
  <c r="R37" i="1"/>
  <c r="O50" i="1"/>
  <c r="O51" i="1" s="1"/>
  <c r="M66" i="1"/>
  <c r="M67" i="1"/>
  <c r="M78" i="1" s="1"/>
  <c r="M79" i="1" s="1"/>
  <c r="R38" i="1"/>
  <c r="P46" i="1"/>
  <c r="R39" i="1"/>
  <c r="AG26" i="1"/>
  <c r="AG44" i="1" s="1"/>
  <c r="AG56" i="1" s="1"/>
  <c r="AF31" i="1"/>
  <c r="AF72" i="1" s="1"/>
  <c r="AF35" i="1"/>
  <c r="AF77" i="1" s="1"/>
  <c r="AI13" i="1"/>
  <c r="AH28" i="1"/>
  <c r="AH41" i="1" s="1"/>
  <c r="AH53" i="1" s="1"/>
  <c r="AH65" i="1" s="1"/>
  <c r="AH71" i="1" s="1"/>
  <c r="AH76" i="1" s="1"/>
  <c r="S32" i="1"/>
  <c r="AH23" i="1"/>
  <c r="AH24" i="1"/>
  <c r="AI25" i="1"/>
  <c r="AI22" i="1" a="1"/>
  <c r="AI22" i="1" s="1"/>
  <c r="AJ12" i="1"/>
  <c r="AI15" i="1"/>
  <c r="AI14" i="1"/>
  <c r="AI16" i="1"/>
  <c r="O58" i="1" l="1"/>
  <c r="O61" i="1" s="1"/>
  <c r="M68" i="1"/>
  <c r="M69" i="1" s="1"/>
  <c r="M73" i="1"/>
  <c r="M74" i="1" s="1"/>
  <c r="P57" i="1"/>
  <c r="N62" i="1"/>
  <c r="N63" i="1" s="1"/>
  <c r="S45" i="1"/>
  <c r="P47" i="1"/>
  <c r="Q42" i="1" s="1"/>
  <c r="P49" i="1"/>
  <c r="N48" i="1"/>
  <c r="S34" i="1"/>
  <c r="S36" i="1" s="1"/>
  <c r="AG31" i="1"/>
  <c r="AG72" i="1" s="1"/>
  <c r="AG35" i="1"/>
  <c r="AG77" i="1" s="1"/>
  <c r="AH26" i="1"/>
  <c r="AH44" i="1" s="1"/>
  <c r="AH56" i="1" s="1"/>
  <c r="AI28" i="1"/>
  <c r="AI41" i="1" s="1"/>
  <c r="AI53" i="1" s="1"/>
  <c r="AI65" i="1" s="1"/>
  <c r="AI71" i="1" s="1"/>
  <c r="AI76" i="1" s="1"/>
  <c r="AJ13" i="1"/>
  <c r="S33" i="1"/>
  <c r="T29" i="1" s="1"/>
  <c r="AJ22" i="1" a="1"/>
  <c r="AJ22" i="1" s="1"/>
  <c r="AJ25" i="1"/>
  <c r="AI24" i="1"/>
  <c r="AI23" i="1"/>
  <c r="AK12" i="1"/>
  <c r="AJ16" i="1"/>
  <c r="AJ14" i="1"/>
  <c r="AJ15" i="1"/>
  <c r="O59" i="1" l="1"/>
  <c r="P54" i="1" s="1"/>
  <c r="P55" i="1" s="1"/>
  <c r="O60" i="1"/>
  <c r="O62" i="1"/>
  <c r="O63" i="1" s="1"/>
  <c r="O66" i="1" s="1"/>
  <c r="O73" i="1" s="1"/>
  <c r="O74" i="1" s="1"/>
  <c r="N66" i="1"/>
  <c r="N67" i="1"/>
  <c r="N78" i="1" s="1"/>
  <c r="N79" i="1" s="1"/>
  <c r="P50" i="1"/>
  <c r="P51" i="1" s="1"/>
  <c r="S37" i="1"/>
  <c r="Q43" i="1"/>
  <c r="Q46" i="1" s="1"/>
  <c r="S38" i="1"/>
  <c r="S39" i="1" s="1"/>
  <c r="AI26" i="1"/>
  <c r="AI44" i="1" s="1"/>
  <c r="AI56" i="1" s="1"/>
  <c r="AK13" i="1"/>
  <c r="AJ28" i="1"/>
  <c r="AJ41" i="1" s="1"/>
  <c r="AJ53" i="1" s="1"/>
  <c r="AJ65" i="1" s="1"/>
  <c r="AJ71" i="1" s="1"/>
  <c r="AJ76" i="1" s="1"/>
  <c r="AH31" i="1"/>
  <c r="AH72" i="1" s="1"/>
  <c r="AH35" i="1"/>
  <c r="AH77" i="1" s="1"/>
  <c r="T30" i="1"/>
  <c r="T32" i="1" s="1"/>
  <c r="AK25" i="1"/>
  <c r="AK22" i="1" a="1"/>
  <c r="AK22" i="1" s="1"/>
  <c r="AJ24" i="1"/>
  <c r="AJ23" i="1"/>
  <c r="AL12" i="1"/>
  <c r="AK16" i="1"/>
  <c r="AK14" i="1"/>
  <c r="AK15" i="1"/>
  <c r="P58" i="1" l="1"/>
  <c r="O67" i="1"/>
  <c r="O78" i="1" s="1"/>
  <c r="O79" i="1" s="1"/>
  <c r="P59" i="1"/>
  <c r="Q54" i="1" s="1"/>
  <c r="N73" i="1"/>
  <c r="N74" i="1" s="1"/>
  <c r="N68" i="1"/>
  <c r="N69" i="1" s="1"/>
  <c r="Q49" i="1"/>
  <c r="Q57" i="1"/>
  <c r="Q55" i="1"/>
  <c r="T45" i="1"/>
  <c r="P60" i="1"/>
  <c r="P61" i="1"/>
  <c r="Q47" i="1"/>
  <c r="R42" i="1" s="1"/>
  <c r="T34" i="1"/>
  <c r="T36" i="1" s="1"/>
  <c r="AI35" i="1"/>
  <c r="AI77" i="1" s="1"/>
  <c r="AI31" i="1"/>
  <c r="AI72" i="1" s="1"/>
  <c r="AL13" i="1"/>
  <c r="AK28" i="1"/>
  <c r="AK41" i="1" s="1"/>
  <c r="AK53" i="1" s="1"/>
  <c r="AK65" i="1" s="1"/>
  <c r="AK71" i="1" s="1"/>
  <c r="AK76" i="1" s="1"/>
  <c r="AJ26" i="1"/>
  <c r="AJ44" i="1" s="1"/>
  <c r="AJ56" i="1" s="1"/>
  <c r="T33" i="1"/>
  <c r="U29" i="1" s="1"/>
  <c r="AK24" i="1"/>
  <c r="AK23" i="1"/>
  <c r="AL25" i="1"/>
  <c r="AL22" i="1" a="1"/>
  <c r="AL22" i="1" s="1"/>
  <c r="AM12" i="1"/>
  <c r="AL15" i="1"/>
  <c r="AL14" i="1"/>
  <c r="AL16" i="1"/>
  <c r="O68" i="1" l="1"/>
  <c r="O69" i="1" s="1"/>
  <c r="Q50" i="1"/>
  <c r="Q51" i="1" s="1"/>
  <c r="Q58" i="1" s="1"/>
  <c r="T37" i="1"/>
  <c r="P62" i="1"/>
  <c r="P63" i="1" s="1"/>
  <c r="P67" i="1" s="1"/>
  <c r="P78" i="1" s="1"/>
  <c r="P79" i="1" s="1"/>
  <c r="P66" i="1"/>
  <c r="R43" i="1"/>
  <c r="R46" i="1" s="1"/>
  <c r="O48" i="1"/>
  <c r="T38" i="1"/>
  <c r="T39" i="1" s="1"/>
  <c r="AK26" i="1"/>
  <c r="AK44" i="1" s="1"/>
  <c r="AK56" i="1" s="1"/>
  <c r="AJ31" i="1"/>
  <c r="AJ72" i="1" s="1"/>
  <c r="AJ35" i="1"/>
  <c r="AJ77" i="1" s="1"/>
  <c r="AM13" i="1"/>
  <c r="AL28" i="1"/>
  <c r="AL41" i="1" s="1"/>
  <c r="AL53" i="1" s="1"/>
  <c r="AL65" i="1" s="1"/>
  <c r="AL71" i="1" s="1"/>
  <c r="AL76" i="1" s="1"/>
  <c r="U30" i="1"/>
  <c r="U32" i="1" s="1"/>
  <c r="AL24" i="1"/>
  <c r="AL23" i="1"/>
  <c r="AL26" i="1" s="1"/>
  <c r="AL44" i="1" s="1"/>
  <c r="AL56" i="1" s="1"/>
  <c r="AM25" i="1"/>
  <c r="AM22" i="1" a="1"/>
  <c r="AM22" i="1" s="1"/>
  <c r="AN12" i="1"/>
  <c r="AM15" i="1"/>
  <c r="AM16" i="1"/>
  <c r="AM14" i="1"/>
  <c r="Q60" i="1" l="1"/>
  <c r="Q61" i="1"/>
  <c r="Q59" i="1"/>
  <c r="R54" i="1" s="1"/>
  <c r="R55" i="1" s="1"/>
  <c r="P68" i="1"/>
  <c r="P69" i="1" s="1"/>
  <c r="P73" i="1"/>
  <c r="P74" i="1" s="1"/>
  <c r="R57" i="1"/>
  <c r="U45" i="1"/>
  <c r="AK35" i="1"/>
  <c r="AK77" i="1" s="1"/>
  <c r="AK31" i="1"/>
  <c r="AK72" i="1" s="1"/>
  <c r="R47" i="1"/>
  <c r="S42" i="1" s="1"/>
  <c r="R49" i="1"/>
  <c r="P48" i="1"/>
  <c r="U34" i="1"/>
  <c r="U36" i="1" s="1"/>
  <c r="AL31" i="1"/>
  <c r="AL72" i="1" s="1"/>
  <c r="AL35" i="1"/>
  <c r="AL77" i="1" s="1"/>
  <c r="AM28" i="1"/>
  <c r="AM41" i="1" s="1"/>
  <c r="AM53" i="1" s="1"/>
  <c r="AM65" i="1" s="1"/>
  <c r="AM71" i="1" s="1"/>
  <c r="AM76" i="1" s="1"/>
  <c r="AN13" i="1"/>
  <c r="U33" i="1"/>
  <c r="V29" i="1" s="1"/>
  <c r="AM24" i="1"/>
  <c r="AM23" i="1"/>
  <c r="AN25" i="1"/>
  <c r="AN22" i="1" a="1"/>
  <c r="AN22" i="1" s="1"/>
  <c r="AO12" i="1"/>
  <c r="AN15" i="1"/>
  <c r="AN16" i="1"/>
  <c r="AN14" i="1"/>
  <c r="U37" i="1" l="1"/>
  <c r="Q62" i="1"/>
  <c r="Q63" i="1" s="1"/>
  <c r="R50" i="1"/>
  <c r="R51" i="1" s="1"/>
  <c r="R58" i="1" s="1"/>
  <c r="R60" i="1" s="1"/>
  <c r="S43" i="1"/>
  <c r="S46" i="1" s="1"/>
  <c r="AM26" i="1"/>
  <c r="AM44" i="1" s="1"/>
  <c r="AM56" i="1" s="1"/>
  <c r="U38" i="1"/>
  <c r="U39" i="1" s="1"/>
  <c r="AM31" i="1"/>
  <c r="AM72" i="1" s="1"/>
  <c r="AM35" i="1"/>
  <c r="AM77" i="1" s="1"/>
  <c r="AO13" i="1"/>
  <c r="AN28" i="1"/>
  <c r="AN41" i="1" s="1"/>
  <c r="AN53" i="1" s="1"/>
  <c r="AN65" i="1" s="1"/>
  <c r="AN71" i="1" s="1"/>
  <c r="AN76" i="1" s="1"/>
  <c r="V30" i="1"/>
  <c r="V32" i="1" s="1"/>
  <c r="AO25" i="1"/>
  <c r="AO22" i="1" a="1"/>
  <c r="AO22" i="1" s="1"/>
  <c r="AN24" i="1"/>
  <c r="AN23" i="1"/>
  <c r="AP12" i="1"/>
  <c r="AO15" i="1"/>
  <c r="AO14" i="1"/>
  <c r="AO16" i="1"/>
  <c r="R59" i="1" l="1"/>
  <c r="S54" i="1" s="1"/>
  <c r="R61" i="1"/>
  <c r="R62" i="1" s="1"/>
  <c r="R63" i="1" s="1"/>
  <c r="R67" i="1" s="1"/>
  <c r="Q67" i="1"/>
  <c r="Q78" i="1" s="1"/>
  <c r="Q79" i="1" s="1"/>
  <c r="Q66" i="1"/>
  <c r="S57" i="1"/>
  <c r="AN26" i="1"/>
  <c r="AN44" i="1" s="1"/>
  <c r="AN56" i="1" s="1"/>
  <c r="S55" i="1"/>
  <c r="V45" i="1"/>
  <c r="S47" i="1"/>
  <c r="T42" i="1" s="1"/>
  <c r="S49" i="1"/>
  <c r="V34" i="1"/>
  <c r="V36" i="1" s="1"/>
  <c r="AO28" i="1"/>
  <c r="AO41" i="1" s="1"/>
  <c r="AO53" i="1" s="1"/>
  <c r="AO65" i="1" s="1"/>
  <c r="AO71" i="1" s="1"/>
  <c r="AO76" i="1" s="1"/>
  <c r="AP13" i="1"/>
  <c r="V33" i="1"/>
  <c r="W29" i="1" s="1"/>
  <c r="AP25" i="1"/>
  <c r="AP22" i="1" a="1"/>
  <c r="AP22" i="1" s="1"/>
  <c r="AO24" i="1"/>
  <c r="AO23" i="1"/>
  <c r="AQ12" i="1"/>
  <c r="AP16" i="1"/>
  <c r="AP14" i="1"/>
  <c r="AP15" i="1"/>
  <c r="R66" i="1" l="1"/>
  <c r="R73" i="1" s="1"/>
  <c r="R74" i="1" s="1"/>
  <c r="R78" i="1"/>
  <c r="R79" i="1" s="1"/>
  <c r="AN35" i="1"/>
  <c r="AN77" i="1" s="1"/>
  <c r="AN31" i="1"/>
  <c r="AN72" i="1" s="1"/>
  <c r="S50" i="1"/>
  <c r="S51" i="1" s="1"/>
  <c r="S58" i="1" s="1"/>
  <c r="S61" i="1" s="1"/>
  <c r="S62" i="1" s="1"/>
  <c r="S63" i="1" s="1"/>
  <c r="Q68" i="1"/>
  <c r="Q69" i="1" s="1"/>
  <c r="Q73" i="1"/>
  <c r="Q74" i="1" s="1"/>
  <c r="AO26" i="1"/>
  <c r="AO44" i="1" s="1"/>
  <c r="AO56" i="1" s="1"/>
  <c r="V37" i="1"/>
  <c r="S60" i="1"/>
  <c r="T43" i="1"/>
  <c r="T46" i="1" s="1"/>
  <c r="V38" i="1"/>
  <c r="V39" i="1" s="1"/>
  <c r="AQ13" i="1"/>
  <c r="AP28" i="1"/>
  <c r="AP41" i="1" s="1"/>
  <c r="AP53" i="1" s="1"/>
  <c r="AP65" i="1" s="1"/>
  <c r="AP71" i="1" s="1"/>
  <c r="AP76" i="1" s="1"/>
  <c r="W30" i="1"/>
  <c r="W32" i="1" s="1"/>
  <c r="AQ25" i="1"/>
  <c r="AQ22" i="1" a="1"/>
  <c r="AQ22" i="1" s="1"/>
  <c r="AP24" i="1"/>
  <c r="AP23" i="1"/>
  <c r="AR12" i="1"/>
  <c r="AQ14" i="1"/>
  <c r="AQ16" i="1"/>
  <c r="AQ15" i="1"/>
  <c r="R68" i="1" l="1"/>
  <c r="R69" i="1" s="1"/>
  <c r="AO35" i="1"/>
  <c r="AO77" i="1" s="1"/>
  <c r="AO31" i="1"/>
  <c r="AO72" i="1" s="1"/>
  <c r="T57" i="1"/>
  <c r="S59" i="1"/>
  <c r="T54" i="1" s="1"/>
  <c r="T55" i="1" s="1"/>
  <c r="S66" i="1"/>
  <c r="S73" i="1" s="1"/>
  <c r="S74" i="1" s="1"/>
  <c r="S67" i="1"/>
  <c r="S78" i="1" s="1"/>
  <c r="S79" i="1" s="1"/>
  <c r="W45" i="1"/>
  <c r="T47" i="1"/>
  <c r="U42" i="1" s="1"/>
  <c r="T49" i="1"/>
  <c r="AP26" i="1"/>
  <c r="AP44" i="1" s="1"/>
  <c r="AP56" i="1" s="1"/>
  <c r="Q48" i="1"/>
  <c r="W34" i="1"/>
  <c r="W36" i="1" s="1"/>
  <c r="AR13" i="1"/>
  <c r="AQ28" i="1"/>
  <c r="AQ41" i="1" s="1"/>
  <c r="AQ53" i="1" s="1"/>
  <c r="AQ65" i="1" s="1"/>
  <c r="AQ71" i="1" s="1"/>
  <c r="AQ76" i="1" s="1"/>
  <c r="W33" i="1"/>
  <c r="X29" i="1" s="1"/>
  <c r="AR22" i="1" a="1"/>
  <c r="AR22" i="1" s="1"/>
  <c r="AR25" i="1"/>
  <c r="AQ24" i="1"/>
  <c r="AQ23" i="1"/>
  <c r="AQ26" i="1" s="1"/>
  <c r="AQ44" i="1" s="1"/>
  <c r="AQ56" i="1" s="1"/>
  <c r="AS12" i="1"/>
  <c r="AR14" i="1"/>
  <c r="AR15" i="1"/>
  <c r="AR16" i="1"/>
  <c r="AP35" i="1" l="1"/>
  <c r="AP77" i="1" s="1"/>
  <c r="AP31" i="1"/>
  <c r="AP72" i="1" s="1"/>
  <c r="W38" i="1"/>
  <c r="W39" i="1" s="1"/>
  <c r="T50" i="1"/>
  <c r="T51" i="1" s="1"/>
  <c r="T58" i="1" s="1"/>
  <c r="T60" i="1" s="1"/>
  <c r="S68" i="1"/>
  <c r="S69" i="1" s="1"/>
  <c r="U43" i="1"/>
  <c r="U46" i="1" s="1"/>
  <c r="W37" i="1"/>
  <c r="AQ31" i="1"/>
  <c r="AQ72" i="1" s="1"/>
  <c r="AQ35" i="1"/>
  <c r="AQ77" i="1" s="1"/>
  <c r="AS13" i="1"/>
  <c r="AR28" i="1"/>
  <c r="AR41" i="1" s="1"/>
  <c r="AR53" i="1" s="1"/>
  <c r="AR65" i="1" s="1"/>
  <c r="AR71" i="1" s="1"/>
  <c r="AR76" i="1" s="1"/>
  <c r="X30" i="1"/>
  <c r="X32" i="1" s="1"/>
  <c r="AS22" i="1" a="1"/>
  <c r="AS22" i="1" s="1"/>
  <c r="AS25" i="1"/>
  <c r="AR24" i="1"/>
  <c r="AR23" i="1"/>
  <c r="AT12" i="1"/>
  <c r="AS14" i="1"/>
  <c r="AS15" i="1"/>
  <c r="AS16" i="1"/>
  <c r="T59" i="1" l="1"/>
  <c r="U54" i="1" s="1"/>
  <c r="U55" i="1" s="1"/>
  <c r="T61" i="1"/>
  <c r="T62" i="1" s="1"/>
  <c r="T63" i="1" s="1"/>
  <c r="T67" i="1" s="1"/>
  <c r="T78" i="1" s="1"/>
  <c r="T79" i="1" s="1"/>
  <c r="U57" i="1"/>
  <c r="X45" i="1"/>
  <c r="U47" i="1"/>
  <c r="V42" i="1" s="1"/>
  <c r="U49" i="1"/>
  <c r="X34" i="1"/>
  <c r="X36" i="1" s="1"/>
  <c r="X33" i="1"/>
  <c r="Y29" i="1" s="1"/>
  <c r="Y30" i="1" s="1"/>
  <c r="AT13" i="1"/>
  <c r="AS28" i="1"/>
  <c r="AS41" i="1" s="1"/>
  <c r="AS53" i="1" s="1"/>
  <c r="AS65" i="1" s="1"/>
  <c r="AS71" i="1" s="1"/>
  <c r="AS76" i="1" s="1"/>
  <c r="AR26" i="1"/>
  <c r="AR44" i="1" s="1"/>
  <c r="AR56" i="1" s="1"/>
  <c r="AT22" i="1" a="1"/>
  <c r="AT22" i="1" s="1"/>
  <c r="AT25" i="1"/>
  <c r="AS24" i="1"/>
  <c r="AS23" i="1"/>
  <c r="AS26" i="1" s="1"/>
  <c r="AS44" i="1" s="1"/>
  <c r="AS56" i="1" s="1"/>
  <c r="AU12" i="1"/>
  <c r="AT15" i="1"/>
  <c r="AT14" i="1"/>
  <c r="AT16" i="1"/>
  <c r="T66" i="1" l="1"/>
  <c r="T68" i="1"/>
  <c r="T69" i="1" s="1"/>
  <c r="T73" i="1"/>
  <c r="T74" i="1" s="1"/>
  <c r="X37" i="1"/>
  <c r="U50" i="1"/>
  <c r="U51" i="1" s="1"/>
  <c r="U58" i="1" s="1"/>
  <c r="U60" i="1" s="1"/>
  <c r="X38" i="1"/>
  <c r="X39" i="1" s="1"/>
  <c r="V43" i="1"/>
  <c r="V46" i="1"/>
  <c r="R48" i="1"/>
  <c r="Y32" i="1"/>
  <c r="AS31" i="1"/>
  <c r="AS72" i="1" s="1"/>
  <c r="AS35" i="1"/>
  <c r="AS77" i="1" s="1"/>
  <c r="AR31" i="1"/>
  <c r="AR72" i="1" s="1"/>
  <c r="AR35" i="1"/>
  <c r="AR77" i="1" s="1"/>
  <c r="AU13" i="1"/>
  <c r="AT28" i="1"/>
  <c r="AT41" i="1" s="1"/>
  <c r="AT53" i="1" s="1"/>
  <c r="AT65" i="1" s="1"/>
  <c r="AT71" i="1" s="1"/>
  <c r="AT76" i="1" s="1"/>
  <c r="AT24" i="1"/>
  <c r="AT23" i="1"/>
  <c r="AT26" i="1" s="1"/>
  <c r="AT44" i="1" s="1"/>
  <c r="AT56" i="1" s="1"/>
  <c r="AU25" i="1"/>
  <c r="AU22" i="1" a="1"/>
  <c r="AU22" i="1" s="1"/>
  <c r="AV12" i="1"/>
  <c r="AU15" i="1"/>
  <c r="AU16" i="1"/>
  <c r="AU14" i="1"/>
  <c r="U59" i="1" l="1"/>
  <c r="V54" i="1" s="1"/>
  <c r="V55" i="1" s="1"/>
  <c r="U61" i="1"/>
  <c r="U62" i="1" s="1"/>
  <c r="U63" i="1" s="1"/>
  <c r="U67" i="1" s="1"/>
  <c r="U78" i="1" s="1"/>
  <c r="U79" i="1" s="1"/>
  <c r="V57" i="1"/>
  <c r="Y45" i="1"/>
  <c r="V47" i="1"/>
  <c r="W42" i="1" s="1"/>
  <c r="V49" i="1"/>
  <c r="Y34" i="1"/>
  <c r="Y36" i="1" s="1"/>
  <c r="Y33" i="1"/>
  <c r="Z29" i="1" s="1"/>
  <c r="Z30" i="1" s="1"/>
  <c r="Z32" i="1" s="1"/>
  <c r="AT31" i="1"/>
  <c r="AT72" i="1" s="1"/>
  <c r="AT35" i="1"/>
  <c r="AT77" i="1" s="1"/>
  <c r="AV13" i="1"/>
  <c r="AU28" i="1"/>
  <c r="AU41" i="1" s="1"/>
  <c r="AU53" i="1" s="1"/>
  <c r="AU65" i="1" s="1"/>
  <c r="AU71" i="1" s="1"/>
  <c r="AU76" i="1" s="1"/>
  <c r="AU23" i="1"/>
  <c r="AU24" i="1"/>
  <c r="AV22" i="1" a="1"/>
  <c r="AV22" i="1" s="1"/>
  <c r="AV25" i="1"/>
  <c r="AW12" i="1"/>
  <c r="AV15" i="1"/>
  <c r="AV14" i="1"/>
  <c r="AV16" i="1"/>
  <c r="U66" i="1" l="1"/>
  <c r="U68" i="1" s="1"/>
  <c r="U69" i="1" s="1"/>
  <c r="Y37" i="1"/>
  <c r="V50" i="1"/>
  <c r="V51" i="1" s="1"/>
  <c r="V58" i="1" s="1"/>
  <c r="V60" i="1" s="1"/>
  <c r="Z45" i="1"/>
  <c r="W43" i="1"/>
  <c r="W46" i="1" s="1"/>
  <c r="S48" i="1"/>
  <c r="Y38" i="1"/>
  <c r="Y39" i="1" s="1"/>
  <c r="Z34" i="1"/>
  <c r="Z36" i="1" s="1"/>
  <c r="Z33" i="1"/>
  <c r="AA29" i="1" s="1"/>
  <c r="AA30" i="1" s="1"/>
  <c r="AA32" i="1" s="1"/>
  <c r="AU26" i="1"/>
  <c r="AU44" i="1" s="1"/>
  <c r="AU56" i="1" s="1"/>
  <c r="AW13" i="1"/>
  <c r="AV28" i="1"/>
  <c r="AV41" i="1" s="1"/>
  <c r="AV53" i="1" s="1"/>
  <c r="AV65" i="1" s="1"/>
  <c r="AV71" i="1" s="1"/>
  <c r="AV76" i="1" s="1"/>
  <c r="AV23" i="1"/>
  <c r="AV24" i="1"/>
  <c r="AW25" i="1"/>
  <c r="AW22" i="1" a="1"/>
  <c r="AW22" i="1" s="1"/>
  <c r="AX12" i="1"/>
  <c r="AW16" i="1"/>
  <c r="AW15" i="1"/>
  <c r="AW14" i="1"/>
  <c r="U73" i="1" l="1"/>
  <c r="U74" i="1" s="1"/>
  <c r="V59" i="1"/>
  <c r="W54" i="1" s="1"/>
  <c r="W55" i="1" s="1"/>
  <c r="V61" i="1"/>
  <c r="V62" i="1" s="1"/>
  <c r="V63" i="1" s="1"/>
  <c r="V67" i="1" s="1"/>
  <c r="V78" i="1" s="1"/>
  <c r="V79" i="1" s="1"/>
  <c r="W57" i="1"/>
  <c r="AA45" i="1"/>
  <c r="W47" i="1"/>
  <c r="X42" i="1" s="1"/>
  <c r="W49" i="1"/>
  <c r="AA34" i="1"/>
  <c r="AA36" i="1" s="1"/>
  <c r="Z37" i="1"/>
  <c r="Z38" i="1"/>
  <c r="Z39" i="1" s="1"/>
  <c r="AW28" i="1"/>
  <c r="AW41" i="1" s="1"/>
  <c r="AW53" i="1" s="1"/>
  <c r="AW65" i="1" s="1"/>
  <c r="AW71" i="1" s="1"/>
  <c r="AW76" i="1" s="1"/>
  <c r="AX13" i="1"/>
  <c r="AV26" i="1"/>
  <c r="AV44" i="1" s="1"/>
  <c r="AV56" i="1" s="1"/>
  <c r="AU31" i="1"/>
  <c r="AU72" i="1" s="1"/>
  <c r="AU35" i="1"/>
  <c r="AU77" i="1" s="1"/>
  <c r="AA33" i="1"/>
  <c r="AB29" i="1" s="1"/>
  <c r="AX25" i="1"/>
  <c r="AX22" i="1" a="1"/>
  <c r="AX22" i="1" s="1"/>
  <c r="AW24" i="1"/>
  <c r="AW23" i="1"/>
  <c r="AW26" i="1" s="1"/>
  <c r="AW44" i="1" s="1"/>
  <c r="AW56" i="1" s="1"/>
  <c r="AY12" i="1"/>
  <c r="AX15" i="1"/>
  <c r="AX14" i="1"/>
  <c r="AX16" i="1"/>
  <c r="V66" i="1" l="1"/>
  <c r="V68" i="1" s="1"/>
  <c r="V69" i="1" s="1"/>
  <c r="AA37" i="1"/>
  <c r="W50" i="1"/>
  <c r="W51" i="1" s="1"/>
  <c r="W58" i="1" s="1"/>
  <c r="X43" i="1"/>
  <c r="X46" i="1" s="1"/>
  <c r="T48" i="1"/>
  <c r="AA38" i="1"/>
  <c r="AA39" i="1" s="1"/>
  <c r="AV31" i="1"/>
  <c r="AV72" i="1" s="1"/>
  <c r="AV35" i="1"/>
  <c r="AV77" i="1" s="1"/>
  <c r="AX28" i="1"/>
  <c r="AX41" i="1" s="1"/>
  <c r="AX53" i="1" s="1"/>
  <c r="AX65" i="1" s="1"/>
  <c r="AX71" i="1" s="1"/>
  <c r="AX76" i="1" s="1"/>
  <c r="AY13" i="1"/>
  <c r="AW31" i="1"/>
  <c r="AW72" i="1" s="1"/>
  <c r="AW35" i="1"/>
  <c r="AW77" i="1" s="1"/>
  <c r="AB30" i="1"/>
  <c r="AB32" i="1" s="1"/>
  <c r="AY25" i="1"/>
  <c r="AY22" i="1" a="1"/>
  <c r="AY22" i="1" s="1"/>
  <c r="AX24" i="1"/>
  <c r="AX23" i="1"/>
  <c r="AZ12" i="1"/>
  <c r="AY15" i="1"/>
  <c r="AY16" i="1"/>
  <c r="AY14" i="1"/>
  <c r="V73" i="1" l="1"/>
  <c r="V74" i="1" s="1"/>
  <c r="X57" i="1"/>
  <c r="AB45" i="1"/>
  <c r="W60" i="1"/>
  <c r="W61" i="1"/>
  <c r="W59" i="1"/>
  <c r="X54" i="1" s="1"/>
  <c r="X47" i="1"/>
  <c r="Y42" i="1" s="1"/>
  <c r="X49" i="1"/>
  <c r="AB34" i="1"/>
  <c r="AB36" i="1" s="1"/>
  <c r="AY28" i="1"/>
  <c r="AY41" i="1" s="1"/>
  <c r="AY53" i="1" s="1"/>
  <c r="AY65" i="1" s="1"/>
  <c r="AY71" i="1" s="1"/>
  <c r="AY76" i="1" s="1"/>
  <c r="AZ13" i="1"/>
  <c r="AX26" i="1"/>
  <c r="AX44" i="1" s="1"/>
  <c r="AX56" i="1" s="1"/>
  <c r="AB33" i="1"/>
  <c r="AC29" i="1" s="1"/>
  <c r="AZ22" i="1" a="1"/>
  <c r="AZ22" i="1" s="1"/>
  <c r="AZ25" i="1"/>
  <c r="AY24" i="1"/>
  <c r="AY23" i="1"/>
  <c r="BA12" i="1"/>
  <c r="AZ16" i="1"/>
  <c r="AZ15" i="1"/>
  <c r="AZ14" i="1"/>
  <c r="AB38" i="1" l="1"/>
  <c r="AB39" i="1" s="1"/>
  <c r="X50" i="1"/>
  <c r="X51" i="1" s="1"/>
  <c r="W62" i="1"/>
  <c r="W63" i="1" s="1"/>
  <c r="W67" i="1" s="1"/>
  <c r="W78" i="1" s="1"/>
  <c r="W79" i="1" s="1"/>
  <c r="X55" i="1"/>
  <c r="X58" i="1" s="1"/>
  <c r="X59" i="1" s="1"/>
  <c r="Y54" i="1" s="1"/>
  <c r="Y43" i="1"/>
  <c r="Y46" i="1" s="1"/>
  <c r="AB37" i="1"/>
  <c r="AY26" i="1"/>
  <c r="AY44" i="1" s="1"/>
  <c r="AY56" i="1" s="1"/>
  <c r="AX31" i="1"/>
  <c r="AX72" i="1" s="1"/>
  <c r="AX35" i="1"/>
  <c r="AX77" i="1" s="1"/>
  <c r="BA13" i="1"/>
  <c r="AZ28" i="1"/>
  <c r="AZ41" i="1" s="1"/>
  <c r="AZ53" i="1" s="1"/>
  <c r="AZ65" i="1" s="1"/>
  <c r="AZ71" i="1" s="1"/>
  <c r="AZ76" i="1" s="1"/>
  <c r="AC30" i="1"/>
  <c r="AC32" i="1" s="1"/>
  <c r="BA22" i="1" a="1"/>
  <c r="BA22" i="1" s="1"/>
  <c r="BA25" i="1"/>
  <c r="AZ23" i="1"/>
  <c r="AZ24" i="1"/>
  <c r="BB12" i="1"/>
  <c r="BA15" i="1"/>
  <c r="BA14" i="1"/>
  <c r="BA16" i="1"/>
  <c r="W66" i="1" l="1"/>
  <c r="W68" i="1" s="1"/>
  <c r="W69" i="1" s="1"/>
  <c r="Y57" i="1"/>
  <c r="W73" i="1"/>
  <c r="W74" i="1" s="1"/>
  <c r="AC45" i="1"/>
  <c r="AY35" i="1"/>
  <c r="AY77" i="1" s="1"/>
  <c r="Y55" i="1"/>
  <c r="AY31" i="1"/>
  <c r="AY72" i="1" s="1"/>
  <c r="X60" i="1"/>
  <c r="X61" i="1"/>
  <c r="Y47" i="1"/>
  <c r="Z42" i="1" s="1"/>
  <c r="Y49" i="1"/>
  <c r="AC34" i="1"/>
  <c r="AC36" i="1" s="1"/>
  <c r="AC33" i="1"/>
  <c r="AD29" i="1" s="1"/>
  <c r="AD30" i="1" s="1"/>
  <c r="AD32" i="1" s="1"/>
  <c r="BB13" i="1"/>
  <c r="BA28" i="1"/>
  <c r="BA41" i="1" s="1"/>
  <c r="BA53" i="1" s="1"/>
  <c r="BA65" i="1" s="1"/>
  <c r="BA71" i="1" s="1"/>
  <c r="BA76" i="1" s="1"/>
  <c r="AZ26" i="1"/>
  <c r="AZ44" i="1" s="1"/>
  <c r="AZ56" i="1" s="1"/>
  <c r="BB22" i="1" a="1"/>
  <c r="BB22" i="1" s="1"/>
  <c r="BB25" i="1"/>
  <c r="BA23" i="1"/>
  <c r="BA24" i="1"/>
  <c r="BC12" i="1"/>
  <c r="BB16" i="1"/>
  <c r="BB14" i="1"/>
  <c r="BB15" i="1"/>
  <c r="Y50" i="1" l="1"/>
  <c r="Y51" i="1" s="1"/>
  <c r="Y58" i="1" s="1"/>
  <c r="X62" i="1"/>
  <c r="X63" i="1" s="1"/>
  <c r="X66" i="1" s="1"/>
  <c r="X73" i="1" s="1"/>
  <c r="X74" i="1" s="1"/>
  <c r="AC37" i="1"/>
  <c r="AC38" i="1"/>
  <c r="AC39" i="1" s="1"/>
  <c r="AD45" i="1"/>
  <c r="Z43" i="1"/>
  <c r="Z46" i="1" s="1"/>
  <c r="U48" i="1"/>
  <c r="AD34" i="1"/>
  <c r="AD36" i="1" s="1"/>
  <c r="BA26" i="1"/>
  <c r="BA44" i="1" s="1"/>
  <c r="BA56" i="1" s="1"/>
  <c r="AZ31" i="1"/>
  <c r="AZ72" i="1" s="1"/>
  <c r="AZ35" i="1"/>
  <c r="AZ77" i="1" s="1"/>
  <c r="BC13" i="1"/>
  <c r="BB28" i="1"/>
  <c r="BB41" i="1" s="1"/>
  <c r="BB53" i="1" s="1"/>
  <c r="BB65" i="1" s="1"/>
  <c r="BB71" i="1" s="1"/>
  <c r="BB76" i="1" s="1"/>
  <c r="AD33" i="1"/>
  <c r="AE29" i="1" s="1"/>
  <c r="AE30" i="1" s="1"/>
  <c r="BC25" i="1"/>
  <c r="BC22" i="1" a="1"/>
  <c r="BC22" i="1" s="1"/>
  <c r="BB23" i="1"/>
  <c r="BB24" i="1"/>
  <c r="BD12" i="1"/>
  <c r="BC15" i="1"/>
  <c r="BC16" i="1"/>
  <c r="BC14" i="1"/>
  <c r="X67" i="1" l="1"/>
  <c r="X78" i="1" s="1"/>
  <c r="X79" i="1" s="1"/>
  <c r="AD37" i="1"/>
  <c r="Z57" i="1"/>
  <c r="Y60" i="1"/>
  <c r="Y61" i="1"/>
  <c r="Y59" i="1"/>
  <c r="Z54" i="1" s="1"/>
  <c r="X68" i="1"/>
  <c r="X69" i="1" s="1"/>
  <c r="Z47" i="1"/>
  <c r="AA42" i="1" s="1"/>
  <c r="Z49" i="1"/>
  <c r="AD38" i="1"/>
  <c r="AD39" i="1" s="1"/>
  <c r="BB26" i="1"/>
  <c r="BB44" i="1" s="1"/>
  <c r="BB56" i="1" s="1"/>
  <c r="BB31" i="1"/>
  <c r="BB72" i="1" s="1"/>
  <c r="BD13" i="1"/>
  <c r="BC28" i="1"/>
  <c r="BC41" i="1" s="1"/>
  <c r="BC53" i="1" s="1"/>
  <c r="BC65" i="1" s="1"/>
  <c r="BC71" i="1" s="1"/>
  <c r="BC76" i="1" s="1"/>
  <c r="BA31" i="1"/>
  <c r="BA72" i="1" s="1"/>
  <c r="BA35" i="1"/>
  <c r="BA77" i="1" s="1"/>
  <c r="AE32" i="1"/>
  <c r="BD25" i="1"/>
  <c r="BD22" i="1" a="1"/>
  <c r="BD22" i="1" s="1"/>
  <c r="BC23" i="1"/>
  <c r="BC24" i="1"/>
  <c r="BE12" i="1"/>
  <c r="BD15" i="1"/>
  <c r="BD16" i="1"/>
  <c r="BD14" i="1"/>
  <c r="BB35" i="1" l="1"/>
  <c r="BB77" i="1" s="1"/>
  <c r="Y62" i="1"/>
  <c r="Y63" i="1" s="1"/>
  <c r="Y66" i="1" s="1"/>
  <c r="Y73" i="1" s="1"/>
  <c r="Y74" i="1" s="1"/>
  <c r="Z50" i="1"/>
  <c r="Z51" i="1" s="1"/>
  <c r="AE45" i="1"/>
  <c r="Z55" i="1"/>
  <c r="AA43" i="1"/>
  <c r="AA46" i="1" s="1"/>
  <c r="AE34" i="1"/>
  <c r="AE36" i="1" s="1"/>
  <c r="BE13" i="1"/>
  <c r="BD28" i="1"/>
  <c r="BD41" i="1" s="1"/>
  <c r="BD53" i="1" s="1"/>
  <c r="BD65" i="1" s="1"/>
  <c r="BD71" i="1" s="1"/>
  <c r="BD76" i="1" s="1"/>
  <c r="BC26" i="1"/>
  <c r="BC44" i="1" s="1"/>
  <c r="BC56" i="1" s="1"/>
  <c r="AE33" i="1"/>
  <c r="AF29" i="1" s="1"/>
  <c r="AF30" i="1" s="1"/>
  <c r="BE25" i="1"/>
  <c r="BE22" i="1" a="1"/>
  <c r="BE22" i="1" s="1"/>
  <c r="BD24" i="1"/>
  <c r="BD23" i="1"/>
  <c r="BF12" i="1"/>
  <c r="BE16" i="1"/>
  <c r="BE14" i="1"/>
  <c r="BE15" i="1"/>
  <c r="Y67" i="1" l="1"/>
  <c r="Y78" i="1" s="1"/>
  <c r="Y79" i="1" s="1"/>
  <c r="BD26" i="1"/>
  <c r="BD44" i="1" s="1"/>
  <c r="BD56" i="1" s="1"/>
  <c r="AE37" i="1"/>
  <c r="AA49" i="1"/>
  <c r="AA57" i="1"/>
  <c r="Z58" i="1"/>
  <c r="AA47" i="1"/>
  <c r="AB42" i="1" s="1"/>
  <c r="V48" i="1"/>
  <c r="AE38" i="1"/>
  <c r="AE39" i="1" s="1"/>
  <c r="BC31" i="1"/>
  <c r="BC72" i="1" s="1"/>
  <c r="BC35" i="1"/>
  <c r="BC77" i="1" s="1"/>
  <c r="BF13" i="1"/>
  <c r="BE28" i="1"/>
  <c r="BE41" i="1" s="1"/>
  <c r="BE53" i="1" s="1"/>
  <c r="BE65" i="1" s="1"/>
  <c r="BE71" i="1" s="1"/>
  <c r="BE76" i="1" s="1"/>
  <c r="BD31" i="1"/>
  <c r="BD72" i="1" s="1"/>
  <c r="BD35" i="1"/>
  <c r="BD77" i="1" s="1"/>
  <c r="BE24" i="1"/>
  <c r="BE23" i="1"/>
  <c r="BF25" i="1"/>
  <c r="BF22" i="1" a="1"/>
  <c r="BF22" i="1" s="1"/>
  <c r="AF32" i="1"/>
  <c r="BG12" i="1"/>
  <c r="BF16" i="1"/>
  <c r="BF14" i="1"/>
  <c r="BF15" i="1"/>
  <c r="Y68" i="1" l="1"/>
  <c r="Y69" i="1" s="1"/>
  <c r="AA50" i="1"/>
  <c r="AA51" i="1" s="1"/>
  <c r="Z60" i="1"/>
  <c r="Z61" i="1"/>
  <c r="AF45" i="1"/>
  <c r="Z59" i="1"/>
  <c r="AA54" i="1" s="1"/>
  <c r="AB43" i="1"/>
  <c r="AB46" i="1" s="1"/>
  <c r="AF34" i="1"/>
  <c r="AF36" i="1" s="1"/>
  <c r="BE26" i="1"/>
  <c r="BE44" i="1" s="1"/>
  <c r="BE56" i="1" s="1"/>
  <c r="BG13" i="1"/>
  <c r="BF28" i="1"/>
  <c r="BF41" i="1" s="1"/>
  <c r="BF53" i="1" s="1"/>
  <c r="BF65" i="1" s="1"/>
  <c r="BF71" i="1" s="1"/>
  <c r="BF76" i="1" s="1"/>
  <c r="BF24" i="1"/>
  <c r="BF23" i="1"/>
  <c r="AF33" i="1"/>
  <c r="AG29" i="1" s="1"/>
  <c r="BG22" i="1" a="1"/>
  <c r="BG22" i="1" s="1"/>
  <c r="BG25" i="1"/>
  <c r="BH12" i="1"/>
  <c r="BG15" i="1"/>
  <c r="BG16" i="1"/>
  <c r="BG14" i="1"/>
  <c r="Z62" i="1" l="1"/>
  <c r="Z63" i="1" s="1"/>
  <c r="Z67" i="1" s="1"/>
  <c r="Z78" i="1" s="1"/>
  <c r="Z79" i="1" s="1"/>
  <c r="AF37" i="1"/>
  <c r="AB57" i="1"/>
  <c r="AA55" i="1"/>
  <c r="AA58" i="1" s="1"/>
  <c r="AB47" i="1"/>
  <c r="AC42" i="1" s="1"/>
  <c r="AB49" i="1"/>
  <c r="AF38" i="1"/>
  <c r="AF39" i="1" s="1"/>
  <c r="BE31" i="1"/>
  <c r="BE72" i="1" s="1"/>
  <c r="BF26" i="1"/>
  <c r="BF44" i="1" s="1"/>
  <c r="BF56" i="1" s="1"/>
  <c r="BE35" i="1"/>
  <c r="BE77" i="1" s="1"/>
  <c r="BH13" i="1"/>
  <c r="BG28" i="1"/>
  <c r="BG41" i="1" s="1"/>
  <c r="BG53" i="1" s="1"/>
  <c r="BG65" i="1" s="1"/>
  <c r="BG71" i="1" s="1"/>
  <c r="BG76" i="1" s="1"/>
  <c r="BH22" i="1" a="1"/>
  <c r="BH22" i="1" s="1"/>
  <c r="BH25" i="1"/>
  <c r="BG24" i="1"/>
  <c r="BG23" i="1"/>
  <c r="BG26" i="1" s="1"/>
  <c r="BG44" i="1" s="1"/>
  <c r="BG56" i="1" s="1"/>
  <c r="AG30" i="1"/>
  <c r="BI12" i="1"/>
  <c r="BH16" i="1"/>
  <c r="BH15" i="1"/>
  <c r="BH14" i="1"/>
  <c r="Z66" i="1" l="1"/>
  <c r="Z73" i="1" s="1"/>
  <c r="Z74" i="1" s="1"/>
  <c r="BF31" i="1"/>
  <c r="BF72" i="1" s="1"/>
  <c r="AB50" i="1"/>
  <c r="AB51" i="1" s="1"/>
  <c r="Z68" i="1"/>
  <c r="Z69" i="1" s="1"/>
  <c r="AA60" i="1"/>
  <c r="AA61" i="1"/>
  <c r="AA59" i="1"/>
  <c r="AB54" i="1" s="1"/>
  <c r="AC43" i="1"/>
  <c r="AC46" i="1" s="1"/>
  <c r="W48" i="1"/>
  <c r="BF35" i="1"/>
  <c r="BF77" i="1" s="1"/>
  <c r="BG31" i="1"/>
  <c r="BG72" i="1" s="1"/>
  <c r="BG35" i="1"/>
  <c r="BG77" i="1" s="1"/>
  <c r="BH28" i="1"/>
  <c r="BH41" i="1" s="1"/>
  <c r="BH53" i="1" s="1"/>
  <c r="BH65" i="1" s="1"/>
  <c r="BH71" i="1" s="1"/>
  <c r="BH76" i="1" s="1"/>
  <c r="BI13" i="1"/>
  <c r="BI25" i="1"/>
  <c r="BI22" i="1" a="1"/>
  <c r="BI22" i="1" s="1"/>
  <c r="AG32" i="1"/>
  <c r="BH24" i="1"/>
  <c r="BH23" i="1"/>
  <c r="BJ12" i="1"/>
  <c r="BI16" i="1"/>
  <c r="BI14" i="1"/>
  <c r="BI15" i="1"/>
  <c r="AC57" i="1" l="1"/>
  <c r="AA62" i="1"/>
  <c r="AA63" i="1" s="1"/>
  <c r="AA67" i="1" s="1"/>
  <c r="AA78" i="1" s="1"/>
  <c r="AA79" i="1" s="1"/>
  <c r="BH26" i="1"/>
  <c r="BH44" i="1" s="1"/>
  <c r="BH56" i="1" s="1"/>
  <c r="AB55" i="1"/>
  <c r="AB58" i="1" s="1"/>
  <c r="AG45" i="1"/>
  <c r="AC47" i="1"/>
  <c r="AD42" i="1" s="1"/>
  <c r="AC49" i="1"/>
  <c r="AG34" i="1"/>
  <c r="AG36" i="1" s="1"/>
  <c r="BI28" i="1"/>
  <c r="BI41" i="1" s="1"/>
  <c r="BI53" i="1" s="1"/>
  <c r="BI65" i="1" s="1"/>
  <c r="BI71" i="1" s="1"/>
  <c r="BI76" i="1" s="1"/>
  <c r="BJ13" i="1"/>
  <c r="AG33" i="1"/>
  <c r="AH29" i="1" s="1"/>
  <c r="BJ25" i="1"/>
  <c r="BJ22" i="1" a="1"/>
  <c r="BJ22" i="1" s="1"/>
  <c r="BI24" i="1"/>
  <c r="BI23" i="1"/>
  <c r="BI26" i="1" s="1"/>
  <c r="BI44" i="1" s="1"/>
  <c r="BI56" i="1" s="1"/>
  <c r="BK12" i="1"/>
  <c r="BJ15" i="1"/>
  <c r="BJ14" i="1"/>
  <c r="BJ16" i="1"/>
  <c r="BH35" i="1" l="1"/>
  <c r="BH77" i="1" s="1"/>
  <c r="BH31" i="1"/>
  <c r="BH72" i="1" s="1"/>
  <c r="AG37" i="1"/>
  <c r="AC50" i="1"/>
  <c r="AC51" i="1" s="1"/>
  <c r="AA66" i="1"/>
  <c r="AB60" i="1"/>
  <c r="AB61" i="1"/>
  <c r="AB59" i="1"/>
  <c r="AC54" i="1" s="1"/>
  <c r="AD43" i="1"/>
  <c r="AD46" i="1" s="1"/>
  <c r="AG38" i="1"/>
  <c r="AG39" i="1" s="1"/>
  <c r="BK13" i="1"/>
  <c r="BJ28" i="1"/>
  <c r="BJ41" i="1" s="1"/>
  <c r="BJ53" i="1" s="1"/>
  <c r="BJ65" i="1" s="1"/>
  <c r="BJ71" i="1" s="1"/>
  <c r="BJ76" i="1" s="1"/>
  <c r="BI31" i="1"/>
  <c r="BI72" i="1" s="1"/>
  <c r="BI35" i="1"/>
  <c r="BI77" i="1" s="1"/>
  <c r="AH30" i="1"/>
  <c r="BJ24" i="1"/>
  <c r="BJ23" i="1"/>
  <c r="BJ26" i="1" s="1"/>
  <c r="BJ44" i="1" s="1"/>
  <c r="BJ56" i="1" s="1"/>
  <c r="BL12" i="1"/>
  <c r="BK15" i="1"/>
  <c r="BK25" i="1" s="1"/>
  <c r="BK16" i="1"/>
  <c r="BK14" i="1"/>
  <c r="AB62" i="1" l="1"/>
  <c r="AB63" i="1" s="1"/>
  <c r="AB67" i="1" s="1"/>
  <c r="AB78" i="1" s="1"/>
  <c r="AB79" i="1" s="1"/>
  <c r="AD57" i="1"/>
  <c r="AA68" i="1"/>
  <c r="AA69" i="1" s="1"/>
  <c r="AA73" i="1"/>
  <c r="AA74" i="1" s="1"/>
  <c r="BL42" i="1"/>
  <c r="BL54" i="1"/>
  <c r="AC55" i="1"/>
  <c r="AC58" i="1" s="1"/>
  <c r="AD47" i="1"/>
  <c r="AE42" i="1" s="1"/>
  <c r="AD49" i="1"/>
  <c r="X48" i="1"/>
  <c r="BJ31" i="1"/>
  <c r="BJ72" i="1" s="1"/>
  <c r="BJ35" i="1"/>
  <c r="BJ77" i="1" s="1"/>
  <c r="BK28" i="1"/>
  <c r="BK41" i="1" s="1"/>
  <c r="BK53" i="1" s="1"/>
  <c r="BK65" i="1" s="1"/>
  <c r="BK71" i="1" s="1"/>
  <c r="BK76" i="1" s="1"/>
  <c r="BL13" i="1"/>
  <c r="AH32" i="1"/>
  <c r="BL22" i="1" a="1"/>
  <c r="BL22" i="1" s="1"/>
  <c r="BL25" i="1"/>
  <c r="BL29" i="1"/>
  <c r="BL26" i="1"/>
  <c r="BL44" i="1" s="1"/>
  <c r="BL56" i="1" s="1"/>
  <c r="BM12" i="1"/>
  <c r="BL15" i="1"/>
  <c r="BL16" i="1"/>
  <c r="BL14" i="1"/>
  <c r="AB66" i="1" l="1"/>
  <c r="AB73" i="1" s="1"/>
  <c r="AB74" i="1" s="1"/>
  <c r="AD50" i="1"/>
  <c r="AD51" i="1" s="1"/>
  <c r="AC60" i="1"/>
  <c r="AC61" i="1"/>
  <c r="AH45" i="1"/>
  <c r="AB68" i="1"/>
  <c r="AB69" i="1" s="1"/>
  <c r="BM42" i="1"/>
  <c r="BM54" i="1"/>
  <c r="AC59" i="1"/>
  <c r="AD54" i="1" s="1"/>
  <c r="AE43" i="1"/>
  <c r="AE46" i="1" s="1"/>
  <c r="AH34" i="1"/>
  <c r="AH36" i="1" s="1"/>
  <c r="AH38" i="1" s="1"/>
  <c r="BL31" i="1"/>
  <c r="BL72" i="1" s="1"/>
  <c r="BL35" i="1"/>
  <c r="BL77" i="1" s="1"/>
  <c r="BL28" i="1"/>
  <c r="BL41" i="1" s="1"/>
  <c r="BM13" i="1"/>
  <c r="AH33" i="1"/>
  <c r="AI29" i="1" s="1"/>
  <c r="AI30" i="1" s="1"/>
  <c r="AI32" i="1" s="1"/>
  <c r="BM29" i="1"/>
  <c r="BM25" i="1"/>
  <c r="BM26" i="1"/>
  <c r="BM44" i="1" s="1"/>
  <c r="BM56" i="1" s="1"/>
  <c r="BM22" i="1" a="1"/>
  <c r="BM22" i="1" s="1"/>
  <c r="BL24" i="1"/>
  <c r="BL23" i="1"/>
  <c r="BN12" i="1"/>
  <c r="BM15" i="1"/>
  <c r="BM14" i="1"/>
  <c r="BM16" i="1"/>
  <c r="AH37" i="1" l="1"/>
  <c r="AE57" i="1"/>
  <c r="AC62" i="1"/>
  <c r="AC63" i="1" s="1"/>
  <c r="AC66" i="1" s="1"/>
  <c r="AI45" i="1"/>
  <c r="AD55" i="1"/>
  <c r="AD58" i="1" s="1"/>
  <c r="BL43" i="1"/>
  <c r="BL53" i="1"/>
  <c r="BN42" i="1"/>
  <c r="BN54" i="1"/>
  <c r="AE47" i="1"/>
  <c r="AF42" i="1" s="1"/>
  <c r="AE49" i="1"/>
  <c r="BL30" i="1"/>
  <c r="BL32" i="1" s="1"/>
  <c r="BL34" i="1" s="1"/>
  <c r="BL36" i="1" s="1"/>
  <c r="AI34" i="1"/>
  <c r="AI36" i="1" s="1"/>
  <c r="AH39" i="1"/>
  <c r="BM31" i="1"/>
  <c r="BM72" i="1" s="1"/>
  <c r="BM35" i="1"/>
  <c r="BM77" i="1" s="1"/>
  <c r="BN13" i="1"/>
  <c r="BM28" i="1"/>
  <c r="BM23" i="1"/>
  <c r="BM24" i="1"/>
  <c r="AI33" i="1"/>
  <c r="AJ29" i="1" s="1"/>
  <c r="BN26" i="1"/>
  <c r="BN44" i="1" s="1"/>
  <c r="BN56" i="1" s="1"/>
  <c r="BN25" i="1"/>
  <c r="BN29" i="1"/>
  <c r="BN22" i="1" a="1"/>
  <c r="BN22" i="1" s="1"/>
  <c r="BO12" i="1"/>
  <c r="BN16" i="1"/>
  <c r="BN14" i="1"/>
  <c r="BN15" i="1"/>
  <c r="BL38" i="1" l="1"/>
  <c r="BL39" i="1" s="1"/>
  <c r="AC73" i="1"/>
  <c r="AC74" i="1" s="1"/>
  <c r="AE50" i="1"/>
  <c r="AE51" i="1" s="1"/>
  <c r="AI37" i="1"/>
  <c r="AC67" i="1"/>
  <c r="AC78" i="1" s="1"/>
  <c r="AC79" i="1" s="1"/>
  <c r="AD60" i="1"/>
  <c r="AD61" i="1"/>
  <c r="AD59" i="1"/>
  <c r="AE54" i="1" s="1"/>
  <c r="BO42" i="1"/>
  <c r="BO54" i="1"/>
  <c r="BL45" i="1"/>
  <c r="BL65" i="1"/>
  <c r="BL71" i="1" s="1"/>
  <c r="BL76" i="1" s="1"/>
  <c r="BL55" i="1"/>
  <c r="BL33" i="1"/>
  <c r="AF43" i="1"/>
  <c r="AF46" i="1" s="1"/>
  <c r="Y48" i="1"/>
  <c r="AI38" i="1"/>
  <c r="AI39" i="1" s="1"/>
  <c r="BL37" i="1"/>
  <c r="BM30" i="1"/>
  <c r="BM32" i="1" s="1"/>
  <c r="BM41" i="1"/>
  <c r="BN31" i="1"/>
  <c r="BN72" i="1" s="1"/>
  <c r="BN35" i="1"/>
  <c r="BN77" i="1" s="1"/>
  <c r="BO13" i="1"/>
  <c r="BN28" i="1"/>
  <c r="BN41" i="1" s="1"/>
  <c r="BN53" i="1" s="1"/>
  <c r="BN65" i="1" s="1"/>
  <c r="BN71" i="1" s="1"/>
  <c r="BN76" i="1" s="1"/>
  <c r="AJ30" i="1"/>
  <c r="AJ32" i="1" s="1"/>
  <c r="BN23" i="1"/>
  <c r="BN24" i="1"/>
  <c r="BO26" i="1"/>
  <c r="BO44" i="1" s="1"/>
  <c r="BO56" i="1" s="1"/>
  <c r="BO25" i="1"/>
  <c r="BO29" i="1"/>
  <c r="BO22" i="1" a="1"/>
  <c r="BO22" i="1" s="1"/>
  <c r="BP12" i="1"/>
  <c r="BO16" i="1"/>
  <c r="BO14" i="1"/>
  <c r="BO15" i="1"/>
  <c r="AC68" i="1" l="1"/>
  <c r="AC69" i="1" s="1"/>
  <c r="AF57" i="1"/>
  <c r="AD62" i="1"/>
  <c r="AD63" i="1" s="1"/>
  <c r="AD67" i="1" s="1"/>
  <c r="AD78" i="1" s="1"/>
  <c r="AD79" i="1" s="1"/>
  <c r="AE55" i="1"/>
  <c r="AE58" i="1" s="1"/>
  <c r="BP42" i="1"/>
  <c r="BP54" i="1"/>
  <c r="BM43" i="1"/>
  <c r="BM53" i="1"/>
  <c r="BN55" i="1"/>
  <c r="BM45" i="1"/>
  <c r="AJ45" i="1"/>
  <c r="BL46" i="1"/>
  <c r="AF47" i="1"/>
  <c r="AG42" i="1" s="1"/>
  <c r="AF49" i="1"/>
  <c r="BN43" i="1"/>
  <c r="AJ34" i="1"/>
  <c r="AJ36" i="1" s="1"/>
  <c r="BM34" i="1"/>
  <c r="BM36" i="1" s="1"/>
  <c r="BM33" i="1"/>
  <c r="BN30" i="1"/>
  <c r="BN32" i="1" s="1"/>
  <c r="BO28" i="1"/>
  <c r="BO41" i="1" s="1"/>
  <c r="BP13" i="1"/>
  <c r="BO31" i="1"/>
  <c r="BO72" i="1" s="1"/>
  <c r="BO35" i="1"/>
  <c r="BO77" i="1" s="1"/>
  <c r="BP29" i="1"/>
  <c r="BP26" i="1"/>
  <c r="BP44" i="1" s="1"/>
  <c r="BP56" i="1" s="1"/>
  <c r="BP25" i="1"/>
  <c r="BP22" i="1" a="1"/>
  <c r="BP22" i="1" s="1"/>
  <c r="BO23" i="1"/>
  <c r="BO24" i="1"/>
  <c r="AJ33" i="1"/>
  <c r="AK29" i="1" s="1"/>
  <c r="BQ12" i="1"/>
  <c r="BP14" i="1"/>
  <c r="BP15" i="1"/>
  <c r="BP16" i="1"/>
  <c r="AE59" i="1" l="1"/>
  <c r="AF54" i="1" s="1"/>
  <c r="BL48" i="1"/>
  <c r="AD66" i="1"/>
  <c r="AF50" i="1"/>
  <c r="AF51" i="1" s="1"/>
  <c r="AJ37" i="1"/>
  <c r="BN45" i="1"/>
  <c r="BL49" i="1"/>
  <c r="BL57" i="1"/>
  <c r="BM65" i="1"/>
  <c r="BM71" i="1" s="1"/>
  <c r="BM76" i="1" s="1"/>
  <c r="BM55" i="1"/>
  <c r="BO43" i="1"/>
  <c r="BO53" i="1"/>
  <c r="BQ42" i="1"/>
  <c r="BQ54" i="1"/>
  <c r="AF55" i="1"/>
  <c r="AE61" i="1"/>
  <c r="AE60" i="1"/>
  <c r="BL47" i="1"/>
  <c r="AG43" i="1"/>
  <c r="AG46" i="1" s="1"/>
  <c r="BO30" i="1"/>
  <c r="BO32" i="1" s="1"/>
  <c r="BN34" i="1"/>
  <c r="BN36" i="1" s="1"/>
  <c r="AJ38" i="1"/>
  <c r="AJ39" i="1" s="1"/>
  <c r="BM38" i="1"/>
  <c r="BM39" i="1" s="1"/>
  <c r="BM46" i="1" s="1"/>
  <c r="BM37" i="1"/>
  <c r="BN33" i="1"/>
  <c r="BP31" i="1"/>
  <c r="BP72" i="1" s="1"/>
  <c r="BP35" i="1"/>
  <c r="BP77" i="1" s="1"/>
  <c r="BP28" i="1"/>
  <c r="BP41" i="1" s="1"/>
  <c r="BQ13" i="1"/>
  <c r="BP24" i="1"/>
  <c r="BP23" i="1"/>
  <c r="AK30" i="1"/>
  <c r="BQ29" i="1"/>
  <c r="BQ26" i="1"/>
  <c r="BQ44" i="1" s="1"/>
  <c r="BQ56" i="1" s="1"/>
  <c r="BQ25" i="1"/>
  <c r="BQ22" i="1" a="1"/>
  <c r="BQ22" i="1" s="1"/>
  <c r="BR12" i="1"/>
  <c r="BQ14" i="1"/>
  <c r="BQ15" i="1"/>
  <c r="BQ16" i="1"/>
  <c r="AF58" i="1" l="1"/>
  <c r="AF59" i="1" s="1"/>
  <c r="AG54" i="1" s="1"/>
  <c r="AG55" i="1" s="1"/>
  <c r="BM57" i="1"/>
  <c r="BN38" i="1"/>
  <c r="BN39" i="1" s="1"/>
  <c r="BN46" i="1" s="1"/>
  <c r="AD68" i="1"/>
  <c r="AD69" i="1" s="1"/>
  <c r="AD73" i="1"/>
  <c r="AD74" i="1" s="1"/>
  <c r="AG57" i="1"/>
  <c r="BL50" i="1"/>
  <c r="BL51" i="1" s="1"/>
  <c r="BL58" i="1" s="1"/>
  <c r="AE62" i="1"/>
  <c r="AE63" i="1" s="1"/>
  <c r="AE66" i="1" s="1"/>
  <c r="BO45" i="1"/>
  <c r="BR42" i="1"/>
  <c r="BR54" i="1"/>
  <c r="BO65" i="1"/>
  <c r="BO71" i="1" s="1"/>
  <c r="BO76" i="1" s="1"/>
  <c r="BO55" i="1"/>
  <c r="BP43" i="1"/>
  <c r="BP53" i="1"/>
  <c r="BM47" i="1"/>
  <c r="BM49" i="1"/>
  <c r="BN47" i="1"/>
  <c r="AG47" i="1"/>
  <c r="AH42" i="1" s="1"/>
  <c r="AG49" i="1"/>
  <c r="BP30" i="1"/>
  <c r="BP32" i="1" s="1"/>
  <c r="BP34" i="1" s="1"/>
  <c r="BP36" i="1" s="1"/>
  <c r="Z48" i="1"/>
  <c r="BM48" i="1"/>
  <c r="BN37" i="1"/>
  <c r="BO34" i="1"/>
  <c r="BO36" i="1" s="1"/>
  <c r="BO38" i="1"/>
  <c r="BR13" i="1"/>
  <c r="BQ28" i="1"/>
  <c r="BQ41" i="1" s="1"/>
  <c r="BQ31" i="1"/>
  <c r="BQ72" i="1" s="1"/>
  <c r="BQ35" i="1"/>
  <c r="BQ77" i="1" s="1"/>
  <c r="BO33" i="1"/>
  <c r="AK32" i="1"/>
  <c r="BR29" i="1"/>
  <c r="BR25" i="1"/>
  <c r="BR22" i="1" a="1"/>
  <c r="BR22" i="1" s="1"/>
  <c r="BR26" i="1"/>
  <c r="BR44" i="1" s="1"/>
  <c r="BR56" i="1" s="1"/>
  <c r="BQ23" i="1"/>
  <c r="BQ24" i="1"/>
  <c r="BS12" i="1"/>
  <c r="BR14" i="1"/>
  <c r="BR15" i="1"/>
  <c r="BR16" i="1"/>
  <c r="AF61" i="1" l="1"/>
  <c r="AF62" i="1" s="1"/>
  <c r="AF63" i="1" s="1"/>
  <c r="AF66" i="1" s="1"/>
  <c r="AF60" i="1"/>
  <c r="AE67" i="1"/>
  <c r="AE78" i="1" s="1"/>
  <c r="AE79" i="1" s="1"/>
  <c r="BL59" i="1"/>
  <c r="BM50" i="1"/>
  <c r="BM51" i="1" s="1"/>
  <c r="BM58" i="1" s="1"/>
  <c r="BM59" i="1" s="1"/>
  <c r="AE73" i="1"/>
  <c r="AE74" i="1" s="1"/>
  <c r="BP38" i="1"/>
  <c r="BP39" i="1" s="1"/>
  <c r="BN57" i="1"/>
  <c r="BO37" i="1"/>
  <c r="AG50" i="1"/>
  <c r="AG51" i="1" s="1"/>
  <c r="AG58" i="1" s="1"/>
  <c r="BN49" i="1"/>
  <c r="AK45" i="1"/>
  <c r="BP45" i="1"/>
  <c r="BP33" i="1"/>
  <c r="BL60" i="1"/>
  <c r="BL61" i="1"/>
  <c r="BP65" i="1"/>
  <c r="BP71" i="1" s="1"/>
  <c r="BP76" i="1" s="1"/>
  <c r="BP55" i="1"/>
  <c r="BS42" i="1"/>
  <c r="BS54" i="1"/>
  <c r="BQ43" i="1"/>
  <c r="BQ53" i="1"/>
  <c r="AH43" i="1"/>
  <c r="AH46" i="1" s="1"/>
  <c r="BQ30" i="1"/>
  <c r="BQ32" i="1" s="1"/>
  <c r="BN48" i="1"/>
  <c r="BP37" i="1"/>
  <c r="AK34" i="1"/>
  <c r="AK36" i="1" s="1"/>
  <c r="BO39" i="1"/>
  <c r="BO46" i="1" s="1"/>
  <c r="BR28" i="1"/>
  <c r="BR41" i="1" s="1"/>
  <c r="BS13" i="1"/>
  <c r="BR31" i="1"/>
  <c r="BR72" i="1" s="1"/>
  <c r="BR35" i="1"/>
  <c r="BR77" i="1" s="1"/>
  <c r="BR23" i="1"/>
  <c r="BR24" i="1"/>
  <c r="BS29" i="1"/>
  <c r="BS25" i="1"/>
  <c r="BS22" i="1" a="1"/>
  <c r="BS22" i="1" s="1"/>
  <c r="BS26" i="1"/>
  <c r="BS44" i="1" s="1"/>
  <c r="BS56" i="1" s="1"/>
  <c r="AK33" i="1"/>
  <c r="AL29" i="1" s="1"/>
  <c r="BT12" i="1"/>
  <c r="BS15" i="1"/>
  <c r="BS16" i="1"/>
  <c r="BS14" i="1"/>
  <c r="BM60" i="1" l="1"/>
  <c r="AE68" i="1"/>
  <c r="AE69" i="1" s="1"/>
  <c r="AF67" i="1"/>
  <c r="AF78" i="1" s="1"/>
  <c r="AF79" i="1" s="1"/>
  <c r="BP46" i="1"/>
  <c r="BP48" i="1" s="1"/>
  <c r="AG59" i="1"/>
  <c r="AH54" i="1" s="1"/>
  <c r="AH55" i="1" s="1"/>
  <c r="AG60" i="1"/>
  <c r="AG61" i="1"/>
  <c r="AF73" i="1"/>
  <c r="AF74" i="1" s="1"/>
  <c r="BL62" i="1"/>
  <c r="BL63" i="1" s="1"/>
  <c r="BL67" i="1" s="1"/>
  <c r="BL78" i="1" s="1"/>
  <c r="BL79" i="1" s="1"/>
  <c r="BN50" i="1"/>
  <c r="BN51" i="1" s="1"/>
  <c r="BN58" i="1" s="1"/>
  <c r="AH57" i="1"/>
  <c r="BQ33" i="1"/>
  <c r="AK37" i="1"/>
  <c r="BQ34" i="1"/>
  <c r="BQ36" i="1" s="1"/>
  <c r="BO57" i="1"/>
  <c r="BM61" i="1"/>
  <c r="BP47" i="1"/>
  <c r="BP57" i="1"/>
  <c r="BP49" i="1"/>
  <c r="BT42" i="1"/>
  <c r="BT54" i="1"/>
  <c r="BR43" i="1"/>
  <c r="BR53" i="1"/>
  <c r="BQ65" i="1"/>
  <c r="BQ71" i="1" s="1"/>
  <c r="BQ76" i="1" s="1"/>
  <c r="BQ55" i="1"/>
  <c r="BQ45" i="1"/>
  <c r="AH47" i="1"/>
  <c r="AI42" i="1" s="1"/>
  <c r="AH49" i="1"/>
  <c r="BO47" i="1"/>
  <c r="BO49" i="1"/>
  <c r="BR30" i="1"/>
  <c r="BR32" i="1" s="1"/>
  <c r="BR34" i="1" s="1"/>
  <c r="BR36" i="1" s="1"/>
  <c r="AK38" i="1"/>
  <c r="AK39" i="1" s="1"/>
  <c r="BO48" i="1"/>
  <c r="BS31" i="1"/>
  <c r="BS72" i="1" s="1"/>
  <c r="BS35" i="1"/>
  <c r="BS77" i="1" s="1"/>
  <c r="BT13" i="1"/>
  <c r="BS28" i="1"/>
  <c r="BS41" i="1" s="1"/>
  <c r="BS23" i="1"/>
  <c r="BS24" i="1"/>
  <c r="BT26" i="1"/>
  <c r="BT44" i="1" s="1"/>
  <c r="BT56" i="1" s="1"/>
  <c r="BT25" i="1"/>
  <c r="BT29" i="1"/>
  <c r="BT22" i="1" a="1"/>
  <c r="BT22" i="1" s="1"/>
  <c r="AL30" i="1"/>
  <c r="AL32" i="1" s="1"/>
  <c r="BU12" i="1"/>
  <c r="BT15" i="1"/>
  <c r="BT14" i="1"/>
  <c r="BT16" i="1"/>
  <c r="BL66" i="1" l="1"/>
  <c r="BL68" i="1" s="1"/>
  <c r="BL69" i="1" s="1"/>
  <c r="AF68" i="1"/>
  <c r="AF69" i="1" s="1"/>
  <c r="BN61" i="1"/>
  <c r="BN60" i="1"/>
  <c r="AH50" i="1"/>
  <c r="AH51" i="1" s="1"/>
  <c r="AH58" i="1" s="1"/>
  <c r="AH59" i="1" s="1"/>
  <c r="AI54" i="1" s="1"/>
  <c r="BO50" i="1"/>
  <c r="BO51" i="1" s="1"/>
  <c r="BO58" i="1" s="1"/>
  <c r="BM62" i="1"/>
  <c r="BM63" i="1" s="1"/>
  <c r="BQ38" i="1"/>
  <c r="BQ39" i="1" s="1"/>
  <c r="BQ46" i="1" s="1"/>
  <c r="BQ37" i="1"/>
  <c r="AG62" i="1"/>
  <c r="AG63" i="1" s="1"/>
  <c r="BN59" i="1"/>
  <c r="BR38" i="1"/>
  <c r="BR39" i="1" s="1"/>
  <c r="BP50" i="1"/>
  <c r="BP51" i="1" s="1"/>
  <c r="BP58" i="1" s="1"/>
  <c r="BS43" i="1"/>
  <c r="BS53" i="1"/>
  <c r="AH61" i="1"/>
  <c r="AH62" i="1" s="1"/>
  <c r="AH63" i="1" s="1"/>
  <c r="BU42" i="1"/>
  <c r="BU54" i="1"/>
  <c r="BR33" i="1"/>
  <c r="AL45" i="1"/>
  <c r="BR45" i="1"/>
  <c r="BR65" i="1"/>
  <c r="BR71" i="1" s="1"/>
  <c r="BR76" i="1" s="1"/>
  <c r="BR55" i="1"/>
  <c r="AI43" i="1"/>
  <c r="AI46" i="1" s="1"/>
  <c r="BS30" i="1"/>
  <c r="BS32" i="1" s="1"/>
  <c r="AA48" i="1"/>
  <c r="BR37" i="1"/>
  <c r="AL34" i="1"/>
  <c r="AL36" i="1" s="1"/>
  <c r="BT31" i="1"/>
  <c r="BT72" i="1" s="1"/>
  <c r="BT35" i="1"/>
  <c r="BT77" i="1" s="1"/>
  <c r="BU13" i="1"/>
  <c r="BT28" i="1"/>
  <c r="BT41" i="1" s="1"/>
  <c r="BT23" i="1"/>
  <c r="BT24" i="1"/>
  <c r="BU26" i="1"/>
  <c r="BU44" i="1" s="1"/>
  <c r="BU56" i="1" s="1"/>
  <c r="BU25" i="1"/>
  <c r="BU29" i="1"/>
  <c r="BU22" i="1" a="1"/>
  <c r="BU22" i="1" s="1"/>
  <c r="AL33" i="1"/>
  <c r="AM29" i="1" s="1"/>
  <c r="BV12" i="1"/>
  <c r="BU16" i="1"/>
  <c r="BU14" i="1"/>
  <c r="BU15" i="1"/>
  <c r="BL73" i="1" l="1"/>
  <c r="BL74" i="1" s="1"/>
  <c r="AH60" i="1"/>
  <c r="BQ57" i="1"/>
  <c r="BQ48" i="1"/>
  <c r="BQ49" i="1"/>
  <c r="BQ47" i="1"/>
  <c r="AI57" i="1"/>
  <c r="BO59" i="1"/>
  <c r="AL37" i="1"/>
  <c r="BO61" i="1"/>
  <c r="AG66" i="1"/>
  <c r="AG67" i="1"/>
  <c r="AG78" i="1" s="1"/>
  <c r="AG79" i="1" s="1"/>
  <c r="BN62" i="1"/>
  <c r="BN63" i="1" s="1"/>
  <c r="BM66" i="1"/>
  <c r="BM67" i="1"/>
  <c r="BM78" i="1" s="1"/>
  <c r="BM79" i="1" s="1"/>
  <c r="BO60" i="1"/>
  <c r="BR46" i="1"/>
  <c r="BS65" i="1"/>
  <c r="BS71" i="1" s="1"/>
  <c r="BS76" i="1" s="1"/>
  <c r="BS55" i="1"/>
  <c r="BS45" i="1"/>
  <c r="BP60" i="1"/>
  <c r="BP61" i="1"/>
  <c r="AH67" i="1"/>
  <c r="AH78" i="1" s="1"/>
  <c r="AH79" i="1" s="1"/>
  <c r="AH66" i="1"/>
  <c r="AH68" i="1" s="1"/>
  <c r="AH69" i="1" s="1"/>
  <c r="BT43" i="1"/>
  <c r="BT53" i="1"/>
  <c r="AI55" i="1"/>
  <c r="BP59" i="1"/>
  <c r="BV42" i="1"/>
  <c r="BV54" i="1"/>
  <c r="AI47" i="1"/>
  <c r="AJ42" i="1" s="1"/>
  <c r="AI49" i="1"/>
  <c r="BT30" i="1"/>
  <c r="BT32" i="1" s="1"/>
  <c r="AL38" i="1"/>
  <c r="AL39" i="1" s="1"/>
  <c r="BS34" i="1"/>
  <c r="BS36" i="1" s="1"/>
  <c r="BU31" i="1"/>
  <c r="BU72" i="1" s="1"/>
  <c r="BU35" i="1"/>
  <c r="BU77" i="1" s="1"/>
  <c r="BV13" i="1"/>
  <c r="BU28" i="1"/>
  <c r="BU41" i="1" s="1"/>
  <c r="BV26" i="1"/>
  <c r="BV44" i="1" s="1"/>
  <c r="BV56" i="1" s="1"/>
  <c r="BV25" i="1"/>
  <c r="BV22" i="1" a="1"/>
  <c r="BV22" i="1" s="1"/>
  <c r="BV29" i="1"/>
  <c r="BU24" i="1"/>
  <c r="BU23" i="1"/>
  <c r="AM30" i="1"/>
  <c r="AM32" i="1" s="1"/>
  <c r="BS33" i="1"/>
  <c r="BW12" i="1"/>
  <c r="BV15" i="1"/>
  <c r="BV16" i="1"/>
  <c r="BV14" i="1"/>
  <c r="BU30" i="1" l="1"/>
  <c r="BU32" i="1" s="1"/>
  <c r="BU34" i="1" s="1"/>
  <c r="BU36" i="1" s="1"/>
  <c r="AH73" i="1"/>
  <c r="AH74" i="1" s="1"/>
  <c r="AI50" i="1"/>
  <c r="AI51" i="1" s="1"/>
  <c r="BM68" i="1"/>
  <c r="BM69" i="1" s="1"/>
  <c r="BM73" i="1"/>
  <c r="BM74" i="1" s="1"/>
  <c r="BO62" i="1"/>
  <c r="BO63" i="1" s="1"/>
  <c r="BP62" i="1"/>
  <c r="BP63" i="1" s="1"/>
  <c r="BP67" i="1" s="1"/>
  <c r="BP78" i="1" s="1"/>
  <c r="BP79" i="1" s="1"/>
  <c r="BN67" i="1"/>
  <c r="BN78" i="1" s="1"/>
  <c r="BN79" i="1" s="1"/>
  <c r="BN66" i="1"/>
  <c r="BS37" i="1"/>
  <c r="BQ50" i="1"/>
  <c r="BQ51" i="1" s="1"/>
  <c r="BQ58" i="1" s="1"/>
  <c r="AG68" i="1"/>
  <c r="AG69" i="1" s="1"/>
  <c r="AG73" i="1"/>
  <c r="AG74" i="1" s="1"/>
  <c r="BR48" i="1"/>
  <c r="AM45" i="1"/>
  <c r="BT45" i="1"/>
  <c r="BT34" i="1"/>
  <c r="BT36" i="1" s="1"/>
  <c r="BT38" i="1" s="1"/>
  <c r="BR57" i="1"/>
  <c r="BR49" i="1"/>
  <c r="BT33" i="1"/>
  <c r="AI58" i="1"/>
  <c r="BW42" i="1"/>
  <c r="BW54" i="1"/>
  <c r="BU43" i="1"/>
  <c r="BU53" i="1"/>
  <c r="BT65" i="1"/>
  <c r="BT71" i="1" s="1"/>
  <c r="BT76" i="1" s="1"/>
  <c r="BT55" i="1"/>
  <c r="BR47" i="1"/>
  <c r="AJ43" i="1"/>
  <c r="AJ46" i="1" s="1"/>
  <c r="BS38" i="1"/>
  <c r="BS39" i="1" s="1"/>
  <c r="BS46" i="1" s="1"/>
  <c r="AM34" i="1"/>
  <c r="AM36" i="1" s="1"/>
  <c r="BT37" i="1"/>
  <c r="BV31" i="1"/>
  <c r="BV72" i="1" s="1"/>
  <c r="BV35" i="1"/>
  <c r="BV77" i="1" s="1"/>
  <c r="BW13" i="1"/>
  <c r="BV28" i="1"/>
  <c r="BV41" i="1" s="1"/>
  <c r="BV24" i="1"/>
  <c r="BV23" i="1"/>
  <c r="AM33" i="1"/>
  <c r="AN29" i="1" s="1"/>
  <c r="BW25" i="1"/>
  <c r="BW22" i="1" a="1"/>
  <c r="BW22" i="1" s="1"/>
  <c r="BW29" i="1"/>
  <c r="BW26" i="1"/>
  <c r="BW44" i="1" s="1"/>
  <c r="BW56" i="1" s="1"/>
  <c r="BX12" i="1"/>
  <c r="BW15" i="1"/>
  <c r="BW16" i="1"/>
  <c r="BW14" i="1"/>
  <c r="BK22" i="1" s="1" a="1"/>
  <c r="BK22" i="1" s="1"/>
  <c r="BU33" i="1" l="1"/>
  <c r="BU45" i="1"/>
  <c r="BV30" i="1"/>
  <c r="BV32" i="1" s="1"/>
  <c r="BV34" i="1" s="1"/>
  <c r="BV36" i="1" s="1"/>
  <c r="AM37" i="1"/>
  <c r="BO66" i="1"/>
  <c r="BO67" i="1"/>
  <c r="BO78" i="1" s="1"/>
  <c r="BO79" i="1" s="1"/>
  <c r="BQ61" i="1"/>
  <c r="BQ59" i="1"/>
  <c r="BQ60" i="1"/>
  <c r="BP66" i="1"/>
  <c r="BN68" i="1"/>
  <c r="BN69" i="1" s="1"/>
  <c r="BN73" i="1"/>
  <c r="BN74" i="1" s="1"/>
  <c r="BS57" i="1"/>
  <c r="BR50" i="1"/>
  <c r="BR51" i="1" s="1"/>
  <c r="BR58" i="1" s="1"/>
  <c r="AJ57" i="1"/>
  <c r="BU65" i="1"/>
  <c r="BU71" i="1" s="1"/>
  <c r="BU76" i="1" s="1"/>
  <c r="BU55" i="1"/>
  <c r="AI60" i="1"/>
  <c r="AI61" i="1"/>
  <c r="AI59" i="1"/>
  <c r="AJ54" i="1" s="1"/>
  <c r="BX42" i="1"/>
  <c r="BX54" i="1"/>
  <c r="BV43" i="1"/>
  <c r="BV53" i="1"/>
  <c r="AJ47" i="1"/>
  <c r="AK42" i="1" s="1"/>
  <c r="AJ49" i="1"/>
  <c r="BS47" i="1"/>
  <c r="BS49" i="1"/>
  <c r="AM38" i="1"/>
  <c r="AM39" i="1" s="1"/>
  <c r="AB48" i="1"/>
  <c r="BS48" i="1"/>
  <c r="BU37" i="1"/>
  <c r="BU38" i="1"/>
  <c r="BT39" i="1"/>
  <c r="BT46" i="1" s="1"/>
  <c r="BW31" i="1"/>
  <c r="BW72" i="1" s="1"/>
  <c r="BW35" i="1"/>
  <c r="BW77" i="1" s="1"/>
  <c r="BX13" i="1"/>
  <c r="BW28" i="1"/>
  <c r="BW41" i="1" s="1"/>
  <c r="BK24" i="1"/>
  <c r="BK26" i="1" s="1"/>
  <c r="BK44" i="1" s="1"/>
  <c r="BK56" i="1" s="1"/>
  <c r="BK23" i="1"/>
  <c r="BX22" i="1" a="1"/>
  <c r="BX22" i="1" s="1"/>
  <c r="BX25" i="1"/>
  <c r="BX26" i="1"/>
  <c r="BX44" i="1" s="1"/>
  <c r="BX56" i="1" s="1"/>
  <c r="BX29" i="1"/>
  <c r="BW24" i="1"/>
  <c r="BW23" i="1"/>
  <c r="AN30" i="1"/>
  <c r="AN32" i="1" s="1"/>
  <c r="BY12" i="1"/>
  <c r="BX15" i="1"/>
  <c r="BX16" i="1"/>
  <c r="BX14" i="1"/>
  <c r="BV45" i="1" l="1"/>
  <c r="BV33" i="1"/>
  <c r="BT57" i="1"/>
  <c r="BS50" i="1"/>
  <c r="BS51" i="1" s="1"/>
  <c r="BS58" i="1" s="1"/>
  <c r="AI62" i="1"/>
  <c r="AI63" i="1" s="1"/>
  <c r="AI66" i="1" s="1"/>
  <c r="BO73" i="1"/>
  <c r="BO74" i="1" s="1"/>
  <c r="BO68" i="1"/>
  <c r="BO69" i="1" s="1"/>
  <c r="BQ62" i="1"/>
  <c r="BQ63" i="1" s="1"/>
  <c r="AJ50" i="1"/>
  <c r="AJ51" i="1" s="1"/>
  <c r="BP68" i="1"/>
  <c r="BP69" i="1" s="1"/>
  <c r="BP73" i="1"/>
  <c r="BP74" i="1" s="1"/>
  <c r="AJ55" i="1"/>
  <c r="BV65" i="1"/>
  <c r="BV71" i="1" s="1"/>
  <c r="BV76" i="1" s="1"/>
  <c r="BV55" i="1"/>
  <c r="BY42" i="1"/>
  <c r="BY54" i="1"/>
  <c r="BW43" i="1"/>
  <c r="BW53" i="1"/>
  <c r="BR60" i="1"/>
  <c r="BR61" i="1"/>
  <c r="AN45" i="1"/>
  <c r="BR59" i="1"/>
  <c r="AK43" i="1"/>
  <c r="AK46" i="1" s="1"/>
  <c r="BT47" i="1"/>
  <c r="BT49" i="1"/>
  <c r="BW30" i="1"/>
  <c r="BW32" i="1" s="1"/>
  <c r="BW34" i="1" s="1"/>
  <c r="BW36" i="1" s="1"/>
  <c r="AN34" i="1"/>
  <c r="AN36" i="1" s="1"/>
  <c r="BV37" i="1"/>
  <c r="BV38" i="1"/>
  <c r="BU39" i="1"/>
  <c r="BU46" i="1" s="1"/>
  <c r="BX31" i="1"/>
  <c r="BX72" i="1" s="1"/>
  <c r="BX35" i="1"/>
  <c r="BX77" i="1" s="1"/>
  <c r="BK31" i="1"/>
  <c r="BK72" i="1" s="1"/>
  <c r="BK35" i="1"/>
  <c r="BK77" i="1" s="1"/>
  <c r="BX28" i="1"/>
  <c r="BY13" i="1"/>
  <c r="BX23" i="1"/>
  <c r="BX24" i="1"/>
  <c r="BY22" i="1" a="1"/>
  <c r="BY22" i="1" s="1"/>
  <c r="BY26" i="1"/>
  <c r="BY44" i="1" s="1"/>
  <c r="BY56" i="1" s="1"/>
  <c r="BY29" i="1"/>
  <c r="BY25" i="1"/>
  <c r="AN33" i="1"/>
  <c r="AO29" i="1" s="1"/>
  <c r="BZ12" i="1"/>
  <c r="BY15" i="1"/>
  <c r="BY14" i="1"/>
  <c r="BY16" i="1"/>
  <c r="AJ58" i="1" l="1"/>
  <c r="AJ59" i="1" s="1"/>
  <c r="AK54" i="1" s="1"/>
  <c r="BW33" i="1"/>
  <c r="AI73" i="1"/>
  <c r="AI74" i="1" s="1"/>
  <c r="BQ66" i="1"/>
  <c r="BQ67" i="1"/>
  <c r="BQ78" i="1" s="1"/>
  <c r="BQ79" i="1" s="1"/>
  <c r="BR62" i="1"/>
  <c r="BR63" i="1" s="1"/>
  <c r="BR67" i="1" s="1"/>
  <c r="BR78" i="1" s="1"/>
  <c r="BR79" i="1" s="1"/>
  <c r="AK57" i="1"/>
  <c r="AI67" i="1"/>
  <c r="AI78" i="1" s="1"/>
  <c r="AI79" i="1" s="1"/>
  <c r="BU57" i="1"/>
  <c r="BW38" i="1"/>
  <c r="BW39" i="1" s="1"/>
  <c r="BW46" i="1" s="1"/>
  <c r="BW47" i="1" s="1"/>
  <c r="AN37" i="1"/>
  <c r="BS61" i="1"/>
  <c r="BS59" i="1"/>
  <c r="BT50" i="1"/>
  <c r="BT51" i="1" s="1"/>
  <c r="BT58" i="1" s="1"/>
  <c r="BT61" i="1" s="1"/>
  <c r="BT62" i="1" s="1"/>
  <c r="BT63" i="1" s="1"/>
  <c r="BS60" i="1"/>
  <c r="BW45" i="1"/>
  <c r="AK55" i="1"/>
  <c r="BZ42" i="1"/>
  <c r="BZ54" i="1"/>
  <c r="AJ60" i="1"/>
  <c r="AJ61" i="1"/>
  <c r="BW65" i="1"/>
  <c r="BW71" i="1" s="1"/>
  <c r="BW76" i="1" s="1"/>
  <c r="BW55" i="1"/>
  <c r="BU47" i="1"/>
  <c r="BU49" i="1"/>
  <c r="AK47" i="1"/>
  <c r="AL42" i="1" s="1"/>
  <c r="AK49" i="1"/>
  <c r="AN38" i="1"/>
  <c r="AN39" i="1" s="1"/>
  <c r="BT48" i="1"/>
  <c r="BW37" i="1"/>
  <c r="BX30" i="1"/>
  <c r="BX32" i="1" s="1"/>
  <c r="BX41" i="1"/>
  <c r="BV39" i="1"/>
  <c r="BV46" i="1" s="1"/>
  <c r="BZ13" i="1"/>
  <c r="BY28" i="1"/>
  <c r="BY41" i="1" s="1"/>
  <c r="BY53" i="1" s="1"/>
  <c r="BY65" i="1" s="1"/>
  <c r="BY71" i="1" s="1"/>
  <c r="BY76" i="1" s="1"/>
  <c r="BY31" i="1"/>
  <c r="BY72" i="1" s="1"/>
  <c r="BY35" i="1"/>
  <c r="BY77" i="1" s="1"/>
  <c r="AO30" i="1"/>
  <c r="AO32" i="1" s="1"/>
  <c r="BY24" i="1"/>
  <c r="BY23" i="1"/>
  <c r="BZ29" i="1"/>
  <c r="BZ22" i="1" a="1"/>
  <c r="BZ22" i="1" s="1"/>
  <c r="BZ26" i="1"/>
  <c r="BZ44" i="1" s="1"/>
  <c r="BZ56" i="1" s="1"/>
  <c r="BZ25" i="1"/>
  <c r="CA12" i="1"/>
  <c r="BZ16" i="1"/>
  <c r="BZ14" i="1"/>
  <c r="BZ15" i="1"/>
  <c r="AK50" i="1" l="1"/>
  <c r="AK51" i="1" s="1"/>
  <c r="AK58" i="1" s="1"/>
  <c r="BR66" i="1"/>
  <c r="BR73" i="1" s="1"/>
  <c r="BR74" i="1" s="1"/>
  <c r="BS62" i="1"/>
  <c r="BS63" i="1" s="1"/>
  <c r="BQ68" i="1"/>
  <c r="BQ69" i="1" s="1"/>
  <c r="BQ73" i="1"/>
  <c r="BQ74" i="1" s="1"/>
  <c r="BU50" i="1"/>
  <c r="BU51" i="1" s="1"/>
  <c r="BU58" i="1" s="1"/>
  <c r="BT59" i="1"/>
  <c r="BT60" i="1"/>
  <c r="BV57" i="1"/>
  <c r="AJ62" i="1"/>
  <c r="AJ63" i="1" s="1"/>
  <c r="AJ67" i="1" s="1"/>
  <c r="AJ78" i="1" s="1"/>
  <c r="AJ79" i="1" s="1"/>
  <c r="AI68" i="1"/>
  <c r="AI69" i="1" s="1"/>
  <c r="BX45" i="1"/>
  <c r="BT66" i="1"/>
  <c r="BT73" i="1" s="1"/>
  <c r="BT74" i="1" s="1"/>
  <c r="BT67" i="1"/>
  <c r="BT78" i="1" s="1"/>
  <c r="BT79" i="1" s="1"/>
  <c r="BW57" i="1"/>
  <c r="AO45" i="1"/>
  <c r="BW49" i="1"/>
  <c r="CA42" i="1"/>
  <c r="CA54" i="1"/>
  <c r="BX43" i="1"/>
  <c r="BX53" i="1"/>
  <c r="BV47" i="1"/>
  <c r="BV49" i="1"/>
  <c r="AL43" i="1"/>
  <c r="AL46" i="1" s="1"/>
  <c r="BY30" i="1"/>
  <c r="BY32" i="1" s="1"/>
  <c r="BY34" i="1" s="1"/>
  <c r="BY36" i="1" s="1"/>
  <c r="BY43" i="1"/>
  <c r="AC48" i="1"/>
  <c r="BW48" i="1"/>
  <c r="BX33" i="1"/>
  <c r="BU48" i="1"/>
  <c r="BX34" i="1"/>
  <c r="BX36" i="1" s="1"/>
  <c r="CA13" i="1"/>
  <c r="BZ28" i="1"/>
  <c r="BZ41" i="1" s="1"/>
  <c r="BZ31" i="1"/>
  <c r="BZ72" i="1" s="1"/>
  <c r="BZ35" i="1"/>
  <c r="BZ77" i="1" s="1"/>
  <c r="AO34" i="1"/>
  <c r="AO36" i="1" s="1"/>
  <c r="AO33" i="1"/>
  <c r="AP29" i="1" s="1"/>
  <c r="CA26" i="1"/>
  <c r="CA44" i="1" s="1"/>
  <c r="CA56" i="1" s="1"/>
  <c r="CA22" i="1" a="1"/>
  <c r="CA22" i="1" s="1"/>
  <c r="CA29" i="1"/>
  <c r="CA25" i="1"/>
  <c r="BZ24" i="1"/>
  <c r="BZ23" i="1"/>
  <c r="CB12" i="1"/>
  <c r="CA15" i="1"/>
  <c r="CA14" i="1"/>
  <c r="CA16" i="1"/>
  <c r="BY38" i="1" l="1"/>
  <c r="BY39" i="1" s="1"/>
  <c r="AL57" i="1"/>
  <c r="BU59" i="1"/>
  <c r="BS67" i="1"/>
  <c r="BS78" i="1" s="1"/>
  <c r="BS79" i="1" s="1"/>
  <c r="BS66" i="1"/>
  <c r="BV50" i="1"/>
  <c r="BV51" i="1" s="1"/>
  <c r="BV58" i="1" s="1"/>
  <c r="BV59" i="1" s="1"/>
  <c r="BW50" i="1"/>
  <c r="BW51" i="1" s="1"/>
  <c r="BW58" i="1" s="1"/>
  <c r="BW60" i="1" s="1"/>
  <c r="BY33" i="1"/>
  <c r="BR68" i="1"/>
  <c r="BR69" i="1" s="1"/>
  <c r="AJ66" i="1"/>
  <c r="BX38" i="1"/>
  <c r="BX39" i="1" s="1"/>
  <c r="BX46" i="1" s="1"/>
  <c r="BU61" i="1"/>
  <c r="BU60" i="1"/>
  <c r="BX65" i="1"/>
  <c r="BX71" i="1" s="1"/>
  <c r="BX76" i="1" s="1"/>
  <c r="BX55" i="1"/>
  <c r="BY55" i="1"/>
  <c r="BY45" i="1"/>
  <c r="BZ43" i="1"/>
  <c r="BZ53" i="1"/>
  <c r="AK60" i="1"/>
  <c r="AK61" i="1"/>
  <c r="AK59" i="1"/>
  <c r="AL54" i="1" s="1"/>
  <c r="BT68" i="1"/>
  <c r="BT69" i="1" s="1"/>
  <c r="CB42" i="1"/>
  <c r="CB54" i="1"/>
  <c r="AL47" i="1"/>
  <c r="AM42" i="1" s="1"/>
  <c r="AL49" i="1"/>
  <c r="BZ30" i="1"/>
  <c r="BZ32" i="1" s="1"/>
  <c r="BX37" i="1"/>
  <c r="BY37" i="1"/>
  <c r="BV48" i="1"/>
  <c r="AO37" i="1"/>
  <c r="AO38" i="1"/>
  <c r="CA31" i="1"/>
  <c r="CA72" i="1" s="1"/>
  <c r="CA35" i="1"/>
  <c r="CA77" i="1" s="1"/>
  <c r="CA28" i="1"/>
  <c r="CA41" i="1" s="1"/>
  <c r="CB13" i="1"/>
  <c r="CA24" i="1"/>
  <c r="CA23" i="1"/>
  <c r="CB29" i="1"/>
  <c r="CB26" i="1"/>
  <c r="CB44" i="1" s="1"/>
  <c r="CB56" i="1" s="1"/>
  <c r="CB22" i="1" a="1"/>
  <c r="CB22" i="1" s="1"/>
  <c r="CB25" i="1"/>
  <c r="AP30" i="1"/>
  <c r="AP32" i="1" s="1"/>
  <c r="CC12" i="1"/>
  <c r="CB14" i="1"/>
  <c r="CB16" i="1"/>
  <c r="CB15" i="1"/>
  <c r="BZ33" i="1" l="1"/>
  <c r="BY46" i="1"/>
  <c r="BY57" i="1" s="1"/>
  <c r="BV61" i="1"/>
  <c r="BV62" i="1" s="1"/>
  <c r="BV63" i="1" s="1"/>
  <c r="BV66" i="1" s="1"/>
  <c r="BX57" i="1"/>
  <c r="AL50" i="1"/>
  <c r="AL51" i="1" s="1"/>
  <c r="BU62" i="1"/>
  <c r="BU63" i="1" s="1"/>
  <c r="AJ68" i="1"/>
  <c r="AJ69" i="1" s="1"/>
  <c r="AJ73" i="1"/>
  <c r="AJ74" i="1" s="1"/>
  <c r="BW61" i="1"/>
  <c r="BS68" i="1"/>
  <c r="BS69" i="1" s="1"/>
  <c r="BS73" i="1"/>
  <c r="BS74" i="1" s="1"/>
  <c r="AK62" i="1"/>
  <c r="AK63" i="1" s="1"/>
  <c r="AK67" i="1" s="1"/>
  <c r="AK78" i="1" s="1"/>
  <c r="AK79" i="1" s="1"/>
  <c r="BW59" i="1"/>
  <c r="BV60" i="1"/>
  <c r="BZ45" i="1"/>
  <c r="AL55" i="1"/>
  <c r="BX49" i="1"/>
  <c r="CA43" i="1"/>
  <c r="CA53" i="1"/>
  <c r="BZ65" i="1"/>
  <c r="BZ71" i="1" s="1"/>
  <c r="BZ76" i="1" s="1"/>
  <c r="BZ55" i="1"/>
  <c r="CC42" i="1"/>
  <c r="CC54" i="1"/>
  <c r="AP45" i="1"/>
  <c r="BX47" i="1"/>
  <c r="BZ34" i="1"/>
  <c r="BZ36" i="1" s="1"/>
  <c r="BZ37" i="1" s="1"/>
  <c r="BY47" i="1"/>
  <c r="BY49" i="1"/>
  <c r="AM43" i="1"/>
  <c r="AM46" i="1" s="1"/>
  <c r="CA30" i="1"/>
  <c r="CA32" i="1" s="1"/>
  <c r="AP34" i="1"/>
  <c r="AP36" i="1" s="1"/>
  <c r="BX48" i="1"/>
  <c r="AO39" i="1"/>
  <c r="CB31" i="1"/>
  <c r="CB72" i="1" s="1"/>
  <c r="CB35" i="1"/>
  <c r="CB77" i="1" s="1"/>
  <c r="CC13" i="1"/>
  <c r="CB28" i="1"/>
  <c r="CB41" i="1" s="1"/>
  <c r="CB23" i="1"/>
  <c r="CB24" i="1"/>
  <c r="CC29" i="1"/>
  <c r="CC26" i="1"/>
  <c r="CC44" i="1" s="1"/>
  <c r="CC56" i="1" s="1"/>
  <c r="CC22" i="1" a="1"/>
  <c r="CC22" i="1" s="1"/>
  <c r="CC25" i="1"/>
  <c r="AP33" i="1"/>
  <c r="AQ29" i="1" s="1"/>
  <c r="CD12" i="1"/>
  <c r="CC14" i="1"/>
  <c r="CC16" i="1"/>
  <c r="CC15" i="1"/>
  <c r="BY48" i="1" l="1"/>
  <c r="AL58" i="1"/>
  <c r="AL60" i="1" s="1"/>
  <c r="BV73" i="1"/>
  <c r="BV74" i="1" s="1"/>
  <c r="BV67" i="1"/>
  <c r="BV78" i="1" s="1"/>
  <c r="BV79" i="1" s="1"/>
  <c r="BW62" i="1"/>
  <c r="BW63" i="1" s="1"/>
  <c r="BY50" i="1"/>
  <c r="BY51" i="1" s="1"/>
  <c r="BY58" i="1" s="1"/>
  <c r="BY59" i="1" s="1"/>
  <c r="BU66" i="1"/>
  <c r="BU67" i="1"/>
  <c r="BU78" i="1" s="1"/>
  <c r="BU79" i="1" s="1"/>
  <c r="AM57" i="1"/>
  <c r="CA33" i="1"/>
  <c r="BZ38" i="1"/>
  <c r="BZ39" i="1" s="1"/>
  <c r="BZ46" i="1" s="1"/>
  <c r="BZ47" i="1" s="1"/>
  <c r="AP37" i="1"/>
  <c r="AK66" i="1"/>
  <c r="AK73" i="1" s="1"/>
  <c r="AK74" i="1" s="1"/>
  <c r="BX50" i="1"/>
  <c r="BX51" i="1" s="1"/>
  <c r="BX58" i="1" s="1"/>
  <c r="BX61" i="1" s="1"/>
  <c r="BX62" i="1" s="1"/>
  <c r="BX63" i="1" s="1"/>
  <c r="CD42" i="1"/>
  <c r="CD54" i="1"/>
  <c r="CB43" i="1"/>
  <c r="CB53" i="1"/>
  <c r="CA65" i="1"/>
  <c r="CA71" i="1" s="1"/>
  <c r="CA76" i="1" s="1"/>
  <c r="CA55" i="1"/>
  <c r="CA45" i="1"/>
  <c r="AM47" i="1"/>
  <c r="AN42" i="1" s="1"/>
  <c r="AM49" i="1"/>
  <c r="CA34" i="1"/>
  <c r="CA36" i="1" s="1"/>
  <c r="CA37" i="1" s="1"/>
  <c r="AD48" i="1"/>
  <c r="AP38" i="1"/>
  <c r="AP39" i="1" s="1"/>
  <c r="CB30" i="1"/>
  <c r="CB32" i="1" s="1"/>
  <c r="CD13" i="1"/>
  <c r="CC28" i="1"/>
  <c r="CC41" i="1" s="1"/>
  <c r="CC31" i="1"/>
  <c r="CC72" i="1" s="1"/>
  <c r="CC35" i="1"/>
  <c r="CC77" i="1" s="1"/>
  <c r="CC23" i="1"/>
  <c r="CC24" i="1"/>
  <c r="CD29" i="1"/>
  <c r="CD26" i="1"/>
  <c r="CD44" i="1" s="1"/>
  <c r="CD56" i="1" s="1"/>
  <c r="CD25" i="1"/>
  <c r="CD22" i="1" a="1"/>
  <c r="CD22" i="1" s="1"/>
  <c r="AQ30" i="1"/>
  <c r="AQ32" i="1" s="1"/>
  <c r="CE12" i="1"/>
  <c r="CD14" i="1"/>
  <c r="CD16" i="1"/>
  <c r="CD15" i="1"/>
  <c r="AL61" i="1" l="1"/>
  <c r="AL59" i="1"/>
  <c r="AM54" i="1" s="1"/>
  <c r="BY61" i="1"/>
  <c r="BY62" i="1" s="1"/>
  <c r="BY63" i="1" s="1"/>
  <c r="BV68" i="1"/>
  <c r="BV69" i="1" s="1"/>
  <c r="BX59" i="1"/>
  <c r="BZ49" i="1"/>
  <c r="BZ50" i="1" s="1"/>
  <c r="BZ51" i="1" s="1"/>
  <c r="BX60" i="1"/>
  <c r="AL62" i="1"/>
  <c r="AL63" i="1" s="1"/>
  <c r="AL67" i="1" s="1"/>
  <c r="AL78" i="1" s="1"/>
  <c r="AL79" i="1" s="1"/>
  <c r="BY60" i="1"/>
  <c r="BW66" i="1"/>
  <c r="BW67" i="1"/>
  <c r="BW78" i="1" s="1"/>
  <c r="BW79" i="1" s="1"/>
  <c r="BU73" i="1"/>
  <c r="BU74" i="1" s="1"/>
  <c r="BU68" i="1"/>
  <c r="BU69" i="1" s="1"/>
  <c r="AK68" i="1"/>
  <c r="AK69" i="1" s="1"/>
  <c r="AM50" i="1"/>
  <c r="AM51" i="1" s="1"/>
  <c r="CA38" i="1"/>
  <c r="CA39" i="1" s="1"/>
  <c r="CA46" i="1" s="1"/>
  <c r="BZ57" i="1"/>
  <c r="CE42" i="1"/>
  <c r="CE54" i="1"/>
  <c r="BY67" i="1"/>
  <c r="BY78" i="1" s="1"/>
  <c r="BY79" i="1" s="1"/>
  <c r="BY66" i="1"/>
  <c r="BY68" i="1" s="1"/>
  <c r="BY69" i="1" s="1"/>
  <c r="CC43" i="1"/>
  <c r="CC53" i="1"/>
  <c r="AQ45" i="1"/>
  <c r="CB45" i="1"/>
  <c r="AM55" i="1"/>
  <c r="CB65" i="1"/>
  <c r="CB71" i="1" s="1"/>
  <c r="CB76" i="1" s="1"/>
  <c r="CB55" i="1"/>
  <c r="BX66" i="1"/>
  <c r="BX73" i="1" s="1"/>
  <c r="BX74" i="1" s="1"/>
  <c r="BX67" i="1"/>
  <c r="BX78" i="1" s="1"/>
  <c r="BX79" i="1" s="1"/>
  <c r="AN43" i="1"/>
  <c r="AN46" i="1" s="1"/>
  <c r="AQ34" i="1"/>
  <c r="AQ36" i="1" s="1"/>
  <c r="CB34" i="1"/>
  <c r="CB36" i="1" s="1"/>
  <c r="BZ48" i="1"/>
  <c r="CC30" i="1"/>
  <c r="CC32" i="1" s="1"/>
  <c r="CB33" i="1"/>
  <c r="CD31" i="1"/>
  <c r="CD72" i="1" s="1"/>
  <c r="CD35" i="1"/>
  <c r="CD77" i="1" s="1"/>
  <c r="CD28" i="1"/>
  <c r="CD41" i="1" s="1"/>
  <c r="CE13" i="1"/>
  <c r="CD23" i="1"/>
  <c r="CD24" i="1"/>
  <c r="CE26" i="1"/>
  <c r="CE44" i="1" s="1"/>
  <c r="CE56" i="1" s="1"/>
  <c r="CE25" i="1"/>
  <c r="CE29" i="1"/>
  <c r="CE22" i="1" a="1"/>
  <c r="CE22" i="1" s="1"/>
  <c r="AQ33" i="1"/>
  <c r="AR29" i="1" s="1"/>
  <c r="CF12" i="1"/>
  <c r="CE16" i="1"/>
  <c r="CE15" i="1"/>
  <c r="CE14" i="1"/>
  <c r="AL66" i="1" l="1"/>
  <c r="AL73" i="1" s="1"/>
  <c r="AL74" i="1" s="1"/>
  <c r="AM58" i="1"/>
  <c r="AM60" i="1" s="1"/>
  <c r="CA57" i="1"/>
  <c r="CB37" i="1"/>
  <c r="AN57" i="1"/>
  <c r="BY73" i="1"/>
  <c r="BY74" i="1" s="1"/>
  <c r="BZ58" i="1"/>
  <c r="BZ59" i="1" s="1"/>
  <c r="BW68" i="1"/>
  <c r="BW69" i="1" s="1"/>
  <c r="BW73" i="1"/>
  <c r="BW74" i="1" s="1"/>
  <c r="AQ37" i="1"/>
  <c r="CF42" i="1"/>
  <c r="CF54" i="1"/>
  <c r="CC45" i="1"/>
  <c r="CD43" i="1"/>
  <c r="CD53" i="1"/>
  <c r="BX68" i="1"/>
  <c r="BX69" i="1" s="1"/>
  <c r="CC65" i="1"/>
  <c r="CC71" i="1" s="1"/>
  <c r="CC76" i="1" s="1"/>
  <c r="CC55" i="1"/>
  <c r="AN47" i="1"/>
  <c r="AO42" i="1" s="1"/>
  <c r="AN49" i="1"/>
  <c r="CA47" i="1"/>
  <c r="CA49" i="1"/>
  <c r="CD30" i="1"/>
  <c r="CD32" i="1" s="1"/>
  <c r="AQ38" i="1"/>
  <c r="AQ39" i="1" s="1"/>
  <c r="CB38" i="1"/>
  <c r="CB39" i="1" s="1"/>
  <c r="CB46" i="1" s="1"/>
  <c r="CC34" i="1"/>
  <c r="CC36" i="1" s="1"/>
  <c r="CC33" i="1"/>
  <c r="CE31" i="1"/>
  <c r="CE72" i="1" s="1"/>
  <c r="CE35" i="1"/>
  <c r="CE77" i="1" s="1"/>
  <c r="CF13" i="1"/>
  <c r="CE28" i="1"/>
  <c r="CE41" i="1" s="1"/>
  <c r="CE24" i="1"/>
  <c r="CE23" i="1"/>
  <c r="CF26" i="1"/>
  <c r="CF44" i="1" s="1"/>
  <c r="CF56" i="1" s="1"/>
  <c r="CF25" i="1"/>
  <c r="CF29" i="1"/>
  <c r="CF22" i="1" a="1"/>
  <c r="CF22" i="1" s="1"/>
  <c r="AR30" i="1"/>
  <c r="AR32" i="1" s="1"/>
  <c r="CG12" i="1"/>
  <c r="CF14" i="1"/>
  <c r="CF15" i="1"/>
  <c r="CF16" i="1"/>
  <c r="AL68" i="1" l="1"/>
  <c r="AL69" i="1" s="1"/>
  <c r="BZ60" i="1"/>
  <c r="AM59" i="1"/>
  <c r="AN54" i="1" s="1"/>
  <c r="AN55" i="1" s="1"/>
  <c r="AM61" i="1"/>
  <c r="CC38" i="1"/>
  <c r="CC39" i="1" s="1"/>
  <c r="CC46" i="1" s="1"/>
  <c r="CB57" i="1"/>
  <c r="CA50" i="1"/>
  <c r="CA51" i="1" s="1"/>
  <c r="CA58" i="1" s="1"/>
  <c r="CA59" i="1" s="1"/>
  <c r="AM62" i="1"/>
  <c r="AM63" i="1" s="1"/>
  <c r="AM67" i="1" s="1"/>
  <c r="AM78" i="1" s="1"/>
  <c r="AM79" i="1" s="1"/>
  <c r="AN50" i="1"/>
  <c r="AN51" i="1" s="1"/>
  <c r="AN58" i="1" s="1"/>
  <c r="AN60" i="1" s="1"/>
  <c r="BZ61" i="1"/>
  <c r="AR45" i="1"/>
  <c r="CD65" i="1"/>
  <c r="CD71" i="1" s="1"/>
  <c r="CD76" i="1" s="1"/>
  <c r="CD55" i="1"/>
  <c r="CG42" i="1"/>
  <c r="CG54" i="1"/>
  <c r="CD33" i="1"/>
  <c r="CE43" i="1"/>
  <c r="CE53" i="1"/>
  <c r="CD45" i="1"/>
  <c r="CB47" i="1"/>
  <c r="CB49" i="1"/>
  <c r="AO43" i="1"/>
  <c r="AO46" i="1" s="1"/>
  <c r="CD34" i="1"/>
  <c r="CD36" i="1" s="1"/>
  <c r="AE48" i="1"/>
  <c r="CC37" i="1"/>
  <c r="AR34" i="1"/>
  <c r="AR36" i="1" s="1"/>
  <c r="CA48" i="1"/>
  <c r="CE30" i="1"/>
  <c r="CE32" i="1" s="1"/>
  <c r="CF31" i="1"/>
  <c r="CF72" i="1" s="1"/>
  <c r="CF35" i="1"/>
  <c r="CF77" i="1" s="1"/>
  <c r="CF28" i="1"/>
  <c r="CF41" i="1" s="1"/>
  <c r="CG13" i="1"/>
  <c r="AR33" i="1"/>
  <c r="AS29" i="1" s="1"/>
  <c r="AS30" i="1" s="1"/>
  <c r="AS32" i="1" s="1"/>
  <c r="CF24" i="1"/>
  <c r="CF23" i="1"/>
  <c r="CG26" i="1"/>
  <c r="CG44" i="1" s="1"/>
  <c r="CG56" i="1" s="1"/>
  <c r="CG25" i="1"/>
  <c r="CG29" i="1"/>
  <c r="CG22" i="1" a="1"/>
  <c r="CG22" i="1" s="1"/>
  <c r="CH12" i="1"/>
  <c r="CG16" i="1"/>
  <c r="CG15" i="1"/>
  <c r="CG14" i="1"/>
  <c r="AM66" i="1" l="1"/>
  <c r="AM73" i="1" s="1"/>
  <c r="AM74" i="1" s="1"/>
  <c r="AO57" i="1"/>
  <c r="AN59" i="1"/>
  <c r="AO54" i="1" s="1"/>
  <c r="AO55" i="1" s="1"/>
  <c r="AN61" i="1"/>
  <c r="CB50" i="1"/>
  <c r="CB51" i="1" s="1"/>
  <c r="CB58" i="1" s="1"/>
  <c r="CB60" i="1" s="1"/>
  <c r="CC57" i="1"/>
  <c r="CA60" i="1"/>
  <c r="CA61" i="1"/>
  <c r="AR37" i="1"/>
  <c r="BZ62" i="1"/>
  <c r="BZ63" i="1" s="1"/>
  <c r="CD38" i="1"/>
  <c r="CD39" i="1" s="1"/>
  <c r="CD46" i="1" s="1"/>
  <c r="CD48" i="1" s="1"/>
  <c r="CE65" i="1"/>
  <c r="CE71" i="1" s="1"/>
  <c r="CE76" i="1" s="1"/>
  <c r="CE55" i="1"/>
  <c r="AS45" i="1"/>
  <c r="CC47" i="1"/>
  <c r="CF43" i="1"/>
  <c r="CF53" i="1"/>
  <c r="CC49" i="1"/>
  <c r="CH42" i="1"/>
  <c r="CH54" i="1"/>
  <c r="CE45" i="1"/>
  <c r="AO47" i="1"/>
  <c r="AP42" i="1" s="1"/>
  <c r="AO49" i="1"/>
  <c r="CD37" i="1"/>
  <c r="AR38" i="1"/>
  <c r="AR39" i="1" s="1"/>
  <c r="CE34" i="1"/>
  <c r="CE36" i="1" s="1"/>
  <c r="AS34" i="1"/>
  <c r="AS36" i="1" s="1"/>
  <c r="CC48" i="1"/>
  <c r="CB48" i="1"/>
  <c r="CF30" i="1"/>
  <c r="CF32" i="1" s="1"/>
  <c r="CE33" i="1"/>
  <c r="CH13" i="1"/>
  <c r="CG28" i="1"/>
  <c r="CG31" i="1"/>
  <c r="CG72" i="1" s="1"/>
  <c r="CG35" i="1"/>
  <c r="CG77" i="1" s="1"/>
  <c r="CG24" i="1"/>
  <c r="CG23" i="1"/>
  <c r="AS33" i="1"/>
  <c r="AT29" i="1" s="1"/>
  <c r="CH26" i="1"/>
  <c r="CH44" i="1" s="1"/>
  <c r="CH56" i="1" s="1"/>
  <c r="CH25" i="1"/>
  <c r="CH22" i="1" a="1"/>
  <c r="CH22" i="1" s="1"/>
  <c r="CH29" i="1"/>
  <c r="CI12" i="1"/>
  <c r="CH15" i="1"/>
  <c r="CH14" i="1"/>
  <c r="CH16" i="1"/>
  <c r="AM68" i="1" l="1"/>
  <c r="AM69" i="1" s="1"/>
  <c r="CD57" i="1"/>
  <c r="CD47" i="1"/>
  <c r="BZ66" i="1"/>
  <c r="BZ67" i="1"/>
  <c r="BZ78" i="1" s="1"/>
  <c r="BZ79" i="1" s="1"/>
  <c r="AN62" i="1"/>
  <c r="AN63" i="1" s="1"/>
  <c r="CB61" i="1"/>
  <c r="CB59" i="1"/>
  <c r="CD49" i="1"/>
  <c r="AO50" i="1"/>
  <c r="AO51" i="1" s="1"/>
  <c r="AO58" i="1" s="1"/>
  <c r="AO60" i="1" s="1"/>
  <c r="CA62" i="1"/>
  <c r="CA63" i="1" s="1"/>
  <c r="AS38" i="1"/>
  <c r="AS39" i="1" s="1"/>
  <c r="CC50" i="1"/>
  <c r="CC51" i="1" s="1"/>
  <c r="CC58" i="1" s="1"/>
  <c r="CC61" i="1" s="1"/>
  <c r="CE38" i="1"/>
  <c r="CE39" i="1" s="1"/>
  <c r="CE46" i="1" s="1"/>
  <c r="CF65" i="1"/>
  <c r="CF71" i="1" s="1"/>
  <c r="CF76" i="1" s="1"/>
  <c r="CF55" i="1"/>
  <c r="CI42" i="1"/>
  <c r="CI54" i="1"/>
  <c r="AP43" i="1"/>
  <c r="AP46" i="1" s="1"/>
  <c r="CF34" i="1"/>
  <c r="CF36" i="1" s="1"/>
  <c r="CF45" i="1"/>
  <c r="AS37" i="1"/>
  <c r="CE37" i="1"/>
  <c r="CF33" i="1"/>
  <c r="CG30" i="1"/>
  <c r="CG32" i="1" s="1"/>
  <c r="CG41" i="1"/>
  <c r="CI13" i="1"/>
  <c r="CH28" i="1"/>
  <c r="CH31" i="1"/>
  <c r="CH72" i="1" s="1"/>
  <c r="CH35" i="1"/>
  <c r="CH77" i="1" s="1"/>
  <c r="CH24" i="1"/>
  <c r="CH23" i="1"/>
  <c r="CI25" i="1"/>
  <c r="CI26" i="1"/>
  <c r="CI44" i="1" s="1"/>
  <c r="CI56" i="1" s="1"/>
  <c r="CI29" i="1"/>
  <c r="CI22" i="1" a="1"/>
  <c r="CI22" i="1" s="1"/>
  <c r="AT30" i="1"/>
  <c r="AT32" i="1" s="1"/>
  <c r="CJ12" i="1"/>
  <c r="CI15" i="1"/>
  <c r="CI16" i="1"/>
  <c r="CI14" i="1"/>
  <c r="AO59" i="1" l="1"/>
  <c r="AP54" i="1" s="1"/>
  <c r="AP55" i="1" s="1"/>
  <c r="CC60" i="1"/>
  <c r="AO61" i="1"/>
  <c r="AO62" i="1" s="1"/>
  <c r="AO63" i="1" s="1"/>
  <c r="CE57" i="1"/>
  <c r="CE47" i="1"/>
  <c r="CE49" i="1"/>
  <c r="CC62" i="1"/>
  <c r="CC63" i="1" s="1"/>
  <c r="CC59" i="1"/>
  <c r="CF38" i="1"/>
  <c r="CF39" i="1" s="1"/>
  <c r="CF46" i="1" s="1"/>
  <c r="CB62" i="1"/>
  <c r="CB63" i="1" s="1"/>
  <c r="AP57" i="1"/>
  <c r="CA66" i="1"/>
  <c r="CA67" i="1"/>
  <c r="CA78" i="1" s="1"/>
  <c r="CA79" i="1" s="1"/>
  <c r="CF37" i="1"/>
  <c r="AN66" i="1"/>
  <c r="AN67" i="1"/>
  <c r="AN78" i="1" s="1"/>
  <c r="AN79" i="1" s="1"/>
  <c r="BZ68" i="1"/>
  <c r="BZ69" i="1" s="1"/>
  <c r="BZ73" i="1"/>
  <c r="BZ74" i="1" s="1"/>
  <c r="CD50" i="1"/>
  <c r="CD51" i="1" s="1"/>
  <c r="CD58" i="1" s="1"/>
  <c r="CD59" i="1" s="1"/>
  <c r="AT45" i="1"/>
  <c r="CC67" i="1"/>
  <c r="CC78" i="1" s="1"/>
  <c r="CC79" i="1" s="1"/>
  <c r="CC66" i="1"/>
  <c r="CC68" i="1" s="1"/>
  <c r="CC69" i="1" s="1"/>
  <c r="CG45" i="1"/>
  <c r="CJ42" i="1"/>
  <c r="CJ54" i="1"/>
  <c r="CG43" i="1"/>
  <c r="CG53" i="1"/>
  <c r="AO67" i="1"/>
  <c r="AO78" i="1" s="1"/>
  <c r="AO79" i="1" s="1"/>
  <c r="AO66" i="1"/>
  <c r="AO68" i="1" s="1"/>
  <c r="AO69" i="1" s="1"/>
  <c r="AP47" i="1"/>
  <c r="AQ42" i="1" s="1"/>
  <c r="AP49" i="1"/>
  <c r="AF48" i="1"/>
  <c r="CE48" i="1"/>
  <c r="AT34" i="1"/>
  <c r="AT36" i="1" s="1"/>
  <c r="CG34" i="1"/>
  <c r="CG36" i="1" s="1"/>
  <c r="CG33" i="1"/>
  <c r="CH30" i="1"/>
  <c r="CH32" i="1" s="1"/>
  <c r="CH41" i="1"/>
  <c r="CI31" i="1"/>
  <c r="CI72" i="1" s="1"/>
  <c r="CI35" i="1"/>
  <c r="CI77" i="1" s="1"/>
  <c r="CJ13" i="1"/>
  <c r="CI28" i="1"/>
  <c r="AT33" i="1"/>
  <c r="AU29" i="1" s="1"/>
  <c r="CJ22" i="1" a="1"/>
  <c r="CJ22" i="1" s="1"/>
  <c r="CJ25" i="1"/>
  <c r="CJ29" i="1"/>
  <c r="CJ26" i="1"/>
  <c r="CJ44" i="1" s="1"/>
  <c r="CJ56" i="1" s="1"/>
  <c r="CI24" i="1"/>
  <c r="CI23" i="1"/>
  <c r="CK12" i="1"/>
  <c r="CJ15" i="1"/>
  <c r="CJ16" i="1"/>
  <c r="CJ14" i="1"/>
  <c r="CF57" i="1" l="1"/>
  <c r="AT37" i="1"/>
  <c r="CA68" i="1"/>
  <c r="CA69" i="1" s="1"/>
  <c r="CA73" i="1"/>
  <c r="CA74" i="1" s="1"/>
  <c r="CE50" i="1"/>
  <c r="CE51" i="1" s="1"/>
  <c r="CE58" i="1" s="1"/>
  <c r="CC73" i="1"/>
  <c r="CC74" i="1" s="1"/>
  <c r="AN68" i="1"/>
  <c r="AN69" i="1" s="1"/>
  <c r="AN73" i="1"/>
  <c r="AN74" i="1" s="1"/>
  <c r="AO73" i="1"/>
  <c r="AO74" i="1" s="1"/>
  <c r="CG38" i="1"/>
  <c r="CG39" i="1" s="1"/>
  <c r="CG46" i="1" s="1"/>
  <c r="CG49" i="1" s="1"/>
  <c r="CG50" i="1" s="1"/>
  <c r="CG51" i="1" s="1"/>
  <c r="CD61" i="1"/>
  <c r="CD60" i="1"/>
  <c r="AP50" i="1"/>
  <c r="AP51" i="1" s="1"/>
  <c r="AP58" i="1" s="1"/>
  <c r="CB67" i="1"/>
  <c r="CB78" i="1" s="1"/>
  <c r="CB79" i="1" s="1"/>
  <c r="CB66" i="1"/>
  <c r="CH45" i="1"/>
  <c r="CG65" i="1"/>
  <c r="CG71" i="1" s="1"/>
  <c r="CG76" i="1" s="1"/>
  <c r="CG55" i="1"/>
  <c r="CK42" i="1"/>
  <c r="CK54" i="1"/>
  <c r="CH43" i="1"/>
  <c r="CH53" i="1"/>
  <c r="CF47" i="1"/>
  <c r="CF49" i="1"/>
  <c r="AQ43" i="1"/>
  <c r="AQ46" i="1" s="1"/>
  <c r="AT38" i="1"/>
  <c r="AT39" i="1" s="1"/>
  <c r="CH34" i="1"/>
  <c r="CH36" i="1" s="1"/>
  <c r="CF48" i="1"/>
  <c r="CG37" i="1"/>
  <c r="CI30" i="1"/>
  <c r="CI32" i="1" s="1"/>
  <c r="CI41" i="1"/>
  <c r="CH33" i="1"/>
  <c r="CK13" i="1"/>
  <c r="CJ28" i="1"/>
  <c r="CJ41" i="1" s="1"/>
  <c r="CJ53" i="1" s="1"/>
  <c r="CJ65" i="1" s="1"/>
  <c r="CJ71" i="1" s="1"/>
  <c r="CJ76" i="1" s="1"/>
  <c r="CJ31" i="1"/>
  <c r="CJ72" i="1" s="1"/>
  <c r="CJ35" i="1"/>
  <c r="CJ77" i="1" s="1"/>
  <c r="CJ24" i="1"/>
  <c r="CJ23" i="1"/>
  <c r="CK29" i="1"/>
  <c r="CK22" i="1" a="1"/>
  <c r="CK22" i="1" s="1"/>
  <c r="CK25" i="1"/>
  <c r="CK26" i="1"/>
  <c r="CK44" i="1" s="1"/>
  <c r="CK56" i="1" s="1"/>
  <c r="AU30" i="1"/>
  <c r="AU32" i="1" s="1"/>
  <c r="CL12" i="1"/>
  <c r="CK15" i="1"/>
  <c r="CK14" i="1"/>
  <c r="CK16" i="1"/>
  <c r="CG47" i="1" l="1"/>
  <c r="AP59" i="1"/>
  <c r="AQ54" i="1" s="1"/>
  <c r="AQ55" i="1" s="1"/>
  <c r="AP60" i="1"/>
  <c r="AP61" i="1"/>
  <c r="AQ57" i="1"/>
  <c r="CG57" i="1"/>
  <c r="CG58" i="1" s="1"/>
  <c r="CH38" i="1"/>
  <c r="CH39" i="1" s="1"/>
  <c r="CH46" i="1" s="1"/>
  <c r="CE61" i="1"/>
  <c r="CE60" i="1"/>
  <c r="CE59" i="1"/>
  <c r="CD62" i="1"/>
  <c r="CD63" i="1" s="1"/>
  <c r="CF50" i="1"/>
  <c r="CF51" i="1" s="1"/>
  <c r="CF58" i="1" s="1"/>
  <c r="CF59" i="1" s="1"/>
  <c r="CB68" i="1"/>
  <c r="CB69" i="1" s="1"/>
  <c r="CB73" i="1"/>
  <c r="CB74" i="1" s="1"/>
  <c r="CL42" i="1"/>
  <c r="CL54" i="1"/>
  <c r="AU45" i="1"/>
  <c r="CI43" i="1"/>
  <c r="CI53" i="1"/>
  <c r="CJ55" i="1" s="1"/>
  <c r="CH65" i="1"/>
  <c r="CH71" i="1" s="1"/>
  <c r="CH76" i="1" s="1"/>
  <c r="CH55" i="1"/>
  <c r="CI45" i="1"/>
  <c r="AQ47" i="1"/>
  <c r="AR42" i="1" s="1"/>
  <c r="AQ49" i="1"/>
  <c r="CJ43" i="1"/>
  <c r="CH37" i="1"/>
  <c r="CG48" i="1"/>
  <c r="CI33" i="1"/>
  <c r="AU34" i="1"/>
  <c r="AU36" i="1" s="1"/>
  <c r="CI34" i="1"/>
  <c r="CI36" i="1" s="1"/>
  <c r="CJ30" i="1"/>
  <c r="CJ32" i="1" s="1"/>
  <c r="CK31" i="1"/>
  <c r="CK72" i="1" s="1"/>
  <c r="CK35" i="1"/>
  <c r="CK77" i="1" s="1"/>
  <c r="CL13" i="1"/>
  <c r="CK28" i="1"/>
  <c r="CK41" i="1" s="1"/>
  <c r="CK24" i="1"/>
  <c r="CK23" i="1"/>
  <c r="CL25" i="1"/>
  <c r="CL22" i="1" a="1"/>
  <c r="CL22" i="1" s="1"/>
  <c r="CL29" i="1"/>
  <c r="CL26" i="1"/>
  <c r="CL44" i="1" s="1"/>
  <c r="CL56" i="1" s="1"/>
  <c r="AU33" i="1"/>
  <c r="AV29" i="1" s="1"/>
  <c r="CM12" i="1"/>
  <c r="CL16" i="1"/>
  <c r="CL14" i="1"/>
  <c r="CL15" i="1"/>
  <c r="CD66" i="1" l="1"/>
  <c r="CD67" i="1"/>
  <c r="CD78" i="1" s="1"/>
  <c r="CD79" i="1" s="1"/>
  <c r="CH57" i="1"/>
  <c r="AQ50" i="1"/>
  <c r="AQ51" i="1" s="1"/>
  <c r="AQ58" i="1" s="1"/>
  <c r="AQ59" i="1" s="1"/>
  <c r="AR54" i="1" s="1"/>
  <c r="CE62" i="1"/>
  <c r="CE63" i="1" s="1"/>
  <c r="CH47" i="1"/>
  <c r="AP62" i="1"/>
  <c r="AP63" i="1" s="1"/>
  <c r="CF61" i="1"/>
  <c r="AU37" i="1"/>
  <c r="CF60" i="1"/>
  <c r="CJ45" i="1"/>
  <c r="CI65" i="1"/>
  <c r="CI71" i="1" s="1"/>
  <c r="CI76" i="1" s="1"/>
  <c r="CI55" i="1"/>
  <c r="CG60" i="1"/>
  <c r="CG61" i="1"/>
  <c r="CK30" i="1"/>
  <c r="CK32" i="1" s="1"/>
  <c r="CG59" i="1"/>
  <c r="CH49" i="1"/>
  <c r="CK43" i="1"/>
  <c r="CK53" i="1"/>
  <c r="CM42" i="1"/>
  <c r="CM54" i="1"/>
  <c r="AR43" i="1"/>
  <c r="AR46" i="1" s="1"/>
  <c r="AG48" i="1"/>
  <c r="AU38" i="1"/>
  <c r="AU39" i="1" s="1"/>
  <c r="CI38" i="1"/>
  <c r="CI39" i="1" s="1"/>
  <c r="CI46" i="1" s="1"/>
  <c r="CI37" i="1"/>
  <c r="CH48" i="1"/>
  <c r="CJ34" i="1"/>
  <c r="CJ36" i="1" s="1"/>
  <c r="CJ33" i="1"/>
  <c r="CL31" i="1"/>
  <c r="CL72" i="1" s="1"/>
  <c r="CL35" i="1"/>
  <c r="CL77" i="1" s="1"/>
  <c r="CM13" i="1"/>
  <c r="CL28" i="1"/>
  <c r="AV30" i="1"/>
  <c r="AV32" i="1" s="1"/>
  <c r="CL23" i="1"/>
  <c r="CL24" i="1"/>
  <c r="CM25" i="1"/>
  <c r="CM22" i="1" a="1"/>
  <c r="CM22" i="1" s="1"/>
  <c r="CM29" i="1"/>
  <c r="CM26" i="1"/>
  <c r="CM44" i="1" s="1"/>
  <c r="CM56" i="1" s="1"/>
  <c r="CN12" i="1"/>
  <c r="CM16" i="1"/>
  <c r="CM14" i="1"/>
  <c r="CM15" i="1"/>
  <c r="AQ61" i="1" l="1"/>
  <c r="AQ62" i="1" s="1"/>
  <c r="AQ63" i="1" s="1"/>
  <c r="AQ67" i="1" s="1"/>
  <c r="AQ78" i="1" s="1"/>
  <c r="AQ79" i="1" s="1"/>
  <c r="AQ60" i="1"/>
  <c r="CG62" i="1"/>
  <c r="CG63" i="1" s="1"/>
  <c r="CG66" i="1" s="1"/>
  <c r="CF62" i="1"/>
  <c r="CF63" i="1" s="1"/>
  <c r="CK33" i="1"/>
  <c r="AR57" i="1"/>
  <c r="CE67" i="1"/>
  <c r="CE78" i="1" s="1"/>
  <c r="CE79" i="1" s="1"/>
  <c r="CE66" i="1"/>
  <c r="CH50" i="1"/>
  <c r="CH51" i="1" s="1"/>
  <c r="CH58" i="1" s="1"/>
  <c r="CH59" i="1" s="1"/>
  <c r="CI57" i="1"/>
  <c r="CK34" i="1"/>
  <c r="CK36" i="1" s="1"/>
  <c r="AP66" i="1"/>
  <c r="AP67" i="1"/>
  <c r="AP78" i="1" s="1"/>
  <c r="AP79" i="1" s="1"/>
  <c r="CD68" i="1"/>
  <c r="CD69" i="1" s="1"/>
  <c r="CD73" i="1"/>
  <c r="CD74" i="1" s="1"/>
  <c r="AV45" i="1"/>
  <c r="CN42" i="1"/>
  <c r="CN54" i="1"/>
  <c r="AR55" i="1"/>
  <c r="CK65" i="1"/>
  <c r="CK71" i="1" s="1"/>
  <c r="CK76" i="1" s="1"/>
  <c r="CK55" i="1"/>
  <c r="CK45" i="1"/>
  <c r="AQ66" i="1"/>
  <c r="AQ73" i="1" s="1"/>
  <c r="AQ74" i="1" s="1"/>
  <c r="AR47" i="1"/>
  <c r="AS42" i="1" s="1"/>
  <c r="AR49" i="1"/>
  <c r="CI47" i="1"/>
  <c r="CI49" i="1"/>
  <c r="CI48" i="1"/>
  <c r="CJ38" i="1"/>
  <c r="CJ39" i="1" s="1"/>
  <c r="CJ46" i="1" s="1"/>
  <c r="CJ37" i="1"/>
  <c r="AV34" i="1"/>
  <c r="AV36" i="1" s="1"/>
  <c r="CL30" i="1"/>
  <c r="CL32" i="1" s="1"/>
  <c r="CL41" i="1"/>
  <c r="CM31" i="1"/>
  <c r="CM72" i="1" s="1"/>
  <c r="CM35" i="1"/>
  <c r="CM77" i="1" s="1"/>
  <c r="CN13" i="1"/>
  <c r="CM28" i="1"/>
  <c r="CM41" i="1" s="1"/>
  <c r="CM53" i="1" s="1"/>
  <c r="CM65" i="1" s="1"/>
  <c r="CM71" i="1" s="1"/>
  <c r="CM76" i="1" s="1"/>
  <c r="CN29" i="1"/>
  <c r="CN25" i="1"/>
  <c r="CN22" i="1" a="1"/>
  <c r="CN22" i="1" s="1"/>
  <c r="CN26" i="1"/>
  <c r="CN44" i="1" s="1"/>
  <c r="CN56" i="1" s="1"/>
  <c r="AV33" i="1"/>
  <c r="AW29" i="1" s="1"/>
  <c r="CM23" i="1"/>
  <c r="CM24" i="1"/>
  <c r="CO12" i="1"/>
  <c r="CN16" i="1"/>
  <c r="CN14" i="1"/>
  <c r="CN15" i="1"/>
  <c r="CG67" i="1" l="1"/>
  <c r="CG78" i="1" s="1"/>
  <c r="CG79" i="1" s="1"/>
  <c r="CG73" i="1"/>
  <c r="CG74" i="1" s="1"/>
  <c r="AV37" i="1"/>
  <c r="CJ57" i="1"/>
  <c r="AP73" i="1"/>
  <c r="AP74" i="1" s="1"/>
  <c r="AP68" i="1"/>
  <c r="AP69" i="1" s="1"/>
  <c r="CK38" i="1"/>
  <c r="CK39" i="1" s="1"/>
  <c r="CK46" i="1" s="1"/>
  <c r="CF67" i="1"/>
  <c r="CF78" i="1" s="1"/>
  <c r="CF79" i="1" s="1"/>
  <c r="CF66" i="1"/>
  <c r="CI50" i="1"/>
  <c r="CI51" i="1" s="1"/>
  <c r="CI58" i="1" s="1"/>
  <c r="CI59" i="1" s="1"/>
  <c r="AR50" i="1"/>
  <c r="AR51" i="1" s="1"/>
  <c r="AR58" i="1" s="1"/>
  <c r="CK37" i="1"/>
  <c r="CE73" i="1"/>
  <c r="CE74" i="1" s="1"/>
  <c r="CE68" i="1"/>
  <c r="CE69" i="1" s="1"/>
  <c r="CH60" i="1"/>
  <c r="CH61" i="1"/>
  <c r="CL45" i="1"/>
  <c r="AQ68" i="1"/>
  <c r="AQ69" i="1" s="1"/>
  <c r="CO42" i="1"/>
  <c r="CO54" i="1"/>
  <c r="CL43" i="1"/>
  <c r="CL53" i="1"/>
  <c r="CJ47" i="1"/>
  <c r="CJ49" i="1"/>
  <c r="AS43" i="1"/>
  <c r="AS46" i="1" s="1"/>
  <c r="CM43" i="1"/>
  <c r="CL33" i="1"/>
  <c r="AV38" i="1"/>
  <c r="AV39" i="1" s="1"/>
  <c r="CL34" i="1"/>
  <c r="CL36" i="1" s="1"/>
  <c r="CM30" i="1"/>
  <c r="CM32" i="1" s="1"/>
  <c r="CN31" i="1"/>
  <c r="CN72" i="1" s="1"/>
  <c r="CN35" i="1"/>
  <c r="CN77" i="1" s="1"/>
  <c r="CO13" i="1"/>
  <c r="CN28" i="1"/>
  <c r="CN41" i="1" s="1"/>
  <c r="AW30" i="1"/>
  <c r="AW32" i="1" s="1"/>
  <c r="CN24" i="1"/>
  <c r="CN23" i="1"/>
  <c r="CO29" i="1"/>
  <c r="CO22" i="1" a="1"/>
  <c r="CO22" i="1" s="1"/>
  <c r="CO26" i="1"/>
  <c r="CO44" i="1" s="1"/>
  <c r="CO56" i="1" s="1"/>
  <c r="CO25" i="1"/>
  <c r="CP12" i="1"/>
  <c r="CO16" i="1"/>
  <c r="CO14" i="1"/>
  <c r="CO15" i="1"/>
  <c r="CG68" i="1" l="1"/>
  <c r="CG69" i="1" s="1"/>
  <c r="CI60" i="1"/>
  <c r="AR60" i="1"/>
  <c r="AR61" i="1"/>
  <c r="AR59" i="1"/>
  <c r="AS54" i="1" s="1"/>
  <c r="AS55" i="1" s="1"/>
  <c r="CK57" i="1"/>
  <c r="AS57" i="1"/>
  <c r="CJ50" i="1"/>
  <c r="CJ51" i="1" s="1"/>
  <c r="CJ58" i="1" s="1"/>
  <c r="CJ61" i="1" s="1"/>
  <c r="CJ62" i="1" s="1"/>
  <c r="CJ63" i="1" s="1"/>
  <c r="CI61" i="1"/>
  <c r="CF73" i="1"/>
  <c r="CF74" i="1" s="1"/>
  <c r="CF68" i="1"/>
  <c r="CF69" i="1" s="1"/>
  <c r="CH62" i="1"/>
  <c r="CH63" i="1" s="1"/>
  <c r="CN43" i="1"/>
  <c r="CN53" i="1"/>
  <c r="CM45" i="1"/>
  <c r="CP42" i="1"/>
  <c r="CP54" i="1"/>
  <c r="CL65" i="1"/>
  <c r="CL71" i="1" s="1"/>
  <c r="CL76" i="1" s="1"/>
  <c r="CL55" i="1"/>
  <c r="CM55" i="1"/>
  <c r="AW45" i="1"/>
  <c r="CN30" i="1"/>
  <c r="CN32" i="1" s="1"/>
  <c r="AS49" i="1"/>
  <c r="AS47" i="1"/>
  <c r="AT42" i="1" s="1"/>
  <c r="AT43" i="1" s="1"/>
  <c r="AT46" i="1" s="1"/>
  <c r="CK47" i="1"/>
  <c r="CK49" i="1"/>
  <c r="AH48" i="1"/>
  <c r="CM34" i="1"/>
  <c r="CM36" i="1" s="1"/>
  <c r="CJ48" i="1"/>
  <c r="CM33" i="1"/>
  <c r="AW34" i="1"/>
  <c r="AW36" i="1" s="1"/>
  <c r="CL38" i="1"/>
  <c r="CL39" i="1" s="1"/>
  <c r="CL46" i="1" s="1"/>
  <c r="CL37" i="1"/>
  <c r="CO31" i="1"/>
  <c r="CO72" i="1" s="1"/>
  <c r="CO35" i="1"/>
  <c r="CO77" i="1" s="1"/>
  <c r="CP13" i="1"/>
  <c r="CO28" i="1"/>
  <c r="CO41" i="1" s="1"/>
  <c r="CO24" i="1"/>
  <c r="CO23" i="1"/>
  <c r="AW33" i="1"/>
  <c r="AX29" i="1" s="1"/>
  <c r="CP29" i="1"/>
  <c r="CP22" i="1" a="1"/>
  <c r="CP22" i="1" s="1"/>
  <c r="CP25" i="1"/>
  <c r="CP26" i="1"/>
  <c r="CP44" i="1" s="1"/>
  <c r="CP56" i="1" s="1"/>
  <c r="CQ12" i="1"/>
  <c r="CP14" i="1"/>
  <c r="CP16" i="1"/>
  <c r="CP15" i="1"/>
  <c r="CN33" i="1" l="1"/>
  <c r="CJ60" i="1"/>
  <c r="CK50" i="1"/>
  <c r="CK51" i="1" s="1"/>
  <c r="CK58" i="1" s="1"/>
  <c r="CK60" i="1" s="1"/>
  <c r="AT57" i="1"/>
  <c r="CJ59" i="1"/>
  <c r="CL57" i="1"/>
  <c r="CH67" i="1"/>
  <c r="CH78" i="1" s="1"/>
  <c r="CH79" i="1" s="1"/>
  <c r="CH66" i="1"/>
  <c r="AS50" i="1"/>
  <c r="AS51" i="1" s="1"/>
  <c r="AS58" i="1" s="1"/>
  <c r="AW38" i="1"/>
  <c r="AW39" i="1" s="1"/>
  <c r="AR62" i="1"/>
  <c r="AR63" i="1" s="1"/>
  <c r="CI62" i="1"/>
  <c r="CI63" i="1" s="1"/>
  <c r="CQ42" i="1"/>
  <c r="CQ54" i="1"/>
  <c r="CJ66" i="1"/>
  <c r="CJ73" i="1" s="1"/>
  <c r="CJ74" i="1" s="1"/>
  <c r="CJ67" i="1"/>
  <c r="CJ78" i="1" s="1"/>
  <c r="CJ79" i="1" s="1"/>
  <c r="CO43" i="1"/>
  <c r="CO53" i="1"/>
  <c r="CN45" i="1"/>
  <c r="CN65" i="1"/>
  <c r="CN71" i="1" s="1"/>
  <c r="CN76" i="1" s="1"/>
  <c r="CN55" i="1"/>
  <c r="CN34" i="1"/>
  <c r="CN36" i="1" s="1"/>
  <c r="CN37" i="1" s="1"/>
  <c r="AT47" i="1"/>
  <c r="AU42" i="1" s="1"/>
  <c r="AT49" i="1"/>
  <c r="CL47" i="1"/>
  <c r="CL49" i="1"/>
  <c r="AW37" i="1"/>
  <c r="CM38" i="1"/>
  <c r="CM39" i="1" s="1"/>
  <c r="CM46" i="1" s="1"/>
  <c r="CM37" i="1"/>
  <c r="CL48" i="1"/>
  <c r="CK48" i="1"/>
  <c r="CO30" i="1"/>
  <c r="CO32" i="1" s="1"/>
  <c r="CP28" i="1"/>
  <c r="CP41" i="1" s="1"/>
  <c r="CQ13" i="1"/>
  <c r="CP31" i="1"/>
  <c r="CP72" i="1" s="1"/>
  <c r="CP35" i="1"/>
  <c r="CP77" i="1" s="1"/>
  <c r="CP24" i="1"/>
  <c r="CP23" i="1"/>
  <c r="CQ25" i="1"/>
  <c r="CQ22" i="1" a="1"/>
  <c r="CQ22" i="1" s="1"/>
  <c r="CQ29" i="1"/>
  <c r="CQ26" i="1"/>
  <c r="CQ44" i="1" s="1"/>
  <c r="CQ56" i="1" s="1"/>
  <c r="AX30" i="1"/>
  <c r="AX32" i="1" s="1"/>
  <c r="CR12" i="1"/>
  <c r="CQ15" i="1"/>
  <c r="CQ16" i="1"/>
  <c r="CQ14" i="1"/>
  <c r="CK59" i="1" l="1"/>
  <c r="CK61" i="1"/>
  <c r="CK62" i="1" s="1"/>
  <c r="CK63" i="1" s="1"/>
  <c r="CK67" i="1" s="1"/>
  <c r="CK78" i="1" s="1"/>
  <c r="CK79" i="1" s="1"/>
  <c r="AS61" i="1"/>
  <c r="AS59" i="1"/>
  <c r="AT54" i="1" s="1"/>
  <c r="AT55" i="1" s="1"/>
  <c r="AS60" i="1"/>
  <c r="CL50" i="1"/>
  <c r="CL51" i="1" s="1"/>
  <c r="CL58" i="1" s="1"/>
  <c r="CL59" i="1" s="1"/>
  <c r="CN38" i="1"/>
  <c r="CN39" i="1" s="1"/>
  <c r="CN46" i="1" s="1"/>
  <c r="CI67" i="1"/>
  <c r="CI78" i="1" s="1"/>
  <c r="CI79" i="1" s="1"/>
  <c r="CI66" i="1"/>
  <c r="AT50" i="1"/>
  <c r="AT51" i="1" s="1"/>
  <c r="CH73" i="1"/>
  <c r="CH74" i="1" s="1"/>
  <c r="CH68" i="1"/>
  <c r="CH69" i="1" s="1"/>
  <c r="CM57" i="1"/>
  <c r="AR67" i="1"/>
  <c r="AR78" i="1" s="1"/>
  <c r="AR79" i="1" s="1"/>
  <c r="AR66" i="1"/>
  <c r="CP43" i="1"/>
  <c r="CP53" i="1"/>
  <c r="AX45" i="1"/>
  <c r="CO45" i="1"/>
  <c r="CJ68" i="1"/>
  <c r="CJ69" i="1" s="1"/>
  <c r="CR42" i="1"/>
  <c r="CR54" i="1"/>
  <c r="CO65" i="1"/>
  <c r="CO71" i="1" s="1"/>
  <c r="CO76" i="1" s="1"/>
  <c r="CO55" i="1"/>
  <c r="CM47" i="1"/>
  <c r="CM49" i="1"/>
  <c r="AU43" i="1"/>
  <c r="AU46" i="1" s="1"/>
  <c r="CP30" i="1"/>
  <c r="CP32" i="1" s="1"/>
  <c r="AX34" i="1"/>
  <c r="AX36" i="1" s="1"/>
  <c r="CO34" i="1"/>
  <c r="CO36" i="1" s="1"/>
  <c r="CM48" i="1"/>
  <c r="CO33" i="1"/>
  <c r="CR13" i="1"/>
  <c r="CQ28" i="1"/>
  <c r="CQ41" i="1" s="1"/>
  <c r="CQ31" i="1"/>
  <c r="CQ72" i="1" s="1"/>
  <c r="CQ35" i="1"/>
  <c r="CQ77" i="1" s="1"/>
  <c r="AX33" i="1"/>
  <c r="AY29" i="1" s="1"/>
  <c r="CQ23" i="1"/>
  <c r="CQ24" i="1"/>
  <c r="CR26" i="1"/>
  <c r="CR44" i="1" s="1"/>
  <c r="CR56" i="1" s="1"/>
  <c r="CR22" i="1" a="1"/>
  <c r="CR22" i="1" s="1"/>
  <c r="CR29" i="1"/>
  <c r="CR25" i="1"/>
  <c r="CS12" i="1"/>
  <c r="CR15" i="1"/>
  <c r="CR16" i="1"/>
  <c r="CR14" i="1"/>
  <c r="CK66" i="1" l="1"/>
  <c r="CK73" i="1" s="1"/>
  <c r="CK74" i="1" s="1"/>
  <c r="CK68" i="1"/>
  <c r="CK69" i="1" s="1"/>
  <c r="AT58" i="1"/>
  <c r="CN48" i="1"/>
  <c r="AU57" i="1"/>
  <c r="CM50" i="1"/>
  <c r="CM51" i="1" s="1"/>
  <c r="CM58" i="1" s="1"/>
  <c r="CM60" i="1" s="1"/>
  <c r="AR73" i="1"/>
  <c r="AR74" i="1" s="1"/>
  <c r="AR68" i="1"/>
  <c r="AR69" i="1" s="1"/>
  <c r="CO38" i="1"/>
  <c r="CO39" i="1" s="1"/>
  <c r="CO46" i="1" s="1"/>
  <c r="CL61" i="1"/>
  <c r="AS62" i="1"/>
  <c r="AS63" i="1" s="1"/>
  <c r="AX38" i="1"/>
  <c r="AX39" i="1" s="1"/>
  <c r="CL60" i="1"/>
  <c r="CI73" i="1"/>
  <c r="CI74" i="1" s="1"/>
  <c r="CI68" i="1"/>
  <c r="CI69" i="1" s="1"/>
  <c r="CP45" i="1"/>
  <c r="CP65" i="1"/>
  <c r="CP71" i="1" s="1"/>
  <c r="CP76" i="1" s="1"/>
  <c r="CP55" i="1"/>
  <c r="CN57" i="1"/>
  <c r="CN49" i="1"/>
  <c r="CN47" i="1"/>
  <c r="CM61" i="1"/>
  <c r="CM62" i="1" s="1"/>
  <c r="CM63" i="1" s="1"/>
  <c r="CQ43" i="1"/>
  <c r="CQ53" i="1"/>
  <c r="CS42" i="1"/>
  <c r="CS54" i="1"/>
  <c r="AX37" i="1"/>
  <c r="AU47" i="1"/>
  <c r="AV42" i="1" s="1"/>
  <c r="AU49" i="1"/>
  <c r="CQ30" i="1"/>
  <c r="CQ32" i="1" s="1"/>
  <c r="CQ34" i="1" s="1"/>
  <c r="CQ36" i="1" s="1"/>
  <c r="AI48" i="1"/>
  <c r="CO37" i="1"/>
  <c r="CP34" i="1"/>
  <c r="CP36" i="1" s="1"/>
  <c r="CR31" i="1"/>
  <c r="CR72" i="1" s="1"/>
  <c r="CR35" i="1"/>
  <c r="CR77" i="1" s="1"/>
  <c r="CR28" i="1"/>
  <c r="CR41" i="1" s="1"/>
  <c r="CS13" i="1"/>
  <c r="CS26" i="1"/>
  <c r="CS44" i="1" s="1"/>
  <c r="CS56" i="1" s="1"/>
  <c r="CS25" i="1"/>
  <c r="CS22" i="1" a="1"/>
  <c r="CS22" i="1" s="1"/>
  <c r="CS29" i="1"/>
  <c r="CR23" i="1"/>
  <c r="CR24" i="1"/>
  <c r="AY30" i="1"/>
  <c r="CP33" i="1"/>
  <c r="CT12" i="1"/>
  <c r="CS16" i="1"/>
  <c r="CS14" i="1"/>
  <c r="CS15" i="1"/>
  <c r="CM59" i="1" l="1"/>
  <c r="AT61" i="1"/>
  <c r="AT62" i="1" s="1"/>
  <c r="AT63" i="1" s="1"/>
  <c r="AT59" i="1"/>
  <c r="AU54" i="1" s="1"/>
  <c r="AU55" i="1" s="1"/>
  <c r="AT60" i="1"/>
  <c r="CO57" i="1"/>
  <c r="CO49" i="1"/>
  <c r="CO47" i="1"/>
  <c r="AU50" i="1"/>
  <c r="AU51" i="1" s="1"/>
  <c r="AU58" i="1" s="1"/>
  <c r="AS67" i="1"/>
  <c r="AS78" i="1" s="1"/>
  <c r="AS79" i="1" s="1"/>
  <c r="AS66" i="1"/>
  <c r="CM73" i="1"/>
  <c r="CM74" i="1" s="1"/>
  <c r="CP37" i="1"/>
  <c r="CN50" i="1"/>
  <c r="CN51" i="1" s="1"/>
  <c r="CN58" i="1" s="1"/>
  <c r="CL62" i="1"/>
  <c r="CL63" i="1" s="1"/>
  <c r="CQ38" i="1"/>
  <c r="CQ39" i="1" s="1"/>
  <c r="CM67" i="1"/>
  <c r="CM78" i="1" s="1"/>
  <c r="CM79" i="1" s="1"/>
  <c r="CM66" i="1"/>
  <c r="CR43" i="1"/>
  <c r="CR53" i="1"/>
  <c r="CQ45" i="1"/>
  <c r="CQ46" i="1" s="1"/>
  <c r="CQ57" i="1" s="1"/>
  <c r="CQ65" i="1"/>
  <c r="CQ71" i="1" s="1"/>
  <c r="CQ76" i="1" s="1"/>
  <c r="CQ55" i="1"/>
  <c r="CT42" i="1"/>
  <c r="CT54" i="1"/>
  <c r="AV43" i="1"/>
  <c r="AV46" i="1" s="1"/>
  <c r="CQ33" i="1"/>
  <c r="CQ37" i="1"/>
  <c r="CO48" i="1"/>
  <c r="CP38" i="1"/>
  <c r="CP39" i="1" s="1"/>
  <c r="CP46" i="1" s="1"/>
  <c r="CR30" i="1"/>
  <c r="CR32" i="1" s="1"/>
  <c r="CS31" i="1"/>
  <c r="CS72" i="1" s="1"/>
  <c r="CS35" i="1"/>
  <c r="CS77" i="1" s="1"/>
  <c r="CT13" i="1"/>
  <c r="CS28" i="1"/>
  <c r="CS41" i="1" s="1"/>
  <c r="AY32" i="1"/>
  <c r="CT26" i="1"/>
  <c r="CT44" i="1" s="1"/>
  <c r="CT56" i="1" s="1"/>
  <c r="CT25" i="1"/>
  <c r="CT22" i="1" a="1"/>
  <c r="CT22" i="1" s="1"/>
  <c r="CT29" i="1"/>
  <c r="CS24" i="1"/>
  <c r="CS23" i="1"/>
  <c r="CU12" i="1"/>
  <c r="CT15" i="1"/>
  <c r="CT14" i="1"/>
  <c r="CT16" i="1"/>
  <c r="CM68" i="1" l="1"/>
  <c r="CM69" i="1" s="1"/>
  <c r="AT67" i="1"/>
  <c r="AT78" i="1" s="1"/>
  <c r="AT79" i="1" s="1"/>
  <c r="AT66" i="1"/>
  <c r="CL67" i="1"/>
  <c r="CL78" i="1" s="1"/>
  <c r="CL79" i="1" s="1"/>
  <c r="CL66" i="1"/>
  <c r="AS68" i="1"/>
  <c r="AS69" i="1" s="1"/>
  <c r="AS73" i="1"/>
  <c r="AS74" i="1" s="1"/>
  <c r="CP57" i="1"/>
  <c r="CO50" i="1"/>
  <c r="CO51" i="1" s="1"/>
  <c r="CO58" i="1" s="1"/>
  <c r="AV57" i="1"/>
  <c r="AY45" i="1"/>
  <c r="CS43" i="1"/>
  <c r="CS53" i="1"/>
  <c r="CR65" i="1"/>
  <c r="CR71" i="1" s="1"/>
  <c r="CR76" i="1" s="1"/>
  <c r="CR55" i="1"/>
  <c r="AU60" i="1"/>
  <c r="AU61" i="1"/>
  <c r="AU59" i="1"/>
  <c r="AV54" i="1" s="1"/>
  <c r="CU42" i="1"/>
  <c r="CU54" i="1"/>
  <c r="CN59" i="1"/>
  <c r="CN61" i="1"/>
  <c r="CR45" i="1"/>
  <c r="CN60" i="1"/>
  <c r="AV47" i="1"/>
  <c r="AW42" i="1" s="1"/>
  <c r="AV49" i="1"/>
  <c r="CQ47" i="1"/>
  <c r="CQ49" i="1"/>
  <c r="CP47" i="1"/>
  <c r="CP49" i="1"/>
  <c r="CR33" i="1"/>
  <c r="CR34" i="1"/>
  <c r="CR36" i="1" s="1"/>
  <c r="CQ48" i="1"/>
  <c r="AY34" i="1"/>
  <c r="AY36" i="1" s="1"/>
  <c r="CS30" i="1"/>
  <c r="CS32" i="1" s="1"/>
  <c r="CT31" i="1"/>
  <c r="CT72" i="1" s="1"/>
  <c r="CT35" i="1"/>
  <c r="CT77" i="1" s="1"/>
  <c r="CU13" i="1"/>
  <c r="CT28" i="1"/>
  <c r="CT41" i="1" s="1"/>
  <c r="CU25" i="1"/>
  <c r="CU26" i="1"/>
  <c r="CU44" i="1" s="1"/>
  <c r="CU56" i="1" s="1"/>
  <c r="CU22" i="1" a="1"/>
  <c r="CU22" i="1" s="1"/>
  <c r="CU29" i="1"/>
  <c r="AY33" i="1"/>
  <c r="AZ29" i="1" s="1"/>
  <c r="CT24" i="1"/>
  <c r="CT23" i="1"/>
  <c r="CV12" i="1"/>
  <c r="CU15" i="1"/>
  <c r="CU16" i="1"/>
  <c r="CU14" i="1"/>
  <c r="CT30" i="1" l="1"/>
  <c r="CT32" i="1" s="1"/>
  <c r="CT33" i="1" s="1"/>
  <c r="AT68" i="1"/>
  <c r="AT69" i="1" s="1"/>
  <c r="AT73" i="1"/>
  <c r="AT74" i="1" s="1"/>
  <c r="CO61" i="1"/>
  <c r="CO60" i="1"/>
  <c r="CQ50" i="1"/>
  <c r="CQ51" i="1" s="1"/>
  <c r="CQ58" i="1" s="1"/>
  <c r="CQ61" i="1" s="1"/>
  <c r="CQ62" i="1" s="1"/>
  <c r="CQ63" i="1" s="1"/>
  <c r="AV50" i="1"/>
  <c r="AV51" i="1" s="1"/>
  <c r="CL68" i="1"/>
  <c r="CL69" i="1" s="1"/>
  <c r="CL73" i="1"/>
  <c r="CL74" i="1" s="1"/>
  <c r="AY37" i="1"/>
  <c r="CR38" i="1"/>
  <c r="CR39" i="1" s="1"/>
  <c r="CR46" i="1" s="1"/>
  <c r="CR49" i="1" s="1"/>
  <c r="CR50" i="1" s="1"/>
  <c r="CR51" i="1" s="1"/>
  <c r="CO59" i="1"/>
  <c r="CN62" i="1"/>
  <c r="CN63" i="1" s="1"/>
  <c r="CN67" i="1" s="1"/>
  <c r="CN78" i="1" s="1"/>
  <c r="CN79" i="1" s="1"/>
  <c r="CP50" i="1"/>
  <c r="CP51" i="1" s="1"/>
  <c r="CP58" i="1" s="1"/>
  <c r="AU62" i="1"/>
  <c r="AU63" i="1" s="1"/>
  <c r="AU66" i="1" s="1"/>
  <c r="AU73" i="1" s="1"/>
  <c r="AU74" i="1" s="1"/>
  <c r="CS45" i="1"/>
  <c r="CS65" i="1"/>
  <c r="CS71" i="1" s="1"/>
  <c r="CS76" i="1" s="1"/>
  <c r="CS55" i="1"/>
  <c r="CT43" i="1"/>
  <c r="CT53" i="1"/>
  <c r="AV55" i="1"/>
  <c r="CV42" i="1"/>
  <c r="CV54" i="1"/>
  <c r="AW43" i="1"/>
  <c r="AW46" i="1" s="1"/>
  <c r="AJ48" i="1"/>
  <c r="CR37" i="1"/>
  <c r="CP48" i="1"/>
  <c r="AY38" i="1"/>
  <c r="AY39" i="1" s="1"/>
  <c r="CS34" i="1"/>
  <c r="CS36" i="1" s="1"/>
  <c r="CS33" i="1"/>
  <c r="CU31" i="1"/>
  <c r="CU72" i="1" s="1"/>
  <c r="CU35" i="1"/>
  <c r="CU77" i="1" s="1"/>
  <c r="CV13" i="1"/>
  <c r="CU28" i="1"/>
  <c r="CU41" i="1" s="1"/>
  <c r="AZ30" i="1"/>
  <c r="AZ32" i="1" s="1"/>
  <c r="CU24" i="1"/>
  <c r="CU23" i="1"/>
  <c r="CV22" i="1" a="1"/>
  <c r="CV22" i="1" s="1"/>
  <c r="CV26" i="1"/>
  <c r="CV44" i="1" s="1"/>
  <c r="CV56" i="1" s="1"/>
  <c r="CV29" i="1"/>
  <c r="CV25" i="1"/>
  <c r="CW12" i="1"/>
  <c r="CV15" i="1"/>
  <c r="CV16" i="1"/>
  <c r="CV14" i="1"/>
  <c r="CT34" i="1" l="1"/>
  <c r="CT36" i="1" s="1"/>
  <c r="CT37" i="1" s="1"/>
  <c r="CT45" i="1"/>
  <c r="CN66" i="1"/>
  <c r="CQ59" i="1"/>
  <c r="CR47" i="1"/>
  <c r="AV58" i="1"/>
  <c r="CN68" i="1"/>
  <c r="CN69" i="1" s="1"/>
  <c r="CN73" i="1"/>
  <c r="CN74" i="1" s="1"/>
  <c r="AU67" i="1"/>
  <c r="AU78" i="1" s="1"/>
  <c r="AU79" i="1" s="1"/>
  <c r="CQ60" i="1"/>
  <c r="CP59" i="1"/>
  <c r="CP61" i="1"/>
  <c r="CS38" i="1"/>
  <c r="CS39" i="1" s="1"/>
  <c r="CS46" i="1" s="1"/>
  <c r="AW57" i="1"/>
  <c r="CR57" i="1"/>
  <c r="CR58" i="1" s="1"/>
  <c r="CR61" i="1" s="1"/>
  <c r="CR62" i="1" s="1"/>
  <c r="CR63" i="1" s="1"/>
  <c r="CR66" i="1" s="1"/>
  <c r="CR73" i="1" s="1"/>
  <c r="CR74" i="1" s="1"/>
  <c r="CP60" i="1"/>
  <c r="CO62" i="1"/>
  <c r="CO63" i="1" s="1"/>
  <c r="AV60" i="1"/>
  <c r="AV61" i="1"/>
  <c r="CW42" i="1"/>
  <c r="CW54" i="1"/>
  <c r="CQ67" i="1"/>
  <c r="CQ78" i="1" s="1"/>
  <c r="CQ79" i="1" s="1"/>
  <c r="CQ66" i="1"/>
  <c r="AZ45" i="1"/>
  <c r="CT65" i="1"/>
  <c r="CT71" i="1" s="1"/>
  <c r="CT76" i="1" s="1"/>
  <c r="CT55" i="1"/>
  <c r="CU30" i="1"/>
  <c r="CU32" i="1" s="1"/>
  <c r="CU43" i="1"/>
  <c r="CU53" i="1"/>
  <c r="CR48" i="1"/>
  <c r="CR59" i="1"/>
  <c r="AW47" i="1"/>
  <c r="AX42" i="1" s="1"/>
  <c r="AW49" i="1"/>
  <c r="CS37" i="1"/>
  <c r="CV31" i="1"/>
  <c r="CV72" i="1" s="1"/>
  <c r="CV35" i="1"/>
  <c r="CV77" i="1" s="1"/>
  <c r="CW13" i="1"/>
  <c r="CV28" i="1"/>
  <c r="CV41" i="1" s="1"/>
  <c r="AZ34" i="1"/>
  <c r="AZ36" i="1" s="1"/>
  <c r="AZ33" i="1"/>
  <c r="BA29" i="1" s="1"/>
  <c r="CV23" i="1"/>
  <c r="CV24" i="1"/>
  <c r="CW26" i="1"/>
  <c r="CW44" i="1" s="1"/>
  <c r="CW56" i="1" s="1"/>
  <c r="CW29" i="1"/>
  <c r="CW22" i="1" a="1"/>
  <c r="CW22" i="1" s="1"/>
  <c r="CW25" i="1"/>
  <c r="CX12" i="1"/>
  <c r="CW15" i="1"/>
  <c r="CW14" i="1"/>
  <c r="CW16" i="1"/>
  <c r="CQ68" i="1" l="1"/>
  <c r="CQ69" i="1" s="1"/>
  <c r="CT38" i="1"/>
  <c r="CT39" i="1" s="1"/>
  <c r="CT46" i="1" s="1"/>
  <c r="CT48" i="1" s="1"/>
  <c r="AU68" i="1"/>
  <c r="AU69" i="1" s="1"/>
  <c r="CP62" i="1"/>
  <c r="CP63" i="1" s="1"/>
  <c r="CO67" i="1"/>
  <c r="CO78" i="1" s="1"/>
  <c r="CO79" i="1" s="1"/>
  <c r="CO66" i="1"/>
  <c r="CR60" i="1"/>
  <c r="CU34" i="1"/>
  <c r="CU36" i="1" s="1"/>
  <c r="CU37" i="1" s="1"/>
  <c r="AW50" i="1"/>
  <c r="AW51" i="1" s="1"/>
  <c r="CQ73" i="1"/>
  <c r="CQ74" i="1" s="1"/>
  <c r="CS57" i="1"/>
  <c r="AV62" i="1"/>
  <c r="AV63" i="1" s="1"/>
  <c r="AV66" i="1" s="1"/>
  <c r="AV59" i="1"/>
  <c r="AW54" i="1" s="1"/>
  <c r="AW55" i="1" s="1"/>
  <c r="CS49" i="1"/>
  <c r="CR67" i="1"/>
  <c r="CR78" i="1" s="1"/>
  <c r="CR79" i="1" s="1"/>
  <c r="CS47" i="1"/>
  <c r="CX42" i="1"/>
  <c r="CX54" i="1"/>
  <c r="CU45" i="1"/>
  <c r="CV43" i="1"/>
  <c r="CV53" i="1"/>
  <c r="CU65" i="1"/>
  <c r="CU71" i="1" s="1"/>
  <c r="CU76" i="1" s="1"/>
  <c r="CU55" i="1"/>
  <c r="CU33" i="1"/>
  <c r="AX43" i="1"/>
  <c r="AX46" i="1" s="1"/>
  <c r="CS48" i="1"/>
  <c r="CV30" i="1"/>
  <c r="CV32" i="1" s="1"/>
  <c r="AZ37" i="1"/>
  <c r="AZ38" i="1"/>
  <c r="BA30" i="1"/>
  <c r="BA32" i="1" s="1"/>
  <c r="CX13" i="1"/>
  <c r="CW28" i="1"/>
  <c r="CW31" i="1"/>
  <c r="CW72" i="1" s="1"/>
  <c r="CW35" i="1"/>
  <c r="CW77" i="1" s="1"/>
  <c r="CW24" i="1"/>
  <c r="CW23" i="1"/>
  <c r="CX26" i="1"/>
  <c r="CX44" i="1" s="1"/>
  <c r="CX56" i="1" s="1"/>
  <c r="CX29" i="1"/>
  <c r="CX25" i="1"/>
  <c r="CX22" i="1" a="1"/>
  <c r="CX22" i="1" s="1"/>
  <c r="CY12" i="1"/>
  <c r="CX16" i="1"/>
  <c r="CX14" i="1"/>
  <c r="CX15" i="1"/>
  <c r="CT49" i="1" l="1"/>
  <c r="CT47" i="1"/>
  <c r="CT57" i="1"/>
  <c r="AV67" i="1"/>
  <c r="AV78" i="1" s="1"/>
  <c r="AV79" i="1" s="1"/>
  <c r="CT50" i="1"/>
  <c r="CT51" i="1" s="1"/>
  <c r="CU38" i="1"/>
  <c r="CU39" i="1" s="1"/>
  <c r="CU46" i="1" s="1"/>
  <c r="CU48" i="1" s="1"/>
  <c r="AW58" i="1"/>
  <c r="AW59" i="1" s="1"/>
  <c r="AX54" i="1" s="1"/>
  <c r="AX57" i="1"/>
  <c r="CR68" i="1"/>
  <c r="CR69" i="1" s="1"/>
  <c r="CO68" i="1"/>
  <c r="CO69" i="1" s="1"/>
  <c r="CO73" i="1"/>
  <c r="CO74" i="1" s="1"/>
  <c r="CS50" i="1"/>
  <c r="CS51" i="1" s="1"/>
  <c r="CS58" i="1" s="1"/>
  <c r="CS60" i="1" s="1"/>
  <c r="AV73" i="1"/>
  <c r="AV74" i="1" s="1"/>
  <c r="CP67" i="1"/>
  <c r="CP78" i="1" s="1"/>
  <c r="CP79" i="1" s="1"/>
  <c r="CP66" i="1"/>
  <c r="CV65" i="1"/>
  <c r="CV71" i="1" s="1"/>
  <c r="CV76" i="1" s="1"/>
  <c r="CV55" i="1"/>
  <c r="BA45" i="1"/>
  <c r="CY42" i="1"/>
  <c r="CY54" i="1"/>
  <c r="CV45" i="1"/>
  <c r="AX47" i="1"/>
  <c r="AY42" i="1" s="1"/>
  <c r="AX49" i="1"/>
  <c r="AK48" i="1"/>
  <c r="BA34" i="1"/>
  <c r="BA36" i="1" s="1"/>
  <c r="CV34" i="1"/>
  <c r="CV36" i="1" s="1"/>
  <c r="CW30" i="1"/>
  <c r="CW32" i="1" s="1"/>
  <c r="CW41" i="1"/>
  <c r="CV33" i="1"/>
  <c r="AZ39" i="1"/>
  <c r="CY13" i="1"/>
  <c r="CX28" i="1"/>
  <c r="CX41" i="1" s="1"/>
  <c r="CX31" i="1"/>
  <c r="CX72" i="1" s="1"/>
  <c r="CX35" i="1"/>
  <c r="CX77" i="1" s="1"/>
  <c r="BA33" i="1"/>
  <c r="BB29" i="1" s="1"/>
  <c r="BB30" i="1" s="1"/>
  <c r="CY29" i="1"/>
  <c r="CY22" i="1" a="1"/>
  <c r="CY22" i="1" s="1"/>
  <c r="CY25" i="1"/>
  <c r="CY26" i="1"/>
  <c r="CY44" i="1" s="1"/>
  <c r="CY56" i="1" s="1"/>
  <c r="CX24" i="1"/>
  <c r="CX23" i="1"/>
  <c r="CZ12" i="1"/>
  <c r="CY16" i="1"/>
  <c r="CY14" i="1"/>
  <c r="CY15" i="1"/>
  <c r="CT58" i="1" l="1"/>
  <c r="CT60" i="1" s="1"/>
  <c r="CU49" i="1"/>
  <c r="CU50" i="1" s="1"/>
  <c r="CU51" i="1" s="1"/>
  <c r="CU47" i="1"/>
  <c r="AV68" i="1"/>
  <c r="AV69" i="1" s="1"/>
  <c r="CS59" i="1"/>
  <c r="CP68" i="1"/>
  <c r="CP69" i="1" s="1"/>
  <c r="CP73" i="1"/>
  <c r="CP74" i="1" s="1"/>
  <c r="BA37" i="1"/>
  <c r="AW60" i="1"/>
  <c r="AX50" i="1"/>
  <c r="AX51" i="1" s="1"/>
  <c r="CV38" i="1"/>
  <c r="CV39" i="1" s="1"/>
  <c r="CV46" i="1" s="1"/>
  <c r="AW61" i="1"/>
  <c r="CU57" i="1"/>
  <c r="CS61" i="1"/>
  <c r="AX55" i="1"/>
  <c r="CZ42" i="1"/>
  <c r="CZ54" i="1"/>
  <c r="CW43" i="1"/>
  <c r="CW53" i="1"/>
  <c r="CW45" i="1"/>
  <c r="CX43" i="1"/>
  <c r="CX53" i="1"/>
  <c r="AY43" i="1"/>
  <c r="AY46" i="1" s="1"/>
  <c r="CW34" i="1"/>
  <c r="CW36" i="1" s="1"/>
  <c r="BA38" i="1"/>
  <c r="BA39" i="1" s="1"/>
  <c r="CV37" i="1"/>
  <c r="CX30" i="1"/>
  <c r="CX32" i="1" s="1"/>
  <c r="BB32" i="1"/>
  <c r="CY28" i="1"/>
  <c r="CZ13" i="1"/>
  <c r="CY31" i="1"/>
  <c r="CY72" i="1" s="1"/>
  <c r="CY35" i="1"/>
  <c r="CY77" i="1" s="1"/>
  <c r="CW33" i="1"/>
  <c r="CY24" i="1"/>
  <c r="CY23" i="1"/>
  <c r="CZ29" i="1"/>
  <c r="CZ22" i="1" a="1"/>
  <c r="CZ22" i="1" s="1"/>
  <c r="CZ25" i="1"/>
  <c r="CZ26" i="1"/>
  <c r="CZ44" i="1" s="1"/>
  <c r="CZ56" i="1" s="1"/>
  <c r="DA12" i="1"/>
  <c r="CZ16" i="1"/>
  <c r="CZ14" i="1"/>
  <c r="CZ15" i="1"/>
  <c r="CT59" i="1" l="1"/>
  <c r="CT61" i="1"/>
  <c r="CT62" i="1" s="1"/>
  <c r="CT63" i="1" s="1"/>
  <c r="CT67" i="1" s="1"/>
  <c r="CT78" i="1" s="1"/>
  <c r="CT79" i="1" s="1"/>
  <c r="CU58" i="1"/>
  <c r="CU61" i="1" s="1"/>
  <c r="CU62" i="1" s="1"/>
  <c r="CU63" i="1" s="1"/>
  <c r="CU66" i="1" s="1"/>
  <c r="CU68" i="1" s="1"/>
  <c r="CU69" i="1" s="1"/>
  <c r="CU60" i="1"/>
  <c r="CU59" i="1"/>
  <c r="CV57" i="1"/>
  <c r="AY57" i="1"/>
  <c r="AW62" i="1"/>
  <c r="AW63" i="1" s="1"/>
  <c r="AX58" i="1"/>
  <c r="AX60" i="1" s="1"/>
  <c r="CS62" i="1"/>
  <c r="CS63" i="1" s="1"/>
  <c r="CW37" i="1"/>
  <c r="DA42" i="1"/>
  <c r="DA54" i="1"/>
  <c r="CX65" i="1"/>
  <c r="CX71" i="1" s="1"/>
  <c r="CX76" i="1" s="1"/>
  <c r="CX55" i="1"/>
  <c r="CV49" i="1"/>
  <c r="CV47" i="1"/>
  <c r="CW65" i="1"/>
  <c r="CW71" i="1" s="1"/>
  <c r="CW76" i="1" s="1"/>
  <c r="CW55" i="1"/>
  <c r="BB45" i="1"/>
  <c r="CX45" i="1"/>
  <c r="CU67" i="1"/>
  <c r="CU78" i="1" s="1"/>
  <c r="CU79" i="1" s="1"/>
  <c r="AY47" i="1"/>
  <c r="AZ42" i="1" s="1"/>
  <c r="AY49" i="1"/>
  <c r="CW38" i="1"/>
  <c r="CW39" i="1" s="1"/>
  <c r="CW46" i="1" s="1"/>
  <c r="CX34" i="1"/>
  <c r="CX36" i="1" s="1"/>
  <c r="CV48" i="1"/>
  <c r="CX33" i="1"/>
  <c r="BB34" i="1"/>
  <c r="BB36" i="1" s="1"/>
  <c r="CY30" i="1"/>
  <c r="CY32" i="1" s="1"/>
  <c r="CY41" i="1"/>
  <c r="CZ28" i="1"/>
  <c r="CZ41" i="1" s="1"/>
  <c r="DA13" i="1"/>
  <c r="CZ31" i="1"/>
  <c r="CZ72" i="1" s="1"/>
  <c r="CZ35" i="1"/>
  <c r="CZ77" i="1" s="1"/>
  <c r="BB33" i="1"/>
  <c r="BC29" i="1" s="1"/>
  <c r="CZ23" i="1"/>
  <c r="CZ24" i="1"/>
  <c r="DA29" i="1"/>
  <c r="DA22" i="1" a="1"/>
  <c r="DA22" i="1" s="1"/>
  <c r="DA25" i="1"/>
  <c r="DA26" i="1"/>
  <c r="DA44" i="1" s="1"/>
  <c r="DA56" i="1" s="1"/>
  <c r="DB12" i="1"/>
  <c r="DA15" i="1"/>
  <c r="DA14" i="1"/>
  <c r="DA16" i="1"/>
  <c r="CT66" i="1" l="1"/>
  <c r="CT73" i="1" s="1"/>
  <c r="CT74" i="1" s="1"/>
  <c r="CT68" i="1"/>
  <c r="CT69" i="1" s="1"/>
  <c r="AX59" i="1"/>
  <c r="AY54" i="1" s="1"/>
  <c r="AY55" i="1" s="1"/>
  <c r="CS66" i="1"/>
  <c r="CS67" i="1"/>
  <c r="CS78" i="1" s="1"/>
  <c r="CS79" i="1" s="1"/>
  <c r="CW57" i="1"/>
  <c r="AY50" i="1"/>
  <c r="AY51" i="1" s="1"/>
  <c r="AW66" i="1"/>
  <c r="AW67" i="1"/>
  <c r="AW78" i="1" s="1"/>
  <c r="AW79" i="1" s="1"/>
  <c r="BB37" i="1"/>
  <c r="CV50" i="1"/>
  <c r="CV51" i="1" s="1"/>
  <c r="CV58" i="1" s="1"/>
  <c r="CV60" i="1" s="1"/>
  <c r="AX61" i="1"/>
  <c r="CU73" i="1"/>
  <c r="CU74" i="1" s="1"/>
  <c r="CY45" i="1"/>
  <c r="DB42" i="1"/>
  <c r="DB54" i="1"/>
  <c r="CY43" i="1"/>
  <c r="CY53" i="1"/>
  <c r="CZ43" i="1"/>
  <c r="CZ53" i="1"/>
  <c r="CW47" i="1"/>
  <c r="CW49" i="1"/>
  <c r="AZ43" i="1"/>
  <c r="AZ46" i="1" s="1"/>
  <c r="AL48" i="1"/>
  <c r="CW48" i="1"/>
  <c r="BB38" i="1"/>
  <c r="BB39" i="1" s="1"/>
  <c r="CY34" i="1"/>
  <c r="CY36" i="1" s="1"/>
  <c r="CX38" i="1"/>
  <c r="CX39" i="1" s="1"/>
  <c r="CX46" i="1" s="1"/>
  <c r="CX37" i="1"/>
  <c r="CZ30" i="1"/>
  <c r="CZ32" i="1" s="1"/>
  <c r="BC30" i="1"/>
  <c r="DA31" i="1"/>
  <c r="DA72" i="1" s="1"/>
  <c r="DA35" i="1"/>
  <c r="DA77" i="1" s="1"/>
  <c r="DA28" i="1"/>
  <c r="DB13" i="1"/>
  <c r="CY33" i="1"/>
  <c r="DA24" i="1"/>
  <c r="DA23" i="1"/>
  <c r="DB29" i="1"/>
  <c r="DB25" i="1"/>
  <c r="DB26" i="1"/>
  <c r="DB44" i="1" s="1"/>
  <c r="DB56" i="1" s="1"/>
  <c r="DB22" i="1" a="1"/>
  <c r="DB22" i="1" s="1"/>
  <c r="DC12" i="1"/>
  <c r="DB15" i="1"/>
  <c r="DB16" i="1"/>
  <c r="DB14" i="1"/>
  <c r="CV59" i="1" l="1"/>
  <c r="CY38" i="1"/>
  <c r="CY39" i="1" s="1"/>
  <c r="CY46" i="1" s="1"/>
  <c r="AW68" i="1"/>
  <c r="AW69" i="1" s="1"/>
  <c r="AW73" i="1"/>
  <c r="AW74" i="1" s="1"/>
  <c r="CX57" i="1"/>
  <c r="CV61" i="1"/>
  <c r="AY58" i="1"/>
  <c r="AZ57" i="1"/>
  <c r="AX62" i="1"/>
  <c r="AX63" i="1" s="1"/>
  <c r="CW50" i="1"/>
  <c r="CW51" i="1" s="1"/>
  <c r="CW58" i="1" s="1"/>
  <c r="CS68" i="1"/>
  <c r="CS69" i="1" s="1"/>
  <c r="CS73" i="1"/>
  <c r="CS74" i="1" s="1"/>
  <c r="CZ45" i="1"/>
  <c r="CZ65" i="1"/>
  <c r="CZ71" i="1" s="1"/>
  <c r="CZ76" i="1" s="1"/>
  <c r="CZ55" i="1"/>
  <c r="CY65" i="1"/>
  <c r="CY71" i="1" s="1"/>
  <c r="CY76" i="1" s="1"/>
  <c r="CY55" i="1"/>
  <c r="DC42" i="1"/>
  <c r="DC54" i="1"/>
  <c r="AZ47" i="1"/>
  <c r="BA42" i="1" s="1"/>
  <c r="AZ49" i="1"/>
  <c r="CX47" i="1"/>
  <c r="CX49" i="1"/>
  <c r="CY37" i="1"/>
  <c r="CX48" i="1"/>
  <c r="CZ34" i="1"/>
  <c r="CZ36" i="1" s="1"/>
  <c r="DA30" i="1"/>
  <c r="DA32" i="1" s="1"/>
  <c r="DA41" i="1"/>
  <c r="CZ33" i="1"/>
  <c r="DC13" i="1"/>
  <c r="DB28" i="1"/>
  <c r="DB41" i="1" s="1"/>
  <c r="BC32" i="1"/>
  <c r="DB31" i="1"/>
  <c r="DB72" i="1" s="1"/>
  <c r="DB35" i="1"/>
  <c r="DB77" i="1" s="1"/>
  <c r="DC29" i="1"/>
  <c r="DC26" i="1"/>
  <c r="DC44" i="1" s="1"/>
  <c r="DC56" i="1" s="1"/>
  <c r="DC25" i="1"/>
  <c r="DC22" i="1" a="1"/>
  <c r="DC22" i="1" s="1"/>
  <c r="DB24" i="1"/>
  <c r="DB23" i="1"/>
  <c r="DD12" i="1"/>
  <c r="DC16" i="1"/>
  <c r="DC15" i="1"/>
  <c r="DC14" i="1"/>
  <c r="CY57" i="1" l="1"/>
  <c r="CW61" i="1"/>
  <c r="CW59" i="1"/>
  <c r="AX66" i="1"/>
  <c r="AX67" i="1"/>
  <c r="AX78" i="1" s="1"/>
  <c r="AX79" i="1" s="1"/>
  <c r="CZ38" i="1"/>
  <c r="CZ39" i="1" s="1"/>
  <c r="CZ46" i="1" s="1"/>
  <c r="CZ47" i="1" s="1"/>
  <c r="CX50" i="1"/>
  <c r="CX51" i="1" s="1"/>
  <c r="CX58" i="1" s="1"/>
  <c r="CW60" i="1"/>
  <c r="AY60" i="1"/>
  <c r="AY59" i="1"/>
  <c r="AZ54" i="1" s="1"/>
  <c r="AY61" i="1"/>
  <c r="CV62" i="1"/>
  <c r="CV63" i="1" s="1"/>
  <c r="AZ50" i="1"/>
  <c r="AZ51" i="1" s="1"/>
  <c r="DA45" i="1"/>
  <c r="DD42" i="1"/>
  <c r="DD54" i="1"/>
  <c r="DA43" i="1"/>
  <c r="DA53" i="1"/>
  <c r="DB43" i="1"/>
  <c r="DB53" i="1"/>
  <c r="BA43" i="1"/>
  <c r="BA46" i="1" s="1"/>
  <c r="CY47" i="1"/>
  <c r="CY49" i="1"/>
  <c r="DB30" i="1"/>
  <c r="DB32" i="1" s="1"/>
  <c r="BC33" i="1"/>
  <c r="BD29" i="1" s="1"/>
  <c r="BD30" i="1" s="1"/>
  <c r="BD32" i="1" s="1"/>
  <c r="BC45" i="1"/>
  <c r="CY48" i="1"/>
  <c r="DA34" i="1"/>
  <c r="DA36" i="1" s="1"/>
  <c r="BC34" i="1"/>
  <c r="BC36" i="1" s="1"/>
  <c r="CZ37" i="1"/>
  <c r="DA33" i="1"/>
  <c r="DC31" i="1"/>
  <c r="DC72" i="1" s="1"/>
  <c r="DC35" i="1"/>
  <c r="DC77" i="1" s="1"/>
  <c r="DD13" i="1"/>
  <c r="DC28" i="1"/>
  <c r="DC41" i="1" s="1"/>
  <c r="DC24" i="1"/>
  <c r="DC23" i="1"/>
  <c r="DD26" i="1"/>
  <c r="DD44" i="1" s="1"/>
  <c r="DD56" i="1" s="1"/>
  <c r="DD25" i="1"/>
  <c r="DD22" i="1" a="1"/>
  <c r="DD22" i="1" s="1"/>
  <c r="DD29" i="1"/>
  <c r="DE12" i="1"/>
  <c r="DD14" i="1"/>
  <c r="DD15" i="1"/>
  <c r="DD16" i="1"/>
  <c r="CX60" i="1" l="1"/>
  <c r="CX61" i="1"/>
  <c r="CX59" i="1"/>
  <c r="CY50" i="1"/>
  <c r="CY51" i="1" s="1"/>
  <c r="CY58" i="1" s="1"/>
  <c r="CY60" i="1" s="1"/>
  <c r="CV66" i="1"/>
  <c r="CV67" i="1"/>
  <c r="CV78" i="1" s="1"/>
  <c r="CV79" i="1" s="1"/>
  <c r="AX68" i="1"/>
  <c r="AX69" i="1" s="1"/>
  <c r="AX73" i="1"/>
  <c r="AX74" i="1" s="1"/>
  <c r="BA57" i="1"/>
  <c r="BC37" i="1"/>
  <c r="CZ57" i="1"/>
  <c r="CW62" i="1"/>
  <c r="CW63" i="1" s="1"/>
  <c r="DA38" i="1"/>
  <c r="DA39" i="1" s="1"/>
  <c r="DA46" i="1" s="1"/>
  <c r="DA47" i="1" s="1"/>
  <c r="CZ49" i="1"/>
  <c r="DB34" i="1"/>
  <c r="DB36" i="1" s="1"/>
  <c r="AY62" i="1"/>
  <c r="AY63" i="1" s="1"/>
  <c r="AZ55" i="1"/>
  <c r="AZ58" i="1" s="1"/>
  <c r="BD45" i="1"/>
  <c r="DC43" i="1"/>
  <c r="DC53" i="1"/>
  <c r="DE42" i="1"/>
  <c r="DE54" i="1"/>
  <c r="DA65" i="1"/>
  <c r="DA71" i="1" s="1"/>
  <c r="DA76" i="1" s="1"/>
  <c r="DA55" i="1"/>
  <c r="DB33" i="1"/>
  <c r="DB65" i="1"/>
  <c r="DB71" i="1" s="1"/>
  <c r="DB76" i="1" s="1"/>
  <c r="DB55" i="1"/>
  <c r="DB45" i="1"/>
  <c r="BA47" i="1"/>
  <c r="BB42" i="1" s="1"/>
  <c r="BA49" i="1"/>
  <c r="DC30" i="1"/>
  <c r="DC32" i="1" s="1"/>
  <c r="AM48" i="1"/>
  <c r="CZ48" i="1"/>
  <c r="BC38" i="1"/>
  <c r="BC39" i="1" s="1"/>
  <c r="DA37" i="1"/>
  <c r="BD34" i="1"/>
  <c r="BD36" i="1" s="1"/>
  <c r="DD28" i="1"/>
  <c r="DD41" i="1" s="1"/>
  <c r="DE13" i="1"/>
  <c r="DD31" i="1"/>
  <c r="DD72" i="1" s="1"/>
  <c r="DD35" i="1"/>
  <c r="DD77" i="1" s="1"/>
  <c r="BD33" i="1"/>
  <c r="BE29" i="1" s="1"/>
  <c r="DD24" i="1"/>
  <c r="DD23" i="1"/>
  <c r="DE26" i="1"/>
  <c r="DE44" i="1" s="1"/>
  <c r="DE56" i="1" s="1"/>
  <c r="DE25" i="1"/>
  <c r="DE22" i="1" a="1"/>
  <c r="DE22" i="1" s="1"/>
  <c r="DE29" i="1"/>
  <c r="DF12" i="1"/>
  <c r="DE16" i="1"/>
  <c r="DE14" i="1"/>
  <c r="DE15" i="1"/>
  <c r="DA49" i="1" l="1"/>
  <c r="DA50" i="1" s="1"/>
  <c r="DA51" i="1" s="1"/>
  <c r="DD30" i="1"/>
  <c r="DD32" i="1" s="1"/>
  <c r="DD34" i="1" s="1"/>
  <c r="DD36" i="1" s="1"/>
  <c r="AZ59" i="1"/>
  <c r="BA54" i="1" s="1"/>
  <c r="BA55" i="1" s="1"/>
  <c r="DB38" i="1"/>
  <c r="DB39" i="1" s="1"/>
  <c r="DB46" i="1" s="1"/>
  <c r="CZ50" i="1"/>
  <c r="CZ51" i="1" s="1"/>
  <c r="CZ58" i="1" s="1"/>
  <c r="BA50" i="1"/>
  <c r="BA51" i="1" s="1"/>
  <c r="CW67" i="1"/>
  <c r="CW78" i="1" s="1"/>
  <c r="CW79" i="1" s="1"/>
  <c r="CW66" i="1"/>
  <c r="CY59" i="1"/>
  <c r="CY61" i="1"/>
  <c r="AZ61" i="1"/>
  <c r="AZ60" i="1"/>
  <c r="DA57" i="1"/>
  <c r="CV73" i="1"/>
  <c r="CV74" i="1" s="1"/>
  <c r="CV68" i="1"/>
  <c r="CV69" i="1" s="1"/>
  <c r="BD38" i="1"/>
  <c r="BD39" i="1" s="1"/>
  <c r="CX62" i="1"/>
  <c r="CX63" i="1" s="1"/>
  <c r="DB37" i="1"/>
  <c r="AY67" i="1"/>
  <c r="AY78" i="1" s="1"/>
  <c r="AY79" i="1" s="1"/>
  <c r="AY66" i="1"/>
  <c r="DF42" i="1"/>
  <c r="DF54" i="1"/>
  <c r="DD43" i="1"/>
  <c r="DD53" i="1"/>
  <c r="DC45" i="1"/>
  <c r="DC65" i="1"/>
  <c r="DC71" i="1" s="1"/>
  <c r="DC76" i="1" s="1"/>
  <c r="DC55" i="1"/>
  <c r="DC33" i="1"/>
  <c r="BB43" i="1"/>
  <c r="BB46" i="1" s="1"/>
  <c r="DC34" i="1"/>
  <c r="DC36" i="1" s="1"/>
  <c r="DA48" i="1"/>
  <c r="BD37" i="1"/>
  <c r="BE30" i="1"/>
  <c r="BE32" i="1" s="1"/>
  <c r="DF13" i="1"/>
  <c r="DE28" i="1"/>
  <c r="DE41" i="1" s="1"/>
  <c r="DE31" i="1"/>
  <c r="DE72" i="1" s="1"/>
  <c r="DE35" i="1"/>
  <c r="DE77" i="1" s="1"/>
  <c r="DE24" i="1"/>
  <c r="DE23" i="1"/>
  <c r="DF26" i="1"/>
  <c r="DF44" i="1" s="1"/>
  <c r="DF56" i="1" s="1"/>
  <c r="DF25" i="1"/>
  <c r="DF22" i="1" a="1"/>
  <c r="DF22" i="1" s="1"/>
  <c r="DF29" i="1"/>
  <c r="DG12" i="1"/>
  <c r="DF15" i="1"/>
  <c r="DF14" i="1"/>
  <c r="DF16" i="1"/>
  <c r="DD33" i="1" l="1"/>
  <c r="BA58" i="1"/>
  <c r="BA60" i="1" s="1"/>
  <c r="DA58" i="1"/>
  <c r="DA61" i="1" s="1"/>
  <c r="DD45" i="1"/>
  <c r="CX66" i="1"/>
  <c r="CX67" i="1"/>
  <c r="CX78" i="1" s="1"/>
  <c r="CX79" i="1" s="1"/>
  <c r="CW68" i="1"/>
  <c r="CW69" i="1" s="1"/>
  <c r="CW73" i="1"/>
  <c r="CW74" i="1" s="1"/>
  <c r="DB49" i="1"/>
  <c r="DB57" i="1"/>
  <c r="DB47" i="1"/>
  <c r="AY68" i="1"/>
  <c r="AY69" i="1" s="1"/>
  <c r="AY73" i="1"/>
  <c r="AY74" i="1" s="1"/>
  <c r="AZ62" i="1"/>
  <c r="AZ63" i="1" s="1"/>
  <c r="CY62" i="1"/>
  <c r="CY63" i="1" s="1"/>
  <c r="DB48" i="1"/>
  <c r="BB57" i="1"/>
  <c r="CZ61" i="1"/>
  <c r="CZ60" i="1"/>
  <c r="CZ59" i="1"/>
  <c r="DG42" i="1"/>
  <c r="DG54" i="1"/>
  <c r="DE43" i="1"/>
  <c r="DE53" i="1"/>
  <c r="BE45" i="1"/>
  <c r="DD65" i="1"/>
  <c r="DD71" i="1" s="1"/>
  <c r="DD76" i="1" s="1"/>
  <c r="DD55" i="1"/>
  <c r="BB47" i="1"/>
  <c r="BC42" i="1" s="1"/>
  <c r="BB49" i="1"/>
  <c r="DC38" i="1"/>
  <c r="DC39" i="1" s="1"/>
  <c r="DC46" i="1" s="1"/>
  <c r="DC37" i="1"/>
  <c r="BE34" i="1"/>
  <c r="BE36" i="1" s="1"/>
  <c r="DE30" i="1"/>
  <c r="DE32" i="1" s="1"/>
  <c r="DD37" i="1"/>
  <c r="DD38" i="1"/>
  <c r="DF31" i="1"/>
  <c r="DF72" i="1" s="1"/>
  <c r="DF35" i="1"/>
  <c r="DF77" i="1" s="1"/>
  <c r="DG13" i="1"/>
  <c r="DF28" i="1"/>
  <c r="BE33" i="1"/>
  <c r="BF29" i="1" s="1"/>
  <c r="DF24" i="1"/>
  <c r="DF23" i="1"/>
  <c r="DG25" i="1"/>
  <c r="DG22" i="1" a="1"/>
  <c r="DG22" i="1" s="1"/>
  <c r="DG29" i="1"/>
  <c r="DG26" i="1"/>
  <c r="DG44" i="1" s="1"/>
  <c r="DG56" i="1" s="1"/>
  <c r="DH12" i="1"/>
  <c r="DG15" i="1"/>
  <c r="DG16" i="1"/>
  <c r="DG14" i="1"/>
  <c r="BA59" i="1" l="1"/>
  <c r="BB54" i="1" s="1"/>
  <c r="BB55" i="1" s="1"/>
  <c r="BA61" i="1"/>
  <c r="BA62" i="1" s="1"/>
  <c r="BA63" i="1" s="1"/>
  <c r="DA59" i="1"/>
  <c r="DA60" i="1"/>
  <c r="BB50" i="1"/>
  <c r="BB51" i="1" s="1"/>
  <c r="CY67" i="1"/>
  <c r="CY78" i="1" s="1"/>
  <c r="CY79" i="1" s="1"/>
  <c r="CY66" i="1"/>
  <c r="DB50" i="1"/>
  <c r="DB51" i="1" s="1"/>
  <c r="DB58" i="1" s="1"/>
  <c r="DA62" i="1"/>
  <c r="DA63" i="1" s="1"/>
  <c r="AZ67" i="1"/>
  <c r="AZ78" i="1" s="1"/>
  <c r="AZ79" i="1" s="1"/>
  <c r="AZ66" i="1"/>
  <c r="BE37" i="1"/>
  <c r="CX68" i="1"/>
  <c r="CX69" i="1" s="1"/>
  <c r="CX73" i="1"/>
  <c r="CX74" i="1" s="1"/>
  <c r="CZ62" i="1"/>
  <c r="CZ63" i="1" s="1"/>
  <c r="DC49" i="1"/>
  <c r="DC57" i="1"/>
  <c r="DH42" i="1"/>
  <c r="DH54" i="1"/>
  <c r="DE45" i="1"/>
  <c r="DE65" i="1"/>
  <c r="DE71" i="1" s="1"/>
  <c r="DE76" i="1" s="1"/>
  <c r="DE55" i="1"/>
  <c r="BC43" i="1"/>
  <c r="BC46" i="1" s="1"/>
  <c r="BE38" i="1"/>
  <c r="BE39" i="1" s="1"/>
  <c r="DC48" i="1"/>
  <c r="DC47" i="1"/>
  <c r="AN48" i="1"/>
  <c r="DE33" i="1"/>
  <c r="DE34" i="1"/>
  <c r="DE36" i="1" s="1"/>
  <c r="DF30" i="1"/>
  <c r="DF32" i="1" s="1"/>
  <c r="DF41" i="1"/>
  <c r="DD39" i="1"/>
  <c r="DD46" i="1" s="1"/>
  <c r="BF30" i="1"/>
  <c r="BF32" i="1" s="1"/>
  <c r="DH13" i="1"/>
  <c r="DG28" i="1"/>
  <c r="DG41" i="1" s="1"/>
  <c r="DG53" i="1" s="1"/>
  <c r="DG65" i="1" s="1"/>
  <c r="DG71" i="1" s="1"/>
  <c r="DG76" i="1" s="1"/>
  <c r="DG31" i="1"/>
  <c r="DG72" i="1" s="1"/>
  <c r="DG35" i="1"/>
  <c r="DG77" i="1" s="1"/>
  <c r="DG24" i="1"/>
  <c r="DG23" i="1"/>
  <c r="DH22" i="1" a="1"/>
  <c r="DH22" i="1" s="1"/>
  <c r="DH25" i="1"/>
  <c r="DH29" i="1"/>
  <c r="DH26" i="1"/>
  <c r="DH44" i="1" s="1"/>
  <c r="DH56" i="1" s="1"/>
  <c r="DI12" i="1"/>
  <c r="DH16" i="1"/>
  <c r="DH15" i="1"/>
  <c r="DH14" i="1"/>
  <c r="BB58" i="1" l="1"/>
  <c r="BB59" i="1" s="1"/>
  <c r="BC54" i="1" s="1"/>
  <c r="DB61" i="1"/>
  <c r="DB59" i="1"/>
  <c r="DB60" i="1"/>
  <c r="DD57" i="1"/>
  <c r="DA67" i="1"/>
  <c r="DA78" i="1" s="1"/>
  <c r="DA79" i="1" s="1"/>
  <c r="DA66" i="1"/>
  <c r="CZ66" i="1"/>
  <c r="CZ67" i="1"/>
  <c r="CZ78" i="1" s="1"/>
  <c r="CZ79" i="1" s="1"/>
  <c r="DE37" i="1"/>
  <c r="DC50" i="1"/>
  <c r="DC51" i="1" s="1"/>
  <c r="DC58" i="1" s="1"/>
  <c r="DC59" i="1" s="1"/>
  <c r="BA66" i="1"/>
  <c r="BA67" i="1"/>
  <c r="BA78" i="1" s="1"/>
  <c r="BA79" i="1" s="1"/>
  <c r="CY68" i="1"/>
  <c r="CY69" i="1" s="1"/>
  <c r="CY73" i="1"/>
  <c r="CY74" i="1" s="1"/>
  <c r="BC57" i="1"/>
  <c r="BB61" i="1"/>
  <c r="BB60" i="1"/>
  <c r="AZ68" i="1"/>
  <c r="AZ69" i="1" s="1"/>
  <c r="AZ73" i="1"/>
  <c r="AZ74" i="1" s="1"/>
  <c r="BF45" i="1"/>
  <c r="DF43" i="1"/>
  <c r="DF53" i="1"/>
  <c r="DG55" i="1" s="1"/>
  <c r="DG30" i="1"/>
  <c r="DG32" i="1" s="1"/>
  <c r="DI42" i="1"/>
  <c r="DI54" i="1"/>
  <c r="BC55" i="1"/>
  <c r="BC47" i="1"/>
  <c r="BD42" i="1" s="1"/>
  <c r="BC49" i="1"/>
  <c r="DD47" i="1"/>
  <c r="DD49" i="1"/>
  <c r="DG43" i="1"/>
  <c r="DF34" i="1"/>
  <c r="DF36" i="1" s="1"/>
  <c r="DF45" i="1"/>
  <c r="DE38" i="1"/>
  <c r="DE39" i="1" s="1"/>
  <c r="DE46" i="1" s="1"/>
  <c r="BF34" i="1"/>
  <c r="BF36" i="1" s="1"/>
  <c r="DF33" i="1"/>
  <c r="DI13" i="1"/>
  <c r="DH28" i="1"/>
  <c r="DH41" i="1" s="1"/>
  <c r="DH31" i="1"/>
  <c r="DH72" i="1" s="1"/>
  <c r="DH35" i="1"/>
  <c r="DH77" i="1" s="1"/>
  <c r="BF33" i="1"/>
  <c r="BG29" i="1" s="1"/>
  <c r="DI29" i="1"/>
  <c r="DI25" i="1"/>
  <c r="DI22" i="1" a="1"/>
  <c r="DI22" i="1" s="1"/>
  <c r="DI26" i="1"/>
  <c r="DI44" i="1" s="1"/>
  <c r="DI56" i="1" s="1"/>
  <c r="DH24" i="1"/>
  <c r="DH23" i="1"/>
  <c r="DJ12" i="1"/>
  <c r="DI15" i="1"/>
  <c r="DI14" i="1"/>
  <c r="DI16" i="1"/>
  <c r="DE57" i="1" l="1"/>
  <c r="BA73" i="1"/>
  <c r="BA74" i="1" s="1"/>
  <c r="BA68" i="1"/>
  <c r="BA69" i="1" s="1"/>
  <c r="CZ68" i="1"/>
  <c r="CZ69" i="1" s="1"/>
  <c r="CZ73" i="1"/>
  <c r="CZ74" i="1" s="1"/>
  <c r="DA68" i="1"/>
  <c r="DA69" i="1" s="1"/>
  <c r="DA73" i="1"/>
  <c r="DA74" i="1" s="1"/>
  <c r="BF37" i="1"/>
  <c r="DG34" i="1"/>
  <c r="DG36" i="1" s="1"/>
  <c r="DG37" i="1" s="1"/>
  <c r="BC50" i="1"/>
  <c r="BC51" i="1" s="1"/>
  <c r="BC58" i="1" s="1"/>
  <c r="DD50" i="1"/>
  <c r="DD51" i="1" s="1"/>
  <c r="DD58" i="1" s="1"/>
  <c r="DD60" i="1" s="1"/>
  <c r="DC61" i="1"/>
  <c r="DF37" i="1"/>
  <c r="BB62" i="1"/>
  <c r="BB63" i="1" s="1"/>
  <c r="DB62" i="1"/>
  <c r="DB63" i="1" s="1"/>
  <c r="DH43" i="1"/>
  <c r="DH53" i="1"/>
  <c r="DJ42" i="1"/>
  <c r="DJ54" i="1"/>
  <c r="DG45" i="1"/>
  <c r="DF65" i="1"/>
  <c r="DF71" i="1" s="1"/>
  <c r="DF76" i="1" s="1"/>
  <c r="DF55" i="1"/>
  <c r="DC60" i="1"/>
  <c r="DG33" i="1"/>
  <c r="DE47" i="1"/>
  <c r="DE49" i="1"/>
  <c r="BD43" i="1"/>
  <c r="BD46" i="1" s="1"/>
  <c r="DF38" i="1"/>
  <c r="DF39" i="1" s="1"/>
  <c r="DF46" i="1" s="1"/>
  <c r="BF38" i="1"/>
  <c r="BF39" i="1" s="1"/>
  <c r="DD48" i="1"/>
  <c r="DH30" i="1"/>
  <c r="DH32" i="1" s="1"/>
  <c r="DI31" i="1"/>
  <c r="DI72" i="1" s="1"/>
  <c r="DI35" i="1"/>
  <c r="DI77" i="1" s="1"/>
  <c r="BG30" i="1"/>
  <c r="BG32" i="1" s="1"/>
  <c r="DI28" i="1"/>
  <c r="DJ13" i="1"/>
  <c r="DI23" i="1"/>
  <c r="DI24" i="1"/>
  <c r="DJ26" i="1"/>
  <c r="DJ44" i="1" s="1"/>
  <c r="DJ56" i="1" s="1"/>
  <c r="DJ25" i="1"/>
  <c r="DJ29" i="1"/>
  <c r="DJ22" i="1" a="1"/>
  <c r="DJ22" i="1" s="1"/>
  <c r="DK12" i="1"/>
  <c r="DJ16" i="1"/>
  <c r="DJ14" i="1"/>
  <c r="DJ15" i="1"/>
  <c r="BC60" i="1" l="1"/>
  <c r="BC61" i="1"/>
  <c r="BC59" i="1"/>
  <c r="BD54" i="1" s="1"/>
  <c r="BD55" i="1" s="1"/>
  <c r="BD57" i="1"/>
  <c r="DC62" i="1"/>
  <c r="DC63" i="1" s="1"/>
  <c r="DD59" i="1"/>
  <c r="DF57" i="1"/>
  <c r="DG38" i="1"/>
  <c r="DG39" i="1" s="1"/>
  <c r="DG46" i="1" s="1"/>
  <c r="DG48" i="1" s="1"/>
  <c r="DE50" i="1"/>
  <c r="DE51" i="1" s="1"/>
  <c r="DE58" i="1" s="1"/>
  <c r="DD61" i="1"/>
  <c r="DB66" i="1"/>
  <c r="DB67" i="1"/>
  <c r="DB78" i="1" s="1"/>
  <c r="DB79" i="1" s="1"/>
  <c r="BB67" i="1"/>
  <c r="BB78" i="1" s="1"/>
  <c r="BB79" i="1" s="1"/>
  <c r="BB66" i="1"/>
  <c r="DK42" i="1"/>
  <c r="DK54" i="1"/>
  <c r="BG45" i="1"/>
  <c r="DH45" i="1"/>
  <c r="DH65" i="1"/>
  <c r="DH71" i="1" s="1"/>
  <c r="DH76" i="1" s="1"/>
  <c r="DH55" i="1"/>
  <c r="DG49" i="1"/>
  <c r="DG50" i="1" s="1"/>
  <c r="DG51" i="1" s="1"/>
  <c r="BD47" i="1"/>
  <c r="BE42" i="1" s="1"/>
  <c r="BD49" i="1"/>
  <c r="DF47" i="1"/>
  <c r="DF49" i="1"/>
  <c r="AO48" i="1"/>
  <c r="DF48" i="1"/>
  <c r="DH34" i="1"/>
  <c r="DH36" i="1" s="1"/>
  <c r="DH33" i="1"/>
  <c r="BG34" i="1"/>
  <c r="BG36" i="1" s="1"/>
  <c r="DE48" i="1"/>
  <c r="DI30" i="1"/>
  <c r="DI32" i="1" s="1"/>
  <c r="DI41" i="1"/>
  <c r="DK13" i="1"/>
  <c r="DJ28" i="1"/>
  <c r="BG33" i="1"/>
  <c r="BH29" i="1" s="1"/>
  <c r="DJ31" i="1"/>
  <c r="DJ72" i="1" s="1"/>
  <c r="DJ35" i="1"/>
  <c r="DJ77" i="1" s="1"/>
  <c r="DK26" i="1"/>
  <c r="DK44" i="1" s="1"/>
  <c r="DK56" i="1" s="1"/>
  <c r="DK22" i="1" a="1"/>
  <c r="DK22" i="1" s="1"/>
  <c r="DK25" i="1"/>
  <c r="DK29" i="1"/>
  <c r="DJ23" i="1"/>
  <c r="DJ24" i="1"/>
  <c r="DL12" i="1"/>
  <c r="DK16" i="1"/>
  <c r="DK15" i="1"/>
  <c r="DK14" i="1"/>
  <c r="BB68" i="1" l="1"/>
  <c r="BB69" i="1" s="1"/>
  <c r="BB73" i="1"/>
  <c r="BB74" i="1" s="1"/>
  <c r="DB68" i="1"/>
  <c r="DB69" i="1" s="1"/>
  <c r="DB73" i="1"/>
  <c r="DB74" i="1" s="1"/>
  <c r="DD62" i="1"/>
  <c r="DD63" i="1" s="1"/>
  <c r="BC62" i="1"/>
  <c r="BC63" i="1" s="1"/>
  <c r="BD50" i="1"/>
  <c r="BD51" i="1" s="1"/>
  <c r="BD58" i="1" s="1"/>
  <c r="BD60" i="1" s="1"/>
  <c r="DE59" i="1"/>
  <c r="DE61" i="1"/>
  <c r="DG57" i="1"/>
  <c r="BG37" i="1"/>
  <c r="DH38" i="1"/>
  <c r="DH39" i="1" s="1"/>
  <c r="DH46" i="1" s="1"/>
  <c r="DC66" i="1"/>
  <c r="DC67" i="1"/>
  <c r="DC78" i="1" s="1"/>
  <c r="DC79" i="1" s="1"/>
  <c r="DF50" i="1"/>
  <c r="DF51" i="1" s="1"/>
  <c r="DF58" i="1" s="1"/>
  <c r="DF59" i="1" s="1"/>
  <c r="DG47" i="1"/>
  <c r="DE60" i="1"/>
  <c r="DI43" i="1"/>
  <c r="DI53" i="1"/>
  <c r="DI45" i="1"/>
  <c r="DL42" i="1"/>
  <c r="DL54" i="1"/>
  <c r="BE43" i="1"/>
  <c r="BE46" i="1" s="1"/>
  <c r="DH37" i="1"/>
  <c r="DI34" i="1"/>
  <c r="DI36" i="1" s="1"/>
  <c r="BG38" i="1"/>
  <c r="BG39" i="1" s="1"/>
  <c r="DJ30" i="1"/>
  <c r="DJ32" i="1" s="1"/>
  <c r="DJ41" i="1"/>
  <c r="DI33" i="1"/>
  <c r="DL13" i="1"/>
  <c r="DK28" i="1"/>
  <c r="DK31" i="1"/>
  <c r="DK72" i="1" s="1"/>
  <c r="DK35" i="1"/>
  <c r="DK77" i="1" s="1"/>
  <c r="BH30" i="1"/>
  <c r="BH32" i="1" s="1"/>
  <c r="DK23" i="1"/>
  <c r="DK24" i="1"/>
  <c r="DL29" i="1"/>
  <c r="DL26" i="1"/>
  <c r="DL44" i="1" s="1"/>
  <c r="DL56" i="1" s="1"/>
  <c r="DL25" i="1"/>
  <c r="DL22" i="1" a="1"/>
  <c r="DL22" i="1" s="1"/>
  <c r="DM12" i="1"/>
  <c r="DL15" i="1"/>
  <c r="DL14" i="1"/>
  <c r="DL16" i="1"/>
  <c r="DF60" i="1" l="1"/>
  <c r="DF61" i="1"/>
  <c r="DF62" i="1" s="1"/>
  <c r="DF63" i="1" s="1"/>
  <c r="DF66" i="1" s="1"/>
  <c r="DF73" i="1" s="1"/>
  <c r="DF74" i="1" s="1"/>
  <c r="BD61" i="1"/>
  <c r="DC73" i="1"/>
  <c r="DC74" i="1" s="1"/>
  <c r="DC68" i="1"/>
  <c r="DC69" i="1" s="1"/>
  <c r="BD59" i="1"/>
  <c r="BE54" i="1" s="1"/>
  <c r="BE55" i="1" s="1"/>
  <c r="DH57" i="1"/>
  <c r="BC66" i="1"/>
  <c r="BC67" i="1"/>
  <c r="BC78" i="1" s="1"/>
  <c r="BC79" i="1" s="1"/>
  <c r="BE57" i="1"/>
  <c r="DE62" i="1"/>
  <c r="DE63" i="1" s="1"/>
  <c r="DG58" i="1"/>
  <c r="DH49" i="1"/>
  <c r="DD67" i="1"/>
  <c r="DD78" i="1" s="1"/>
  <c r="DD79" i="1" s="1"/>
  <c r="DD66" i="1"/>
  <c r="DH47" i="1"/>
  <c r="DJ43" i="1"/>
  <c r="DJ53" i="1"/>
  <c r="BH45" i="1"/>
  <c r="DI65" i="1"/>
  <c r="DI71" i="1" s="1"/>
  <c r="DI76" i="1" s="1"/>
  <c r="DI55" i="1"/>
  <c r="DM42" i="1"/>
  <c r="DM54" i="1"/>
  <c r="DJ45" i="1"/>
  <c r="BE47" i="1"/>
  <c r="BF42" i="1" s="1"/>
  <c r="BE49" i="1"/>
  <c r="DJ33" i="1"/>
  <c r="DI38" i="1"/>
  <c r="DI39" i="1" s="1"/>
  <c r="DI46" i="1" s="1"/>
  <c r="DI37" i="1"/>
  <c r="BH34" i="1"/>
  <c r="BH36" i="1" s="1"/>
  <c r="DJ34" i="1"/>
  <c r="DJ36" i="1" s="1"/>
  <c r="DH48" i="1"/>
  <c r="DK30" i="1"/>
  <c r="DK32" i="1" s="1"/>
  <c r="DK41" i="1"/>
  <c r="BH33" i="1"/>
  <c r="BI29" i="1" s="1"/>
  <c r="BI30" i="1" s="1"/>
  <c r="DL31" i="1"/>
  <c r="DL72" i="1" s="1"/>
  <c r="DL35" i="1"/>
  <c r="DL77" i="1" s="1"/>
  <c r="DM13" i="1"/>
  <c r="DL28" i="1"/>
  <c r="DM29" i="1"/>
  <c r="DM26" i="1"/>
  <c r="DM44" i="1" s="1"/>
  <c r="DM56" i="1" s="1"/>
  <c r="DM22" i="1" a="1"/>
  <c r="DM22" i="1" s="1"/>
  <c r="DM25" i="1"/>
  <c r="DL23" i="1"/>
  <c r="DL24" i="1"/>
  <c r="DN12" i="1"/>
  <c r="DM14" i="1"/>
  <c r="DM16" i="1"/>
  <c r="DM15" i="1"/>
  <c r="DF67" i="1" l="1"/>
  <c r="DF78" i="1" s="1"/>
  <c r="DF79" i="1" s="1"/>
  <c r="DD68" i="1"/>
  <c r="DD69" i="1" s="1"/>
  <c r="DD73" i="1"/>
  <c r="DD74" i="1" s="1"/>
  <c r="BE50" i="1"/>
  <c r="BE51" i="1" s="1"/>
  <c r="BE58" i="1" s="1"/>
  <c r="BC68" i="1"/>
  <c r="BC69" i="1" s="1"/>
  <c r="BC73" i="1"/>
  <c r="BC74" i="1" s="1"/>
  <c r="DH50" i="1"/>
  <c r="DH51" i="1" s="1"/>
  <c r="DH58" i="1" s="1"/>
  <c r="DH59" i="1" s="1"/>
  <c r="DG59" i="1"/>
  <c r="DG61" i="1"/>
  <c r="BH38" i="1"/>
  <c r="BH39" i="1" s="1"/>
  <c r="BD62" i="1"/>
  <c r="BD63" i="1" s="1"/>
  <c r="DE67" i="1"/>
  <c r="DE78" i="1" s="1"/>
  <c r="DE79" i="1" s="1"/>
  <c r="DE66" i="1"/>
  <c r="DI57" i="1"/>
  <c r="DG60" i="1"/>
  <c r="DK45" i="1"/>
  <c r="DN42" i="1"/>
  <c r="DN54" i="1"/>
  <c r="DK43" i="1"/>
  <c r="DK53" i="1"/>
  <c r="DJ65" i="1"/>
  <c r="DJ71" i="1" s="1"/>
  <c r="DJ76" i="1" s="1"/>
  <c r="DJ55" i="1"/>
  <c r="DI47" i="1"/>
  <c r="DI49" i="1"/>
  <c r="BF43" i="1"/>
  <c r="BF46" i="1" s="1"/>
  <c r="AP48" i="1"/>
  <c r="BH37" i="1"/>
  <c r="DI48" i="1"/>
  <c r="DK34" i="1"/>
  <c r="DK36" i="1" s="1"/>
  <c r="DJ38" i="1"/>
  <c r="DJ39" i="1" s="1"/>
  <c r="DJ46" i="1" s="1"/>
  <c r="DJ37" i="1"/>
  <c r="DL30" i="1"/>
  <c r="DL32" i="1" s="1"/>
  <c r="DL41" i="1"/>
  <c r="DK33" i="1"/>
  <c r="BI32" i="1"/>
  <c r="DM31" i="1"/>
  <c r="DM72" i="1" s="1"/>
  <c r="DM35" i="1"/>
  <c r="DM77" i="1" s="1"/>
  <c r="DN13" i="1"/>
  <c r="DM28" i="1"/>
  <c r="DM41" i="1" s="1"/>
  <c r="DM53" i="1" s="1"/>
  <c r="DM65" i="1" s="1"/>
  <c r="DM71" i="1" s="1"/>
  <c r="DM76" i="1" s="1"/>
  <c r="DM23" i="1"/>
  <c r="DM24" i="1"/>
  <c r="DN29" i="1"/>
  <c r="DN25" i="1"/>
  <c r="DN22" i="1" a="1"/>
  <c r="DN22" i="1" s="1"/>
  <c r="DN26" i="1"/>
  <c r="DN44" i="1" s="1"/>
  <c r="DN56" i="1" s="1"/>
  <c r="DO12" i="1"/>
  <c r="DN14" i="1"/>
  <c r="DN16" i="1"/>
  <c r="DN15" i="1"/>
  <c r="DF68" i="1" l="1"/>
  <c r="DF69" i="1" s="1"/>
  <c r="BE60" i="1"/>
  <c r="BE59" i="1"/>
  <c r="BF54" i="1" s="1"/>
  <c r="BF55" i="1" s="1"/>
  <c r="BE61" i="1"/>
  <c r="DH60" i="1"/>
  <c r="DH61" i="1"/>
  <c r="BD67" i="1"/>
  <c r="BD78" i="1" s="1"/>
  <c r="BD79" i="1" s="1"/>
  <c r="BD66" i="1"/>
  <c r="BF57" i="1"/>
  <c r="DI50" i="1"/>
  <c r="DI51" i="1" s="1"/>
  <c r="DI58" i="1" s="1"/>
  <c r="DI59" i="1" s="1"/>
  <c r="DG62" i="1"/>
  <c r="DG63" i="1" s="1"/>
  <c r="DJ57" i="1"/>
  <c r="DK38" i="1"/>
  <c r="DK39" i="1" s="1"/>
  <c r="DK46" i="1" s="1"/>
  <c r="DK47" i="1" s="1"/>
  <c r="DE68" i="1"/>
  <c r="DE69" i="1" s="1"/>
  <c r="DE73" i="1"/>
  <c r="DE74" i="1" s="1"/>
  <c r="DO42" i="1"/>
  <c r="DO54" i="1"/>
  <c r="DL43" i="1"/>
  <c r="DL53" i="1"/>
  <c r="BI45" i="1"/>
  <c r="DL45" i="1"/>
  <c r="DK65" i="1"/>
  <c r="DK71" i="1" s="1"/>
  <c r="DK76" i="1" s="1"/>
  <c r="DK55" i="1"/>
  <c r="BF47" i="1"/>
  <c r="BG42" i="1" s="1"/>
  <c r="BF49" i="1"/>
  <c r="DJ47" i="1"/>
  <c r="DJ49" i="1"/>
  <c r="DM43" i="1"/>
  <c r="DM30" i="1"/>
  <c r="DM32" i="1" s="1"/>
  <c r="DK37" i="1"/>
  <c r="DJ48" i="1"/>
  <c r="DL34" i="1"/>
  <c r="DL36" i="1" s="1"/>
  <c r="BI34" i="1"/>
  <c r="BI36" i="1" s="1"/>
  <c r="DL33" i="1"/>
  <c r="BI33" i="1"/>
  <c r="BJ29" i="1" s="1"/>
  <c r="DO13" i="1"/>
  <c r="DN28" i="1"/>
  <c r="DN41" i="1" s="1"/>
  <c r="DN31" i="1"/>
  <c r="DN72" i="1" s="1"/>
  <c r="DN35" i="1"/>
  <c r="DN77" i="1" s="1"/>
  <c r="DN23" i="1"/>
  <c r="DN24" i="1"/>
  <c r="DO22" i="1" a="1"/>
  <c r="DO22" i="1" s="1"/>
  <c r="DO29" i="1"/>
  <c r="DO25" i="1"/>
  <c r="DO26" i="1"/>
  <c r="DO44" i="1" s="1"/>
  <c r="DO56" i="1" s="1"/>
  <c r="DP12" i="1"/>
  <c r="DO15" i="1"/>
  <c r="DO16" i="1"/>
  <c r="DO14" i="1"/>
  <c r="DN30" i="1" l="1"/>
  <c r="DN32" i="1" s="1"/>
  <c r="DN34" i="1" s="1"/>
  <c r="DN36" i="1" s="1"/>
  <c r="DJ50" i="1"/>
  <c r="DJ51" i="1" s="1"/>
  <c r="DJ58" i="1" s="1"/>
  <c r="DJ59" i="1" s="1"/>
  <c r="BF50" i="1"/>
  <c r="BF51" i="1" s="1"/>
  <c r="BF58" i="1" s="1"/>
  <c r="BF60" i="1" s="1"/>
  <c r="DK49" i="1"/>
  <c r="DH62" i="1"/>
  <c r="DH63" i="1" s="1"/>
  <c r="BD68" i="1"/>
  <c r="BD69" i="1" s="1"/>
  <c r="BD73" i="1"/>
  <c r="BD74" i="1" s="1"/>
  <c r="DG67" i="1"/>
  <c r="DG78" i="1" s="1"/>
  <c r="DG79" i="1" s="1"/>
  <c r="DG66" i="1"/>
  <c r="DI60" i="1"/>
  <c r="DL38" i="1"/>
  <c r="DL39" i="1" s="1"/>
  <c r="DL46" i="1" s="1"/>
  <c r="DI61" i="1"/>
  <c r="DK57" i="1"/>
  <c r="BE62" i="1"/>
  <c r="BE63" i="1" s="1"/>
  <c r="DP42" i="1"/>
  <c r="DP54" i="1"/>
  <c r="DL65" i="1"/>
  <c r="DL71" i="1" s="1"/>
  <c r="DL76" i="1" s="1"/>
  <c r="DL55" i="1"/>
  <c r="DM55" i="1"/>
  <c r="DM45" i="1"/>
  <c r="DN43" i="1"/>
  <c r="DN53" i="1"/>
  <c r="BG43" i="1"/>
  <c r="BG46" i="1" s="1"/>
  <c r="DK48" i="1"/>
  <c r="DM34" i="1"/>
  <c r="DM36" i="1" s="1"/>
  <c r="BI38" i="1"/>
  <c r="BI39" i="1" s="1"/>
  <c r="BI37" i="1"/>
  <c r="DL37" i="1"/>
  <c r="BJ30" i="1"/>
  <c r="BJ32" i="1" s="1"/>
  <c r="DO31" i="1"/>
  <c r="DO72" i="1" s="1"/>
  <c r="DO35" i="1"/>
  <c r="DO77" i="1" s="1"/>
  <c r="DP13" i="1"/>
  <c r="DO28" i="1"/>
  <c r="DO41" i="1" s="1"/>
  <c r="DO24" i="1"/>
  <c r="DO23" i="1"/>
  <c r="DP26" i="1"/>
  <c r="DP44" i="1" s="1"/>
  <c r="DP56" i="1" s="1"/>
  <c r="DP25" i="1"/>
  <c r="DP29" i="1"/>
  <c r="DP22" i="1" a="1"/>
  <c r="DP22" i="1" s="1"/>
  <c r="DM33" i="1"/>
  <c r="DQ12" i="1"/>
  <c r="DP15" i="1"/>
  <c r="DP16" i="1"/>
  <c r="DP14" i="1"/>
  <c r="BF59" i="1" l="1"/>
  <c r="BG54" i="1" s="1"/>
  <c r="DJ60" i="1"/>
  <c r="DN45" i="1"/>
  <c r="DN33" i="1"/>
  <c r="DJ61" i="1"/>
  <c r="DJ62" i="1" s="1"/>
  <c r="DJ63" i="1" s="1"/>
  <c r="DJ66" i="1" s="1"/>
  <c r="DJ73" i="1" s="1"/>
  <c r="DJ74" i="1" s="1"/>
  <c r="DL57" i="1"/>
  <c r="DM37" i="1"/>
  <c r="DI62" i="1"/>
  <c r="DI63" i="1" s="1"/>
  <c r="BG57" i="1"/>
  <c r="DG73" i="1"/>
  <c r="DG74" i="1" s="1"/>
  <c r="DG68" i="1"/>
  <c r="DG69" i="1" s="1"/>
  <c r="BE67" i="1"/>
  <c r="BE78" i="1" s="1"/>
  <c r="BE79" i="1" s="1"/>
  <c r="BE66" i="1"/>
  <c r="DH66" i="1"/>
  <c r="DH67" i="1"/>
  <c r="DH78" i="1" s="1"/>
  <c r="DH79" i="1" s="1"/>
  <c r="DK50" i="1"/>
  <c r="DK51" i="1" s="1"/>
  <c r="DK58" i="1" s="1"/>
  <c r="DQ42" i="1"/>
  <c r="DQ54" i="1"/>
  <c r="DN65" i="1"/>
  <c r="DN71" i="1" s="1"/>
  <c r="DN76" i="1" s="1"/>
  <c r="DN55" i="1"/>
  <c r="BG55" i="1"/>
  <c r="BJ45" i="1"/>
  <c r="DJ67" i="1"/>
  <c r="DJ78" i="1" s="1"/>
  <c r="DJ79" i="1" s="1"/>
  <c r="DO43" i="1"/>
  <c r="DO53" i="1"/>
  <c r="DL49" i="1"/>
  <c r="DL47" i="1"/>
  <c r="BF61" i="1"/>
  <c r="BG47" i="1"/>
  <c r="BH42" i="1" s="1"/>
  <c r="BG49" i="1"/>
  <c r="DO30" i="1"/>
  <c r="DO32" i="1" s="1"/>
  <c r="AQ48" i="1"/>
  <c r="DM38" i="1"/>
  <c r="DM39" i="1" s="1"/>
  <c r="DM46" i="1" s="1"/>
  <c r="BJ34" i="1"/>
  <c r="BJ36" i="1" s="1"/>
  <c r="DL48" i="1"/>
  <c r="BJ33" i="1"/>
  <c r="BK29" i="1" s="1"/>
  <c r="BK30" i="1" s="1"/>
  <c r="BK32" i="1" s="1"/>
  <c r="DN37" i="1"/>
  <c r="DN38" i="1"/>
  <c r="DQ13" i="1"/>
  <c r="DP28" i="1"/>
  <c r="DP41" i="1" s="1"/>
  <c r="DP31" i="1"/>
  <c r="DP72" i="1" s="1"/>
  <c r="DP35" i="1"/>
  <c r="DP77" i="1" s="1"/>
  <c r="DP24" i="1"/>
  <c r="DP23" i="1"/>
  <c r="DQ26" i="1"/>
  <c r="DQ44" i="1" s="1"/>
  <c r="DQ56" i="1" s="1"/>
  <c r="DQ25" i="1"/>
  <c r="DQ29" i="1"/>
  <c r="DQ22" i="1" a="1"/>
  <c r="DQ22" i="1" s="1"/>
  <c r="DR12" i="1"/>
  <c r="DQ15" i="1"/>
  <c r="DQ16" i="1"/>
  <c r="DQ14" i="1"/>
  <c r="DK59" i="1" l="1"/>
  <c r="DK60" i="1"/>
  <c r="DK61" i="1"/>
  <c r="DI67" i="1"/>
  <c r="DI78" i="1" s="1"/>
  <c r="DI79" i="1" s="1"/>
  <c r="DI66" i="1"/>
  <c r="DM57" i="1"/>
  <c r="BG50" i="1"/>
  <c r="BG51" i="1" s="1"/>
  <c r="BG58" i="1" s="1"/>
  <c r="BF62" i="1"/>
  <c r="BF63" i="1" s="1"/>
  <c r="BF66" i="1" s="1"/>
  <c r="BF73" i="1" s="1"/>
  <c r="BF74" i="1" s="1"/>
  <c r="BE68" i="1"/>
  <c r="BE69" i="1" s="1"/>
  <c r="BE73" i="1"/>
  <c r="BE74" i="1" s="1"/>
  <c r="DH68" i="1"/>
  <c r="DH69" i="1" s="1"/>
  <c r="DH73" i="1"/>
  <c r="DH74" i="1" s="1"/>
  <c r="DL50" i="1"/>
  <c r="DL51" i="1" s="1"/>
  <c r="DL58" i="1" s="1"/>
  <c r="DL60" i="1" s="1"/>
  <c r="BJ37" i="1"/>
  <c r="DO65" i="1"/>
  <c r="DO71" i="1" s="1"/>
  <c r="DO76" i="1" s="1"/>
  <c r="DO55" i="1"/>
  <c r="DP43" i="1"/>
  <c r="DP53" i="1"/>
  <c r="DR42" i="1"/>
  <c r="DR54" i="1"/>
  <c r="BK45" i="1"/>
  <c r="DJ68" i="1"/>
  <c r="DJ69" i="1" s="1"/>
  <c r="DO45" i="1"/>
  <c r="DM47" i="1"/>
  <c r="DM49" i="1"/>
  <c r="BH43" i="1"/>
  <c r="BH46" i="1" s="1"/>
  <c r="DO33" i="1"/>
  <c r="DO34" i="1"/>
  <c r="DO36" i="1" s="1"/>
  <c r="DP30" i="1"/>
  <c r="DP32" i="1" s="1"/>
  <c r="BJ38" i="1"/>
  <c r="BJ39" i="1" s="1"/>
  <c r="BK34" i="1"/>
  <c r="BK36" i="1" s="1"/>
  <c r="DM48" i="1"/>
  <c r="BK33" i="1"/>
  <c r="DN39" i="1"/>
  <c r="DN46" i="1" s="1"/>
  <c r="DQ31" i="1"/>
  <c r="DQ72" i="1" s="1"/>
  <c r="DQ35" i="1"/>
  <c r="DQ77" i="1" s="1"/>
  <c r="DR13" i="1"/>
  <c r="DQ28" i="1"/>
  <c r="DR26" i="1"/>
  <c r="DR44" i="1" s="1"/>
  <c r="DR56" i="1" s="1"/>
  <c r="DR25" i="1"/>
  <c r="DR22" i="1" a="1"/>
  <c r="DR22" i="1" s="1"/>
  <c r="DR29" i="1"/>
  <c r="DQ24" i="1"/>
  <c r="DQ23" i="1"/>
  <c r="DS12" i="1"/>
  <c r="DR15" i="1"/>
  <c r="DR14" i="1"/>
  <c r="DR16" i="1"/>
  <c r="BF67" i="1" l="1"/>
  <c r="BF78" i="1" s="1"/>
  <c r="BF79" i="1" s="1"/>
  <c r="BG60" i="1"/>
  <c r="BG59" i="1"/>
  <c r="BH54" i="1" s="1"/>
  <c r="BH55" i="1" s="1"/>
  <c r="DN57" i="1"/>
  <c r="DL59" i="1"/>
  <c r="DO38" i="1"/>
  <c r="DO39" i="1" s="1"/>
  <c r="DO46" i="1" s="1"/>
  <c r="DO49" i="1" s="1"/>
  <c r="DM50" i="1"/>
  <c r="DM51" i="1" s="1"/>
  <c r="DM58" i="1" s="1"/>
  <c r="DM59" i="1" s="1"/>
  <c r="DI68" i="1"/>
  <c r="DI69" i="1" s="1"/>
  <c r="DI73" i="1"/>
  <c r="DI74" i="1" s="1"/>
  <c r="BK37" i="1"/>
  <c r="DL61" i="1"/>
  <c r="DK62" i="1"/>
  <c r="DK63" i="1" s="1"/>
  <c r="BH57" i="1"/>
  <c r="DP45" i="1"/>
  <c r="DP65" i="1"/>
  <c r="DP71" i="1" s="1"/>
  <c r="DP76" i="1" s="1"/>
  <c r="DP55" i="1"/>
  <c r="DS42" i="1"/>
  <c r="DS54" i="1"/>
  <c r="DO37" i="1"/>
  <c r="BG61" i="1"/>
  <c r="BH47" i="1"/>
  <c r="BI42" i="1" s="1"/>
  <c r="BH49" i="1"/>
  <c r="DN47" i="1"/>
  <c r="DN49" i="1"/>
  <c r="BK38" i="1"/>
  <c r="BK39" i="1" s="1"/>
  <c r="DP34" i="1"/>
  <c r="DP36" i="1" s="1"/>
  <c r="DN48" i="1"/>
  <c r="DQ30" i="1"/>
  <c r="DQ32" i="1" s="1"/>
  <c r="DQ41" i="1"/>
  <c r="DR31" i="1"/>
  <c r="DR72" i="1" s="1"/>
  <c r="DR35" i="1"/>
  <c r="DR77" i="1" s="1"/>
  <c r="DR28" i="1"/>
  <c r="DR41" i="1" s="1"/>
  <c r="DS13" i="1"/>
  <c r="DP33" i="1"/>
  <c r="DR24" i="1"/>
  <c r="DR23" i="1"/>
  <c r="DS25" i="1"/>
  <c r="DS22" i="1" a="1"/>
  <c r="DS22" i="1" s="1"/>
  <c r="DS29" i="1"/>
  <c r="DS26" i="1"/>
  <c r="DS44" i="1" s="1"/>
  <c r="DS56" i="1" s="1"/>
  <c r="DT12" i="1"/>
  <c r="DS15" i="1"/>
  <c r="DS16" i="1"/>
  <c r="DS14" i="1"/>
  <c r="DM61" i="1" l="1"/>
  <c r="DM62" i="1" s="1"/>
  <c r="DM63" i="1" s="1"/>
  <c r="DM66" i="1" s="1"/>
  <c r="DO48" i="1"/>
  <c r="BF68" i="1"/>
  <c r="BF69" i="1" s="1"/>
  <c r="DO50" i="1"/>
  <c r="DO51" i="1" s="1"/>
  <c r="DN50" i="1"/>
  <c r="DN51" i="1" s="1"/>
  <c r="DN58" i="1" s="1"/>
  <c r="DN61" i="1" s="1"/>
  <c r="DK66" i="1"/>
  <c r="DK67" i="1"/>
  <c r="DK78" i="1" s="1"/>
  <c r="DK79" i="1" s="1"/>
  <c r="DL62" i="1"/>
  <c r="DL63" i="1" s="1"/>
  <c r="DO57" i="1"/>
  <c r="DO47" i="1"/>
  <c r="DP37" i="1"/>
  <c r="BH50" i="1"/>
  <c r="BH51" i="1" s="1"/>
  <c r="BH58" i="1" s="1"/>
  <c r="BG62" i="1"/>
  <c r="BG63" i="1" s="1"/>
  <c r="BG67" i="1" s="1"/>
  <c r="BG78" i="1" s="1"/>
  <c r="BG79" i="1" s="1"/>
  <c r="DM60" i="1"/>
  <c r="DQ45" i="1"/>
  <c r="DT42" i="1"/>
  <c r="DT54" i="1"/>
  <c r="DQ43" i="1"/>
  <c r="DQ53" i="1"/>
  <c r="DR43" i="1"/>
  <c r="DR53" i="1"/>
  <c r="BI43" i="1"/>
  <c r="BI46" i="1" s="1"/>
  <c r="DR30" i="1"/>
  <c r="DR32" i="1" s="1"/>
  <c r="AR48" i="1"/>
  <c r="DP38" i="1"/>
  <c r="DP39" i="1" s="1"/>
  <c r="DP46" i="1" s="1"/>
  <c r="DQ34" i="1"/>
  <c r="DQ36" i="1" s="1"/>
  <c r="DS31" i="1"/>
  <c r="DS72" i="1" s="1"/>
  <c r="DS35" i="1"/>
  <c r="DS77" i="1" s="1"/>
  <c r="DT13" i="1"/>
  <c r="DS28" i="1"/>
  <c r="DQ33" i="1"/>
  <c r="DT22" i="1" a="1"/>
  <c r="DT22" i="1" s="1"/>
  <c r="DT25" i="1"/>
  <c r="DT29" i="1"/>
  <c r="DT26" i="1"/>
  <c r="DT44" i="1" s="1"/>
  <c r="DT56" i="1" s="1"/>
  <c r="DS24" i="1"/>
  <c r="DS23" i="1"/>
  <c r="DU12" i="1"/>
  <c r="DT15" i="1"/>
  <c r="DT16" i="1"/>
  <c r="DT14" i="1"/>
  <c r="DM67" i="1" l="1"/>
  <c r="DM78" i="1" s="1"/>
  <c r="DM79" i="1" s="1"/>
  <c r="DM73" i="1"/>
  <c r="DM74" i="1" s="1"/>
  <c r="DR33" i="1"/>
  <c r="DN62" i="1"/>
  <c r="DN63" i="1" s="1"/>
  <c r="DN66" i="1" s="1"/>
  <c r="BI57" i="1"/>
  <c r="BH60" i="1"/>
  <c r="DK73" i="1"/>
  <c r="DK74" i="1" s="1"/>
  <c r="DK68" i="1"/>
  <c r="DK69" i="1" s="1"/>
  <c r="DQ38" i="1"/>
  <c r="DQ39" i="1" s="1"/>
  <c r="DQ46" i="1" s="1"/>
  <c r="DQ47" i="1" s="1"/>
  <c r="DL67" i="1"/>
  <c r="DL78" i="1" s="1"/>
  <c r="DL79" i="1" s="1"/>
  <c r="DL66" i="1"/>
  <c r="DN59" i="1"/>
  <c r="BG66" i="1"/>
  <c r="BG73" i="1" s="1"/>
  <c r="BG74" i="1" s="1"/>
  <c r="DP57" i="1"/>
  <c r="BH59" i="1"/>
  <c r="BI54" i="1" s="1"/>
  <c r="BI55" i="1" s="1"/>
  <c r="DR34" i="1"/>
  <c r="DR36" i="1" s="1"/>
  <c r="DN60" i="1"/>
  <c r="DO58" i="1"/>
  <c r="DQ65" i="1"/>
  <c r="DQ71" i="1" s="1"/>
  <c r="DQ76" i="1" s="1"/>
  <c r="DQ55" i="1"/>
  <c r="DR45" i="1"/>
  <c r="DR65" i="1"/>
  <c r="DR71" i="1" s="1"/>
  <c r="DR76" i="1" s="1"/>
  <c r="DR55" i="1"/>
  <c r="DU42" i="1"/>
  <c r="DU54" i="1"/>
  <c r="BH61" i="1"/>
  <c r="DP47" i="1"/>
  <c r="DP49" i="1"/>
  <c r="BI47" i="1"/>
  <c r="BJ42" i="1" s="1"/>
  <c r="BI49" i="1"/>
  <c r="DQ37" i="1"/>
  <c r="DP48" i="1"/>
  <c r="DS30" i="1"/>
  <c r="DS32" i="1" s="1"/>
  <c r="DS41" i="1"/>
  <c r="DT28" i="1"/>
  <c r="DU13" i="1"/>
  <c r="DT31" i="1"/>
  <c r="DT72" i="1" s="1"/>
  <c r="DT35" i="1"/>
  <c r="DT77" i="1" s="1"/>
  <c r="DU26" i="1"/>
  <c r="DU44" i="1" s="1"/>
  <c r="DU56" i="1" s="1"/>
  <c r="DU29" i="1"/>
  <c r="DU25" i="1"/>
  <c r="DU22" i="1" a="1"/>
  <c r="DU22" i="1" s="1"/>
  <c r="DT24" i="1"/>
  <c r="DT23" i="1"/>
  <c r="DV12" i="1"/>
  <c r="DU15" i="1"/>
  <c r="DU14" i="1"/>
  <c r="DU16" i="1"/>
  <c r="DN67" i="1" l="1"/>
  <c r="DN78" i="1" s="1"/>
  <c r="DN79" i="1" s="1"/>
  <c r="DM68" i="1"/>
  <c r="DM69" i="1" s="1"/>
  <c r="DN68" i="1"/>
  <c r="DN69" i="1" s="1"/>
  <c r="DN73" i="1"/>
  <c r="DN74" i="1" s="1"/>
  <c r="DR38" i="1"/>
  <c r="DR39" i="1" s="1"/>
  <c r="DR46" i="1" s="1"/>
  <c r="DR48" i="1" s="1"/>
  <c r="BI50" i="1"/>
  <c r="BI51" i="1" s="1"/>
  <c r="BI58" i="1" s="1"/>
  <c r="BH62" i="1"/>
  <c r="BH63" i="1" s="1"/>
  <c r="BH67" i="1" s="1"/>
  <c r="BH78" i="1" s="1"/>
  <c r="BH79" i="1" s="1"/>
  <c r="DQ57" i="1"/>
  <c r="DR37" i="1"/>
  <c r="DL68" i="1"/>
  <c r="DL69" i="1" s="1"/>
  <c r="DL73" i="1"/>
  <c r="DL74" i="1" s="1"/>
  <c r="DQ49" i="1"/>
  <c r="DP50" i="1"/>
  <c r="DP51" i="1" s="1"/>
  <c r="DP58" i="1" s="1"/>
  <c r="BG68" i="1"/>
  <c r="BG69" i="1" s="1"/>
  <c r="DO61" i="1"/>
  <c r="DO60" i="1"/>
  <c r="DO59" i="1"/>
  <c r="DV42" i="1"/>
  <c r="DV54" i="1"/>
  <c r="DS43" i="1"/>
  <c r="DS53" i="1"/>
  <c r="DS45" i="1"/>
  <c r="BJ43" i="1"/>
  <c r="BJ46" i="1" s="1"/>
  <c r="DQ48" i="1"/>
  <c r="DS34" i="1"/>
  <c r="DS36" i="1" s="1"/>
  <c r="DS33" i="1"/>
  <c r="DT30" i="1"/>
  <c r="DT32" i="1" s="1"/>
  <c r="DT41" i="1"/>
  <c r="DV13" i="1"/>
  <c r="DU28" i="1"/>
  <c r="DU41" i="1" s="1"/>
  <c r="DU31" i="1"/>
  <c r="DU72" i="1" s="1"/>
  <c r="DU35" i="1"/>
  <c r="DU77" i="1" s="1"/>
  <c r="DV29" i="1"/>
  <c r="DV26" i="1"/>
  <c r="DV44" i="1" s="1"/>
  <c r="DV56" i="1" s="1"/>
  <c r="DV25" i="1"/>
  <c r="DV22" i="1" a="1"/>
  <c r="DV22" i="1" s="1"/>
  <c r="DU24" i="1"/>
  <c r="DU23" i="1"/>
  <c r="DW12" i="1"/>
  <c r="DV16" i="1"/>
  <c r="DV14" i="1"/>
  <c r="DV15" i="1"/>
  <c r="DR47" i="1" l="1"/>
  <c r="BI60" i="1"/>
  <c r="BI59" i="1"/>
  <c r="BJ54" i="1" s="1"/>
  <c r="BJ55" i="1" s="1"/>
  <c r="DP61" i="1"/>
  <c r="DP60" i="1"/>
  <c r="DS37" i="1"/>
  <c r="DQ50" i="1"/>
  <c r="DQ51" i="1" s="1"/>
  <c r="DQ58" i="1" s="1"/>
  <c r="BJ57" i="1"/>
  <c r="BH66" i="1"/>
  <c r="DP59" i="1"/>
  <c r="DO62" i="1"/>
  <c r="DO63" i="1" s="1"/>
  <c r="DR57" i="1"/>
  <c r="DR49" i="1"/>
  <c r="DS65" i="1"/>
  <c r="DS71" i="1" s="1"/>
  <c r="DS76" i="1" s="1"/>
  <c r="DS55" i="1"/>
  <c r="DU43" i="1"/>
  <c r="DU53" i="1"/>
  <c r="DW42" i="1"/>
  <c r="DW54" i="1"/>
  <c r="DT43" i="1"/>
  <c r="DT53" i="1"/>
  <c r="DT45" i="1"/>
  <c r="DS38" i="1"/>
  <c r="DS39" i="1" s="1"/>
  <c r="DS46" i="1" s="1"/>
  <c r="DS47" i="1" s="1"/>
  <c r="BI61" i="1"/>
  <c r="BJ47" i="1"/>
  <c r="BK42" i="1" s="1"/>
  <c r="BJ49" i="1"/>
  <c r="AS48" i="1"/>
  <c r="DT34" i="1"/>
  <c r="DT36" i="1" s="1"/>
  <c r="DU30" i="1"/>
  <c r="DU32" i="1" s="1"/>
  <c r="DV31" i="1"/>
  <c r="DV72" i="1" s="1"/>
  <c r="DV35" i="1"/>
  <c r="DV77" i="1" s="1"/>
  <c r="DW13" i="1"/>
  <c r="DV28" i="1"/>
  <c r="DT33" i="1"/>
  <c r="DW26" i="1"/>
  <c r="DW44" i="1" s="1"/>
  <c r="DW56" i="1" s="1"/>
  <c r="DW29" i="1"/>
  <c r="DW22" i="1" a="1"/>
  <c r="DW22" i="1" s="1"/>
  <c r="DW25" i="1"/>
  <c r="DV24" i="1"/>
  <c r="DV23" i="1"/>
  <c r="DX12" i="1"/>
  <c r="DW14" i="1"/>
  <c r="DW16" i="1"/>
  <c r="DW15" i="1"/>
  <c r="DS49" i="1" l="1"/>
  <c r="DS50" i="1" s="1"/>
  <c r="DS51" i="1" s="1"/>
  <c r="DQ61" i="1"/>
  <c r="DQ59" i="1"/>
  <c r="DQ60" i="1"/>
  <c r="DT38" i="1"/>
  <c r="DT39" i="1" s="1"/>
  <c r="DT46" i="1" s="1"/>
  <c r="DT49" i="1" s="1"/>
  <c r="DT50" i="1" s="1"/>
  <c r="DT51" i="1" s="1"/>
  <c r="DS57" i="1"/>
  <c r="DP62" i="1"/>
  <c r="DP63" i="1" s="1"/>
  <c r="DR50" i="1"/>
  <c r="DR51" i="1" s="1"/>
  <c r="DR58" i="1" s="1"/>
  <c r="DR60" i="1" s="1"/>
  <c r="BH68" i="1"/>
  <c r="BH69" i="1" s="1"/>
  <c r="BH73" i="1"/>
  <c r="BH74" i="1" s="1"/>
  <c r="BJ50" i="1"/>
  <c r="BJ51" i="1" s="1"/>
  <c r="BJ58" i="1" s="1"/>
  <c r="BI62" i="1"/>
  <c r="BI63" i="1" s="1"/>
  <c r="BI67" i="1" s="1"/>
  <c r="BI78" i="1" s="1"/>
  <c r="BI79" i="1" s="1"/>
  <c r="DO67" i="1"/>
  <c r="DO78" i="1" s="1"/>
  <c r="DO79" i="1" s="1"/>
  <c r="DO66" i="1"/>
  <c r="DX42" i="1"/>
  <c r="DX54" i="1"/>
  <c r="DU45" i="1"/>
  <c r="DU65" i="1"/>
  <c r="DU71" i="1" s="1"/>
  <c r="DU76" i="1" s="1"/>
  <c r="DU55" i="1"/>
  <c r="DT65" i="1"/>
  <c r="DT71" i="1" s="1"/>
  <c r="DT76" i="1" s="1"/>
  <c r="DT55" i="1"/>
  <c r="DT47" i="1"/>
  <c r="BK43" i="1"/>
  <c r="BK46" i="1" s="1"/>
  <c r="DU33" i="1"/>
  <c r="DU34" i="1"/>
  <c r="DU36" i="1" s="1"/>
  <c r="DT37" i="1"/>
  <c r="DS48" i="1"/>
  <c r="DV30" i="1"/>
  <c r="DV32" i="1" s="1"/>
  <c r="DV41" i="1"/>
  <c r="DW31" i="1"/>
  <c r="DW72" i="1" s="1"/>
  <c r="DW35" i="1"/>
  <c r="DW77" i="1" s="1"/>
  <c r="DX13" i="1"/>
  <c r="DW28" i="1"/>
  <c r="DW41" i="1" s="1"/>
  <c r="DW53" i="1" s="1"/>
  <c r="DW65" i="1" s="1"/>
  <c r="DW71" i="1" s="1"/>
  <c r="DW76" i="1" s="1"/>
  <c r="DW24" i="1"/>
  <c r="DW23" i="1"/>
  <c r="DX29" i="1"/>
  <c r="DX26" i="1"/>
  <c r="DX44" i="1" s="1"/>
  <c r="DX56" i="1" s="1"/>
  <c r="DX22" i="1" a="1"/>
  <c r="DX22" i="1" s="1"/>
  <c r="DX25" i="1"/>
  <c r="DY12" i="1"/>
  <c r="DX14" i="1"/>
  <c r="DX16" i="1"/>
  <c r="DX15" i="1"/>
  <c r="BI66" i="1" l="1"/>
  <c r="BI68" i="1" s="1"/>
  <c r="BI69" i="1" s="1"/>
  <c r="DU38" i="1"/>
  <c r="DU39" i="1" s="1"/>
  <c r="DU46" i="1" s="1"/>
  <c r="DU49" i="1" s="1"/>
  <c r="DU50" i="1" s="1"/>
  <c r="DU51" i="1" s="1"/>
  <c r="DP66" i="1"/>
  <c r="DP67" i="1"/>
  <c r="DP78" i="1" s="1"/>
  <c r="DP79" i="1" s="1"/>
  <c r="DS58" i="1"/>
  <c r="DS60" i="1" s="1"/>
  <c r="DR59" i="1"/>
  <c r="DR61" i="1"/>
  <c r="DT57" i="1"/>
  <c r="DT58" i="1" s="1"/>
  <c r="BJ59" i="1"/>
  <c r="BK54" i="1" s="1"/>
  <c r="BK55" i="1" s="1"/>
  <c r="DO68" i="1"/>
  <c r="DO69" i="1" s="1"/>
  <c r="DO73" i="1"/>
  <c r="DO74" i="1" s="1"/>
  <c r="BK57" i="1"/>
  <c r="DU37" i="1"/>
  <c r="BJ60" i="1"/>
  <c r="DQ62" i="1"/>
  <c r="DQ63" i="1" s="1"/>
  <c r="DV45" i="1"/>
  <c r="DY42" i="1"/>
  <c r="DY54" i="1"/>
  <c r="DV43" i="1"/>
  <c r="DV53" i="1"/>
  <c r="DS61" i="1"/>
  <c r="BJ61" i="1"/>
  <c r="BK47" i="1"/>
  <c r="BK49" i="1"/>
  <c r="DW30" i="1"/>
  <c r="DW32" i="1" s="1"/>
  <c r="DW43" i="1"/>
  <c r="DT48" i="1"/>
  <c r="DV34" i="1"/>
  <c r="DV36" i="1" s="1"/>
  <c r="DV33" i="1"/>
  <c r="DX31" i="1"/>
  <c r="DX72" i="1" s="1"/>
  <c r="DX35" i="1"/>
  <c r="DX77" i="1" s="1"/>
  <c r="DY13" i="1"/>
  <c r="DX28" i="1"/>
  <c r="DX41" i="1" s="1"/>
  <c r="DY29" i="1"/>
  <c r="DY26" i="1"/>
  <c r="DY44" i="1" s="1"/>
  <c r="DY56" i="1" s="1"/>
  <c r="DY22" i="1" a="1"/>
  <c r="DY22" i="1" s="1"/>
  <c r="DY25" i="1"/>
  <c r="DX23" i="1"/>
  <c r="DX24" i="1"/>
  <c r="DZ12" i="1"/>
  <c r="DY14" i="1"/>
  <c r="DY16" i="1"/>
  <c r="DY15" i="1"/>
  <c r="BI73" i="1" l="1"/>
  <c r="BI74" i="1" s="1"/>
  <c r="DU47" i="1"/>
  <c r="DS62" i="1"/>
  <c r="DS63" i="1" s="1"/>
  <c r="DS67" i="1" s="1"/>
  <c r="DS78" i="1" s="1"/>
  <c r="DS79" i="1" s="1"/>
  <c r="DV38" i="1"/>
  <c r="DV39" i="1" s="1"/>
  <c r="DV46" i="1" s="1"/>
  <c r="DR62" i="1"/>
  <c r="DR63" i="1" s="1"/>
  <c r="BK50" i="1"/>
  <c r="BK51" i="1" s="1"/>
  <c r="BK58" i="1" s="1"/>
  <c r="DP73" i="1"/>
  <c r="DP74" i="1" s="1"/>
  <c r="DP68" i="1"/>
  <c r="DP69" i="1" s="1"/>
  <c r="DU57" i="1"/>
  <c r="DU58" i="1" s="1"/>
  <c r="BJ62" i="1"/>
  <c r="BJ63" i="1" s="1"/>
  <c r="BJ66" i="1" s="1"/>
  <c r="BJ73" i="1" s="1"/>
  <c r="BJ74" i="1" s="1"/>
  <c r="DQ67" i="1"/>
  <c r="DQ78" i="1" s="1"/>
  <c r="DQ79" i="1" s="1"/>
  <c r="DQ66" i="1"/>
  <c r="DS59" i="1"/>
  <c r="DV65" i="1"/>
  <c r="DV71" i="1" s="1"/>
  <c r="DV76" i="1" s="1"/>
  <c r="DV55" i="1"/>
  <c r="DW55" i="1"/>
  <c r="DW45" i="1"/>
  <c r="DZ42" i="1"/>
  <c r="DZ54" i="1"/>
  <c r="DX43" i="1"/>
  <c r="DX53" i="1"/>
  <c r="DT61" i="1"/>
  <c r="DT60" i="1"/>
  <c r="DT59" i="1"/>
  <c r="DW34" i="1"/>
  <c r="DW36" i="1" s="1"/>
  <c r="DW33" i="1"/>
  <c r="AT48" i="1"/>
  <c r="DU48" i="1"/>
  <c r="DV37" i="1"/>
  <c r="DX30" i="1"/>
  <c r="DX32" i="1" s="1"/>
  <c r="DZ13" i="1"/>
  <c r="DY28" i="1"/>
  <c r="DY41" i="1" s="1"/>
  <c r="DY31" i="1"/>
  <c r="DY72" i="1" s="1"/>
  <c r="DY35" i="1"/>
  <c r="DY77" i="1" s="1"/>
  <c r="DY23" i="1"/>
  <c r="DY24" i="1"/>
  <c r="DZ29" i="1"/>
  <c r="DZ26" i="1"/>
  <c r="DZ44" i="1" s="1"/>
  <c r="DZ56" i="1" s="1"/>
  <c r="DZ22" i="1" a="1"/>
  <c r="DZ22" i="1" s="1"/>
  <c r="DZ25" i="1"/>
  <c r="EA12" i="1"/>
  <c r="DZ16" i="1"/>
  <c r="DZ15" i="1"/>
  <c r="DZ14" i="1"/>
  <c r="DS66" i="1" l="1"/>
  <c r="DS73" i="1" s="1"/>
  <c r="DS74" i="1" s="1"/>
  <c r="BK60" i="1"/>
  <c r="BK59" i="1"/>
  <c r="DU61" i="1"/>
  <c r="DV57" i="1"/>
  <c r="DR67" i="1"/>
  <c r="DR78" i="1" s="1"/>
  <c r="DR79" i="1" s="1"/>
  <c r="DR66" i="1"/>
  <c r="DU59" i="1"/>
  <c r="DW38" i="1"/>
  <c r="DW39" i="1" s="1"/>
  <c r="DW46" i="1" s="1"/>
  <c r="DW37" i="1"/>
  <c r="DU60" i="1"/>
  <c r="DQ68" i="1"/>
  <c r="DQ69" i="1" s="1"/>
  <c r="DQ73" i="1"/>
  <c r="DQ74" i="1" s="1"/>
  <c r="DT62" i="1"/>
  <c r="DT63" i="1" s="1"/>
  <c r="DT66" i="1" s="1"/>
  <c r="DT73" i="1" s="1"/>
  <c r="DT74" i="1" s="1"/>
  <c r="BJ67" i="1"/>
  <c r="BJ78" i="1" s="1"/>
  <c r="BJ79" i="1" s="1"/>
  <c r="DX45" i="1"/>
  <c r="DX65" i="1"/>
  <c r="DX71" i="1" s="1"/>
  <c r="DX76" i="1" s="1"/>
  <c r="DX55" i="1"/>
  <c r="DY43" i="1"/>
  <c r="DY53" i="1"/>
  <c r="EA42" i="1"/>
  <c r="EA54" i="1"/>
  <c r="DV49" i="1"/>
  <c r="DV47" i="1"/>
  <c r="DX33" i="1"/>
  <c r="DV48" i="1"/>
  <c r="DX34" i="1"/>
  <c r="DX36" i="1" s="1"/>
  <c r="DY30" i="1"/>
  <c r="DY32" i="1" s="1"/>
  <c r="DZ31" i="1"/>
  <c r="DZ72" i="1" s="1"/>
  <c r="DZ35" i="1"/>
  <c r="DZ77" i="1" s="1"/>
  <c r="EA13" i="1"/>
  <c r="DZ28" i="1"/>
  <c r="EA26" i="1"/>
  <c r="EA44" i="1" s="1"/>
  <c r="EA56" i="1" s="1"/>
  <c r="EA22" i="1" a="1"/>
  <c r="EA22" i="1" s="1"/>
  <c r="EA25" i="1"/>
  <c r="EA29" i="1"/>
  <c r="DZ23" i="1"/>
  <c r="DZ24" i="1"/>
  <c r="EB12" i="1"/>
  <c r="EA15" i="1"/>
  <c r="EA16" i="1"/>
  <c r="EA14" i="1"/>
  <c r="DS68" i="1" l="1"/>
  <c r="DS69" i="1" s="1"/>
  <c r="BJ68" i="1"/>
  <c r="BJ69" i="1" s="1"/>
  <c r="DT67" i="1"/>
  <c r="DT78" i="1" s="1"/>
  <c r="DT79" i="1" s="1"/>
  <c r="DW57" i="1"/>
  <c r="DR68" i="1"/>
  <c r="DR69" i="1" s="1"/>
  <c r="DR73" i="1"/>
  <c r="DR74" i="1" s="1"/>
  <c r="DV50" i="1"/>
  <c r="DV51" i="1" s="1"/>
  <c r="DV58" i="1" s="1"/>
  <c r="DV59" i="1" s="1"/>
  <c r="DU62" i="1"/>
  <c r="DU63" i="1" s="1"/>
  <c r="EB42" i="1"/>
  <c r="EB54" i="1"/>
  <c r="DY65" i="1"/>
  <c r="DY71" i="1" s="1"/>
  <c r="DY76" i="1" s="1"/>
  <c r="DY55" i="1"/>
  <c r="DY45" i="1"/>
  <c r="BK61" i="1"/>
  <c r="DW47" i="1"/>
  <c r="DW49" i="1"/>
  <c r="DW48" i="1"/>
  <c r="DY34" i="1"/>
  <c r="DY36" i="1" s="1"/>
  <c r="DX38" i="1"/>
  <c r="DX39" i="1" s="1"/>
  <c r="DX46" i="1" s="1"/>
  <c r="DX37" i="1"/>
  <c r="DZ30" i="1"/>
  <c r="DZ32" i="1" s="1"/>
  <c r="DZ41" i="1"/>
  <c r="DY33" i="1"/>
  <c r="EA31" i="1"/>
  <c r="EA72" i="1" s="1"/>
  <c r="EA35" i="1"/>
  <c r="EA77" i="1" s="1"/>
  <c r="EB13" i="1"/>
  <c r="EA28" i="1"/>
  <c r="EA41" i="1" s="1"/>
  <c r="EA53" i="1" s="1"/>
  <c r="EA65" i="1" s="1"/>
  <c r="EA71" i="1" s="1"/>
  <c r="EA76" i="1" s="1"/>
  <c r="EB26" i="1"/>
  <c r="EB44" i="1" s="1"/>
  <c r="EB56" i="1" s="1"/>
  <c r="EB22" i="1" a="1"/>
  <c r="EB22" i="1" s="1"/>
  <c r="EB25" i="1"/>
  <c r="EB29" i="1"/>
  <c r="EA23" i="1"/>
  <c r="EA24" i="1"/>
  <c r="EC12" i="1"/>
  <c r="EB15" i="1"/>
  <c r="EB14" i="1"/>
  <c r="EB16" i="1"/>
  <c r="DT68" i="1" l="1"/>
  <c r="DT69" i="1" s="1"/>
  <c r="BK62" i="1"/>
  <c r="BK63" i="1" s="1"/>
  <c r="BK66" i="1" s="1"/>
  <c r="BK73" i="1" s="1"/>
  <c r="BK74" i="1" s="1"/>
  <c r="DY38" i="1"/>
  <c r="DY39" i="1" s="1"/>
  <c r="DY46" i="1" s="1"/>
  <c r="DU66" i="1"/>
  <c r="DU67" i="1"/>
  <c r="DU78" i="1" s="1"/>
  <c r="DU79" i="1" s="1"/>
  <c r="DX57" i="1"/>
  <c r="DV60" i="1"/>
  <c r="DW50" i="1"/>
  <c r="DW51" i="1" s="1"/>
  <c r="DW58" i="1" s="1"/>
  <c r="DW61" i="1" s="1"/>
  <c r="DW62" i="1" s="1"/>
  <c r="DW63" i="1" s="1"/>
  <c r="DV61" i="1"/>
  <c r="EC42" i="1"/>
  <c r="EC54" i="1"/>
  <c r="DY37" i="1"/>
  <c r="DZ43" i="1"/>
  <c r="DZ53" i="1"/>
  <c r="EA30" i="1"/>
  <c r="EA32" i="1" s="1"/>
  <c r="DX47" i="1"/>
  <c r="DX49" i="1"/>
  <c r="DY47" i="1"/>
  <c r="DY49" i="1"/>
  <c r="DY50" i="1" s="1"/>
  <c r="DY51" i="1" s="1"/>
  <c r="DZ34" i="1"/>
  <c r="DZ36" i="1" s="1"/>
  <c r="DZ45" i="1"/>
  <c r="EA43" i="1"/>
  <c r="AU48" i="1"/>
  <c r="DX48" i="1"/>
  <c r="DZ33" i="1"/>
  <c r="EB31" i="1"/>
  <c r="EB72" i="1" s="1"/>
  <c r="EB35" i="1"/>
  <c r="EB77" i="1" s="1"/>
  <c r="EC13" i="1"/>
  <c r="EB28" i="1"/>
  <c r="EB41" i="1" s="1"/>
  <c r="EC26" i="1"/>
  <c r="EC44" i="1" s="1"/>
  <c r="EC56" i="1" s="1"/>
  <c r="EC25" i="1"/>
  <c r="EC22" i="1" a="1"/>
  <c r="EC22" i="1" s="1"/>
  <c r="EC29" i="1"/>
  <c r="EB24" i="1"/>
  <c r="EB23" i="1"/>
  <c r="ED12" i="1"/>
  <c r="EC16" i="1"/>
  <c r="EC14" i="1"/>
  <c r="EC15" i="1"/>
  <c r="BK67" i="1" l="1"/>
  <c r="BK78" i="1" s="1"/>
  <c r="BK79" i="1" s="1"/>
  <c r="DW60" i="1"/>
  <c r="DW59" i="1"/>
  <c r="DZ37" i="1"/>
  <c r="DX50" i="1"/>
  <c r="DX51" i="1" s="1"/>
  <c r="DX58" i="1" s="1"/>
  <c r="DX61" i="1" s="1"/>
  <c r="DX62" i="1" s="1"/>
  <c r="DX63" i="1" s="1"/>
  <c r="DU73" i="1"/>
  <c r="DU74" i="1" s="1"/>
  <c r="DU68" i="1"/>
  <c r="DU69" i="1" s="1"/>
  <c r="DY57" i="1"/>
  <c r="DY58" i="1" s="1"/>
  <c r="DY59" i="1" s="1"/>
  <c r="DV62" i="1"/>
  <c r="DV63" i="1" s="1"/>
  <c r="DX59" i="1"/>
  <c r="DX60" i="1"/>
  <c r="EA45" i="1"/>
  <c r="EA34" i="1"/>
  <c r="EA36" i="1" s="1"/>
  <c r="EB43" i="1"/>
  <c r="EB53" i="1"/>
  <c r="DZ65" i="1"/>
  <c r="DZ71" i="1" s="1"/>
  <c r="DZ76" i="1" s="1"/>
  <c r="DZ55" i="1"/>
  <c r="EA55" i="1"/>
  <c r="ED42" i="1"/>
  <c r="ED54" i="1"/>
  <c r="EA33" i="1"/>
  <c r="DW67" i="1"/>
  <c r="DW78" i="1" s="1"/>
  <c r="DW79" i="1" s="1"/>
  <c r="DW66" i="1"/>
  <c r="DW68" i="1" s="1"/>
  <c r="DW69" i="1" s="1"/>
  <c r="DZ38" i="1"/>
  <c r="DZ39" i="1" s="1"/>
  <c r="DZ46" i="1" s="1"/>
  <c r="EB30" i="1"/>
  <c r="EB32" i="1" s="1"/>
  <c r="DY48" i="1"/>
  <c r="EC28" i="1"/>
  <c r="EC41" i="1" s="1"/>
  <c r="ED13" i="1"/>
  <c r="EC31" i="1"/>
  <c r="EC72" i="1" s="1"/>
  <c r="EC35" i="1"/>
  <c r="EC77" i="1" s="1"/>
  <c r="ED26" i="1"/>
  <c r="ED44" i="1" s="1"/>
  <c r="ED56" i="1" s="1"/>
  <c r="ED25" i="1"/>
  <c r="ED22" i="1" a="1"/>
  <c r="ED22" i="1" s="1"/>
  <c r="ED29" i="1"/>
  <c r="EC24" i="1"/>
  <c r="EC23" i="1"/>
  <c r="EE12" i="1"/>
  <c r="ED15" i="1"/>
  <c r="ED16" i="1"/>
  <c r="ED14" i="1"/>
  <c r="BK68" i="1" l="1"/>
  <c r="BK69" i="1" s="1"/>
  <c r="DY60" i="1"/>
  <c r="DV66" i="1"/>
  <c r="DV67" i="1"/>
  <c r="DV78" i="1" s="1"/>
  <c r="DV79" i="1" s="1"/>
  <c r="EA38" i="1"/>
  <c r="EA39" i="1" s="1"/>
  <c r="EA46" i="1" s="1"/>
  <c r="DW73" i="1"/>
  <c r="DW74" i="1" s="1"/>
  <c r="DZ57" i="1"/>
  <c r="DY61" i="1"/>
  <c r="EB45" i="1"/>
  <c r="EE42" i="1"/>
  <c r="EE54" i="1"/>
  <c r="EA37" i="1"/>
  <c r="EB65" i="1"/>
  <c r="EB71" i="1" s="1"/>
  <c r="EB76" i="1" s="1"/>
  <c r="EB55" i="1"/>
  <c r="EC43" i="1"/>
  <c r="EC53" i="1"/>
  <c r="DX67" i="1"/>
  <c r="DX78" i="1" s="1"/>
  <c r="DX79" i="1" s="1"/>
  <c r="DX66" i="1"/>
  <c r="DZ47" i="1"/>
  <c r="DZ49" i="1"/>
  <c r="EC30" i="1"/>
  <c r="EC32" i="1" s="1"/>
  <c r="EB33" i="1"/>
  <c r="EB34" i="1"/>
  <c r="EB36" i="1" s="1"/>
  <c r="EB37" i="1"/>
  <c r="DZ48" i="1"/>
  <c r="ED31" i="1"/>
  <c r="ED72" i="1" s="1"/>
  <c r="ED35" i="1"/>
  <c r="ED77" i="1" s="1"/>
  <c r="ED28" i="1"/>
  <c r="EE13" i="1"/>
  <c r="EE28" i="1" s="1"/>
  <c r="EE41" i="1" s="1"/>
  <c r="EE53" i="1" s="1"/>
  <c r="EE65" i="1" s="1"/>
  <c r="EE71" i="1" s="1"/>
  <c r="EE76" i="1" s="1"/>
  <c r="ED24" i="1"/>
  <c r="ED23" i="1"/>
  <c r="EE25" i="1"/>
  <c r="EE22" i="1" a="1"/>
  <c r="EE22" i="1" s="1"/>
  <c r="EE26" i="1"/>
  <c r="EE29" i="1"/>
  <c r="EE15" i="1"/>
  <c r="EE16" i="1"/>
  <c r="EE14" i="1"/>
  <c r="DZ50" i="1" l="1"/>
  <c r="DZ51" i="1" s="1"/>
  <c r="DZ58" i="1" s="1"/>
  <c r="DZ59" i="1" s="1"/>
  <c r="DV68" i="1"/>
  <c r="DV69" i="1" s="1"/>
  <c r="DV73" i="1"/>
  <c r="DV74" i="1" s="1"/>
  <c r="DY62" i="1"/>
  <c r="DY63" i="1" s="1"/>
  <c r="EE44" i="1"/>
  <c r="EE56" i="1" s="1"/>
  <c r="I4" i="1"/>
  <c r="I3" i="1"/>
  <c r="DX68" i="1"/>
  <c r="DX69" i="1" s="1"/>
  <c r="EA57" i="1"/>
  <c r="EB38" i="1"/>
  <c r="EB39" i="1" s="1"/>
  <c r="EB46" i="1" s="1"/>
  <c r="EB47" i="1" s="1"/>
  <c r="DX73" i="1"/>
  <c r="DX74" i="1" s="1"/>
  <c r="DZ61" i="1"/>
  <c r="DZ62" i="1" s="1"/>
  <c r="DZ63" i="1" s="1"/>
  <c r="EC45" i="1"/>
  <c r="EC34" i="1"/>
  <c r="EC36" i="1" s="1"/>
  <c r="EC33" i="1"/>
  <c r="EC65" i="1"/>
  <c r="EC71" i="1" s="1"/>
  <c r="EC76" i="1" s="1"/>
  <c r="EC55" i="1"/>
  <c r="EA47" i="1"/>
  <c r="EA49" i="1"/>
  <c r="AV48" i="1"/>
  <c r="ED30" i="1"/>
  <c r="ED32" i="1" s="1"/>
  <c r="ED41" i="1"/>
  <c r="EE31" i="1"/>
  <c r="EE72" i="1" s="1"/>
  <c r="EE35" i="1"/>
  <c r="EE77" i="1" s="1"/>
  <c r="EE30" i="1"/>
  <c r="EE32" i="1" s="1"/>
  <c r="EE24" i="1"/>
  <c r="EE23" i="1"/>
  <c r="DZ60" i="1" l="1"/>
  <c r="EB48" i="1"/>
  <c r="EB49" i="1"/>
  <c r="EB50" i="1" s="1"/>
  <c r="EB51" i="1" s="1"/>
  <c r="EC38" i="1"/>
  <c r="EC39" i="1" s="1"/>
  <c r="EC46" i="1" s="1"/>
  <c r="EA50" i="1"/>
  <c r="EA51" i="1" s="1"/>
  <c r="EA58" i="1" s="1"/>
  <c r="EA61" i="1" s="1"/>
  <c r="EB57" i="1"/>
  <c r="DY66" i="1"/>
  <c r="DY67" i="1"/>
  <c r="DY78" i="1" s="1"/>
  <c r="DY79" i="1" s="1"/>
  <c r="EA59" i="1"/>
  <c r="DZ66" i="1"/>
  <c r="DZ73" i="1" s="1"/>
  <c r="DZ74" i="1" s="1"/>
  <c r="DZ67" i="1"/>
  <c r="DZ78" i="1" s="1"/>
  <c r="DZ79" i="1" s="1"/>
  <c r="EC37" i="1"/>
  <c r="ED45" i="1"/>
  <c r="EE45" i="1"/>
  <c r="ED43" i="1"/>
  <c r="ED53" i="1"/>
  <c r="EE43" i="1"/>
  <c r="ED33" i="1"/>
  <c r="ED34" i="1"/>
  <c r="ED36" i="1" s="1"/>
  <c r="EA48" i="1"/>
  <c r="EE34" i="1"/>
  <c r="A34" i="1" s="1"/>
  <c r="ED37" i="1"/>
  <c r="EE33" i="1"/>
  <c r="EA62" i="1" l="1"/>
  <c r="EA63" i="1" s="1"/>
  <c r="EA66" i="1" s="1"/>
  <c r="EA73" i="1" s="1"/>
  <c r="EA74" i="1" s="1"/>
  <c r="EC57" i="1"/>
  <c r="DY68" i="1"/>
  <c r="DY69" i="1" s="1"/>
  <c r="DY73" i="1"/>
  <c r="DY74" i="1" s="1"/>
  <c r="EB58" i="1"/>
  <c r="EB59" i="1" s="1"/>
  <c r="ED38" i="1"/>
  <c r="ED39" i="1" s="1"/>
  <c r="ED46" i="1" s="1"/>
  <c r="EA60" i="1"/>
  <c r="DZ68" i="1"/>
  <c r="DZ69" i="1" s="1"/>
  <c r="ED65" i="1"/>
  <c r="ED71" i="1" s="1"/>
  <c r="ED76" i="1" s="1"/>
  <c r="ED55" i="1"/>
  <c r="EE55" i="1"/>
  <c r="EC47" i="1"/>
  <c r="EC49" i="1"/>
  <c r="EE36" i="1"/>
  <c r="EA67" i="1" l="1"/>
  <c r="EA78" i="1" s="1"/>
  <c r="EA79" i="1" s="1"/>
  <c r="ED57" i="1"/>
  <c r="EB61" i="1"/>
  <c r="EC50" i="1"/>
  <c r="EC51" i="1" s="1"/>
  <c r="EC58" i="1" s="1"/>
  <c r="EE37" i="1"/>
  <c r="A37" i="1" s="1"/>
  <c r="EB60" i="1"/>
  <c r="ED47" i="1"/>
  <c r="ED49" i="1"/>
  <c r="AW48" i="1"/>
  <c r="ED48" i="1"/>
  <c r="EE38" i="1"/>
  <c r="EE39" i="1" s="1"/>
  <c r="EE46" i="1" s="1"/>
  <c r="EC48" i="1"/>
  <c r="EA68" i="1" l="1"/>
  <c r="EA69" i="1" s="1"/>
  <c r="EC61" i="1"/>
  <c r="EC60" i="1"/>
  <c r="EC59" i="1"/>
  <c r="EE57" i="1"/>
  <c r="EB62" i="1"/>
  <c r="EB63" i="1" s="1"/>
  <c r="ED50" i="1"/>
  <c r="ED51" i="1" s="1"/>
  <c r="ED58" i="1" s="1"/>
  <c r="ED59" i="1" s="1"/>
  <c r="EE47" i="1"/>
  <c r="EE49" i="1"/>
  <c r="EE48" i="1"/>
  <c r="ED61" i="1" l="1"/>
  <c r="ED62" i="1" s="1"/>
  <c r="ED63" i="1" s="1"/>
  <c r="ED67" i="1" s="1"/>
  <c r="ED78" i="1" s="1"/>
  <c r="ED79" i="1" s="1"/>
  <c r="EB67" i="1"/>
  <c r="EB78" i="1" s="1"/>
  <c r="EB79" i="1" s="1"/>
  <c r="EB66" i="1"/>
  <c r="EE50" i="1"/>
  <c r="EC62" i="1"/>
  <c r="EC63" i="1" s="1"/>
  <c r="ED60" i="1"/>
  <c r="AX48" i="1"/>
  <c r="ED66" i="1" l="1"/>
  <c r="ED68" i="1" s="1"/>
  <c r="ED69" i="1" s="1"/>
  <c r="EE51" i="1"/>
  <c r="EE58" i="1" s="1"/>
  <c r="EE60" i="1" s="1"/>
  <c r="EC67" i="1"/>
  <c r="EC78" i="1" s="1"/>
  <c r="EC79" i="1" s="1"/>
  <c r="EC66" i="1"/>
  <c r="EB68" i="1"/>
  <c r="EB69" i="1" s="1"/>
  <c r="EB73" i="1"/>
  <c r="EB74" i="1" s="1"/>
  <c r="AY48" i="1"/>
  <c r="EE59" i="1" l="1"/>
  <c r="EE61" i="1"/>
  <c r="EE62" i="1" s="1"/>
  <c r="ED73" i="1"/>
  <c r="ED74" i="1" s="1"/>
  <c r="EC68" i="1"/>
  <c r="EC69" i="1" s="1"/>
  <c r="EC73" i="1"/>
  <c r="EC74" i="1" s="1"/>
  <c r="AZ48" i="1"/>
  <c r="EE63" i="1" l="1"/>
  <c r="EE66" i="1" s="1"/>
  <c r="C83" i="1"/>
  <c r="BA48" i="1"/>
  <c r="EE67" i="1" l="1"/>
  <c r="EE78" i="1" s="1"/>
  <c r="EE79" i="1" s="1"/>
  <c r="I7" i="1" s="1"/>
  <c r="I8" i="1"/>
  <c r="EE73" i="1"/>
  <c r="EE74" i="1" s="1"/>
  <c r="BB48" i="1"/>
  <c r="EE68" i="1" l="1"/>
  <c r="I6" i="1"/>
  <c r="I5" i="1"/>
  <c r="BC48" i="1"/>
  <c r="EE69" i="1" l="1"/>
  <c r="C84" i="1"/>
  <c r="C85" i="1" s="1"/>
  <c r="I9" i="1" s="1"/>
  <c r="BD48" i="1"/>
  <c r="BE48" i="1" l="1"/>
  <c r="BF48" i="1" l="1"/>
  <c r="BG48" i="1" l="1"/>
  <c r="BH48" i="1" l="1"/>
  <c r="BI48" i="1" l="1"/>
  <c r="BJ48" i="1" l="1"/>
  <c r="BK48" i="1" l="1"/>
  <c r="A48" i="1" l="1"/>
  <c r="A60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<sst xmlns="http://schemas.openxmlformats.org/spreadsheetml/2006/main" count="106" uniqueCount="68">
  <si>
    <t>Waterfall Structure (IRR)</t>
  </si>
  <si>
    <t>Return</t>
  </si>
  <si>
    <t>GP Promote</t>
  </si>
  <si>
    <t>GP Cashflow</t>
  </si>
  <si>
    <t>LP Cashflow</t>
  </si>
  <si>
    <t>Preferred Return</t>
  </si>
  <si>
    <t>Hurdle #2</t>
  </si>
  <si>
    <t>Hurdle #3</t>
  </si>
  <si>
    <t>Hurdle #4</t>
  </si>
  <si>
    <t>Equity Investment</t>
  </si>
  <si>
    <t>GP Equity</t>
  </si>
  <si>
    <t>LP Equity</t>
  </si>
  <si>
    <t>Return Metrics</t>
  </si>
  <si>
    <t>Project- Level IRR</t>
  </si>
  <si>
    <t>Project- Level EM</t>
  </si>
  <si>
    <t>LP IRR</t>
  </si>
  <si>
    <t>LP EM</t>
  </si>
  <si>
    <t>GP IRR</t>
  </si>
  <si>
    <t>GP EM</t>
  </si>
  <si>
    <t>Deal Metrics</t>
  </si>
  <si>
    <t>Date of Close</t>
  </si>
  <si>
    <t>Purchase Price</t>
  </si>
  <si>
    <t>Closing Costs</t>
  </si>
  <si>
    <t>Going- In Cap Rate</t>
  </si>
  <si>
    <t>NOI Growth Rate</t>
  </si>
  <si>
    <t>Sale Month</t>
  </si>
  <si>
    <t>Exit Cap Rate</t>
  </si>
  <si>
    <t>Costs Of Sale</t>
  </si>
  <si>
    <t>Partnership Metrics</t>
  </si>
  <si>
    <t>Acquisition Fee</t>
  </si>
  <si>
    <t>Disposition Fee</t>
  </si>
  <si>
    <t>Loan Metrics</t>
  </si>
  <si>
    <t>LTV</t>
  </si>
  <si>
    <t>Loan Fee</t>
  </si>
  <si>
    <t>Interest Rate</t>
  </si>
  <si>
    <t>Amortization</t>
  </si>
  <si>
    <t>Month</t>
  </si>
  <si>
    <t>Month Ending</t>
  </si>
  <si>
    <t>NOI</t>
  </si>
  <si>
    <t>Principal Payment</t>
  </si>
  <si>
    <t>Interest Payment</t>
  </si>
  <si>
    <t>Loan Proceeds</t>
  </si>
  <si>
    <t>Sale Price</t>
  </si>
  <si>
    <t>Costs of Sale</t>
  </si>
  <si>
    <t>Loan Payoff</t>
  </si>
  <si>
    <t>Project Level Cashflows</t>
  </si>
  <si>
    <t>Beginning Balance</t>
  </si>
  <si>
    <t>Preferred Interest Accrual</t>
  </si>
  <si>
    <t>LP Contributions</t>
  </si>
  <si>
    <t>LP Distributions</t>
  </si>
  <si>
    <t>Ending Balance</t>
  </si>
  <si>
    <t>Total LP Cashflow</t>
  </si>
  <si>
    <t>GP Contributions</t>
  </si>
  <si>
    <t>GP Distributions</t>
  </si>
  <si>
    <t>Total GP Cashflow</t>
  </si>
  <si>
    <t>IRR</t>
  </si>
  <si>
    <t>Total Distributions</t>
  </si>
  <si>
    <t>Cash Flow Remaining</t>
  </si>
  <si>
    <t>Prior Distributions</t>
  </si>
  <si>
    <t>Hurdle #2 Accrual</t>
  </si>
  <si>
    <t>CashFlow Remaining</t>
  </si>
  <si>
    <t>LP CashFlows</t>
  </si>
  <si>
    <t>Contibutions</t>
  </si>
  <si>
    <t>Distributions</t>
  </si>
  <si>
    <t>LP Net Cashflows</t>
  </si>
  <si>
    <t>GP CashFlows</t>
  </si>
  <si>
    <t>GP Promoted Interest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</si>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</sst>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#,##0_);[Red]\(&quot;$&quot;#,##0\)"/>
    <numFmt numFmtId="164" formatCode="&quot;$&quot;#,##0"/>
    <numFmt numFmtId="165" formatCode="&quot;Month&quot;0"/>
    <numFmt numFmtId="166" formatCode="0&quot;Years&quot;"/>
    <numFmt numFmtId="167" formatCode="&quot;Acquisition&quot;"/>
    <numFmt numFmtId="168" formatCode="0.00&quot;x&quot;"/>
  </numFmts>
  <fonts count="9" x14ac:knownFonts="1">
    <font>
      <sz val="10"/>
      <color theme="1"/>
      <name val="Franklin Gothic Book"/>
      <family val="2"/>
    </font>
    <font>
      <sz val="10"/>
      <color theme="1"/>
      <name val="Franklin Gothic Book"/>
      <family val="2"/>
    </font>
    <font>
      <b/>
      <sz val="10"/>
      <color theme="0"/>
      <name val="Franklin Gothic Book"/>
      <family val="2"/>
    </font>
    <font>
      <b/>
      <sz val="10"/>
      <color theme="1"/>
      <name val="Franklin Gothic Book"/>
      <family val="2"/>
    </font>
    <font>
      <b/>
      <i/>
      <sz val="10"/>
      <color theme="0"/>
      <name val="Franklin Gothic Book"/>
      <family val="2"/>
    </font>
    <font>
      <sz val="10"/>
      <color rgb="FF0000FF"/>
      <name val="Franklin Gothic Book"/>
      <family val="2"/>
    </font>
    <font>
      <sz val="10"/>
      <name val="Franklin Gothic Book"/>
      <family val="2"/>
    </font>
    <font>
      <b/>
      <sz val="10"/>
      <name val="Franklin Gothic Book"/>
      <family val="2"/>
    </font>
    <font>
      <b/>
      <i/>
      <sz val="10"/>
      <color theme="1"/>
      <name val="Franklin Gothic Book"/>
      <family val="2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2">
    <xf numFmtId="0" fontId="0" fillId="0" borderId="0" xfId="0"/>
    <xf numFmtId="10" fontId="0" fillId="0" borderId="0" xfId="0" applyNumberFormat="1"/>
    <xf numFmtId="0" fontId="0" fillId="0" borderId="7" xfId="0" applyBorder="1"/>
    <xf numFmtId="0" fontId="0" fillId="0" borderId="10" xfId="0" applyBorder="1"/>
    <xf numFmtId="0" fontId="0" fillId="0" borderId="11" xfId="0" applyBorder="1"/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10" fontId="0" fillId="0" borderId="5" xfId="0" applyNumberFormat="1" applyBorder="1"/>
    <xf numFmtId="10" fontId="0" fillId="0" borderId="8" xfId="0" applyNumberFormat="1" applyBorder="1"/>
    <xf numFmtId="167" fontId="2" fillId="2" borderId="3" xfId="0" applyNumberFormat="1" applyFont="1" applyFill="1" applyBorder="1" applyAlignment="1">
      <alignment horizontal="center"/>
    </xf>
    <xf numFmtId="14" fontId="2" fillId="2" borderId="7" xfId="0" applyNumberFormat="1" applyFont="1" applyFill="1" applyBorder="1" applyAlignment="1">
      <alignment horizontal="center"/>
    </xf>
    <xf numFmtId="14" fontId="2" fillId="2" borderId="8" xfId="0" applyNumberFormat="1" applyFont="1" applyFill="1" applyBorder="1" applyAlignment="1">
      <alignment horizontal="center"/>
    </xf>
    <xf numFmtId="6" fontId="0" fillId="0" borderId="0" xfId="0" applyNumberFormat="1"/>
    <xf numFmtId="6" fontId="0" fillId="0" borderId="0" xfId="0" applyNumberFormat="1" applyAlignment="1">
      <alignment horizontal="center"/>
    </xf>
    <xf numFmtId="6" fontId="0" fillId="0" borderId="12" xfId="0" applyNumberFormat="1" applyBorder="1" applyAlignment="1">
      <alignment horizontal="center"/>
    </xf>
    <xf numFmtId="6" fontId="0" fillId="0" borderId="13" xfId="0" applyNumberFormat="1" applyBorder="1" applyAlignment="1">
      <alignment horizontal="center"/>
    </xf>
    <xf numFmtId="10" fontId="0" fillId="0" borderId="7" xfId="0" applyNumberFormat="1" applyBorder="1"/>
    <xf numFmtId="10" fontId="5" fillId="0" borderId="0" xfId="0" applyNumberFormat="1" applyFont="1"/>
    <xf numFmtId="9" fontId="5" fillId="0" borderId="0" xfId="0" applyNumberFormat="1" applyFont="1"/>
    <xf numFmtId="9" fontId="5" fillId="0" borderId="7" xfId="0" applyNumberFormat="1" applyFont="1" applyBorder="1"/>
    <xf numFmtId="10" fontId="5" fillId="0" borderId="5" xfId="0" applyNumberFormat="1" applyFont="1" applyBorder="1"/>
    <xf numFmtId="14" fontId="5" fillId="0" borderId="10" xfId="0" applyNumberFormat="1" applyFont="1" applyBorder="1"/>
    <xf numFmtId="164" fontId="5" fillId="0" borderId="10" xfId="0" applyNumberFormat="1" applyFont="1" applyBorder="1"/>
    <xf numFmtId="10" fontId="5" fillId="0" borderId="10" xfId="0" applyNumberFormat="1" applyFont="1" applyBorder="1"/>
    <xf numFmtId="165" fontId="5" fillId="0" borderId="10" xfId="0" applyNumberFormat="1" applyFont="1" applyBorder="1"/>
    <xf numFmtId="10" fontId="5" fillId="0" borderId="11" xfId="0" applyNumberFormat="1" applyFont="1" applyBorder="1"/>
    <xf numFmtId="9" fontId="5" fillId="0" borderId="10" xfId="0" applyNumberFormat="1" applyFont="1" applyBorder="1"/>
    <xf numFmtId="166" fontId="5" fillId="0" borderId="11" xfId="0" applyNumberFormat="1" applyFont="1" applyBorder="1"/>
    <xf numFmtId="6" fontId="5" fillId="0" borderId="0" xfId="0" applyNumberFormat="1" applyFont="1" applyAlignment="1">
      <alignment horizontal="center"/>
    </xf>
    <xf numFmtId="6" fontId="0" fillId="0" borderId="5" xfId="0" applyNumberFormat="1" applyBorder="1" applyAlignment="1">
      <alignment horizontal="center"/>
    </xf>
    <xf numFmtId="6" fontId="5" fillId="0" borderId="5" xfId="0" applyNumberFormat="1" applyFont="1" applyBorder="1" applyAlignment="1">
      <alignment horizontal="center"/>
    </xf>
    <xf numFmtId="0" fontId="4" fillId="2" borderId="2" xfId="0" applyFont="1" applyFill="1" applyBorder="1" applyAlignment="1">
      <alignment horizontal="left"/>
    </xf>
    <xf numFmtId="0" fontId="4" fillId="2" borderId="6" xfId="0" applyFont="1" applyFill="1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1" xfId="0" applyBorder="1" applyAlignment="1">
      <alignment horizontal="left"/>
    </xf>
    <xf numFmtId="0" fontId="2" fillId="2" borderId="6" xfId="0" applyFont="1" applyFill="1" applyBorder="1" applyAlignment="1">
      <alignment horizontal="left"/>
    </xf>
    <xf numFmtId="6" fontId="6" fillId="0" borderId="0" xfId="0" applyNumberFormat="1" applyFont="1" applyAlignment="1">
      <alignment horizontal="center"/>
    </xf>
    <xf numFmtId="6" fontId="6" fillId="0" borderId="5" xfId="0" applyNumberFormat="1" applyFont="1" applyBorder="1" applyAlignment="1">
      <alignment horizontal="center"/>
    </xf>
    <xf numFmtId="6" fontId="6" fillId="0" borderId="12" xfId="0" applyNumberFormat="1" applyFont="1" applyBorder="1" applyAlignment="1">
      <alignment horizontal="center"/>
    </xf>
    <xf numFmtId="6" fontId="6" fillId="0" borderId="13" xfId="0" applyNumberFormat="1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6" fontId="3" fillId="0" borderId="12" xfId="0" applyNumberFormat="1" applyFont="1" applyBorder="1" applyAlignment="1">
      <alignment horizontal="center"/>
    </xf>
    <xf numFmtId="6" fontId="7" fillId="0" borderId="12" xfId="0" applyNumberFormat="1" applyFont="1" applyBorder="1" applyAlignment="1">
      <alignment horizontal="center"/>
    </xf>
    <xf numFmtId="6" fontId="7" fillId="0" borderId="13" xfId="0" applyNumberFormat="1" applyFont="1" applyBorder="1" applyAlignment="1">
      <alignment horizontal="center"/>
    </xf>
    <xf numFmtId="6" fontId="6" fillId="0" borderId="4" xfId="0" applyNumberFormat="1" applyFont="1" applyBorder="1" applyAlignment="1">
      <alignment horizontal="center"/>
    </xf>
    <xf numFmtId="6" fontId="5" fillId="0" borderId="12" xfId="0" applyNumberFormat="1" applyFont="1" applyBorder="1" applyAlignment="1">
      <alignment horizontal="center"/>
    </xf>
    <xf numFmtId="0" fontId="8" fillId="3" borderId="0" xfId="0" applyFont="1" applyFill="1" applyAlignment="1">
      <alignment horizontal="center"/>
    </xf>
    <xf numFmtId="10" fontId="0" fillId="3" borderId="0" xfId="1" applyNumberFormat="1" applyFont="1" applyFill="1" applyAlignment="1">
      <alignment horizontal="center"/>
    </xf>
    <xf numFmtId="0" fontId="2" fillId="2" borderId="14" xfId="0" applyFont="1" applyFill="1" applyBorder="1" applyAlignment="1">
      <alignment horizontal="left"/>
    </xf>
    <xf numFmtId="14" fontId="2" fillId="2" borderId="12" xfId="0" applyNumberFormat="1" applyFont="1" applyFill="1" applyBorder="1" applyAlignment="1">
      <alignment horizontal="center"/>
    </xf>
    <xf numFmtId="14" fontId="2" fillId="2" borderId="13" xfId="0" applyNumberFormat="1" applyFont="1" applyFill="1" applyBorder="1" applyAlignment="1">
      <alignment horizontal="center"/>
    </xf>
    <xf numFmtId="10" fontId="0" fillId="0" borderId="10" xfId="1" applyNumberFormat="1" applyFont="1" applyBorder="1"/>
    <xf numFmtId="168" fontId="0" fillId="0" borderId="10" xfId="0" applyNumberFormat="1" applyBorder="1"/>
    <xf numFmtId="0" fontId="0" fillId="0" borderId="11" xfId="0" applyBorder="1" applyAlignment="1">
      <alignment horizontal="left"/>
    </xf>
    <xf numFmtId="6" fontId="0" fillId="0" borderId="11" xfId="0" applyNumberFormat="1" applyBorder="1"/>
    <xf numFmtId="0" fontId="2" fillId="2" borderId="9" xfId="0" applyFont="1" applyFill="1" applyBorder="1" applyAlignment="1">
      <alignment horizontal="left"/>
    </xf>
    <xf numFmtId="0" fontId="2" fillId="2" borderId="14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C9AA6-A38C-4F13-A447-FEB716A8A57B}">
  <dimension ref="A2:EE85"/>
  <sheetViews>
    <sheetView tabSelected="1" topLeftCell="A55" zoomScale="86" zoomScaleNormal="83" workbookViewId="0">
      <selection activeCell="C83" sqref="C83"/>
    </sheetView>
  </sheetViews>
  <sheetFormatPr defaultColWidth="12.58203125" defaultRowHeight="13.5" x14ac:dyDescent="0.35"/>
  <cols>
    <col min="1" max="1" width="8.58203125" customWidth="1"/>
    <col min="2" max="2" width="20.33203125" bestFit="1" customWidth="1"/>
    <col min="8" max="8" width="13.25" bestFit="1" customWidth="1"/>
    <col min="11" max="11" width="14" bestFit="1" customWidth="1"/>
  </cols>
  <sheetData>
    <row r="2" spans="2:135" x14ac:dyDescent="0.35">
      <c r="B2" s="56" t="s">
        <v>0</v>
      </c>
      <c r="C2" s="5" t="s">
        <v>1</v>
      </c>
      <c r="D2" s="5" t="s">
        <v>2</v>
      </c>
      <c r="E2" s="5" t="s">
        <v>3</v>
      </c>
      <c r="F2" s="6" t="s">
        <v>4</v>
      </c>
      <c r="H2" s="61" t="s">
        <v>12</v>
      </c>
      <c r="I2" s="61"/>
      <c r="K2" s="61" t="s">
        <v>19</v>
      </c>
      <c r="L2" s="61"/>
      <c r="N2" s="61" t="s">
        <v>28</v>
      </c>
      <c r="O2" s="61"/>
    </row>
    <row r="3" spans="2:135" x14ac:dyDescent="0.35">
      <c r="B3" s="3" t="s">
        <v>5</v>
      </c>
      <c r="C3" s="17">
        <v>0.08</v>
      </c>
      <c r="E3" s="1">
        <f>C9</f>
        <v>0.05</v>
      </c>
      <c r="F3" s="7">
        <f>C10</f>
        <v>0.95</v>
      </c>
      <c r="H3" s="3" t="s">
        <v>13</v>
      </c>
      <c r="I3" s="52">
        <f>XIRR(C26:EE26,C13:EE13)</f>
        <v>0.15942991375923163</v>
      </c>
      <c r="K3" s="3" t="s">
        <v>20</v>
      </c>
      <c r="L3" s="21">
        <v>44377</v>
      </c>
      <c r="N3" s="3" t="s">
        <v>29</v>
      </c>
      <c r="O3" s="23">
        <v>0.01</v>
      </c>
    </row>
    <row r="4" spans="2:135" x14ac:dyDescent="0.35">
      <c r="B4" s="3" t="s">
        <v>6</v>
      </c>
      <c r="C4" s="17">
        <v>0.11</v>
      </c>
      <c r="D4" s="18">
        <v>0.2</v>
      </c>
      <c r="E4" s="1">
        <f>D4+(1-D4)*$C$9</f>
        <v>0.24000000000000002</v>
      </c>
      <c r="F4" s="7">
        <f>(1-E4)</f>
        <v>0.76</v>
      </c>
      <c r="H4" s="3" t="s">
        <v>14</v>
      </c>
      <c r="I4" s="53">
        <f>SUMIF(C26:EE26,"&gt;0",C26:EE26)/ABS(SUMIF(C26:EE26,"&lt;0",C26:EE26))</f>
        <v>1.9477656519764179</v>
      </c>
      <c r="K4" s="3" t="s">
        <v>21</v>
      </c>
      <c r="L4" s="22">
        <v>10000000</v>
      </c>
      <c r="N4" s="4" t="s">
        <v>30</v>
      </c>
      <c r="O4" s="25">
        <v>0.01</v>
      </c>
    </row>
    <row r="5" spans="2:135" x14ac:dyDescent="0.35">
      <c r="B5" s="3" t="s">
        <v>7</v>
      </c>
      <c r="C5" s="17">
        <v>0.14000000000000001</v>
      </c>
      <c r="D5" s="18">
        <v>0.35</v>
      </c>
      <c r="E5" s="1">
        <f t="shared" ref="E5:E6" si="0">D5+(1-D5)*$C$9</f>
        <v>0.38249999999999995</v>
      </c>
      <c r="F5" s="7">
        <f t="shared" ref="F5:F6" si="1">(1-E5)</f>
        <v>0.61750000000000005</v>
      </c>
      <c r="H5" s="3" t="s">
        <v>15</v>
      </c>
      <c r="I5" s="52">
        <f>XIRR(C74:EE74,C13:EE13)</f>
        <v>0.1025881826877594</v>
      </c>
      <c r="K5" s="3" t="s">
        <v>22</v>
      </c>
      <c r="L5" s="23">
        <v>5.0000000000000001E-3</v>
      </c>
    </row>
    <row r="6" spans="2:135" x14ac:dyDescent="0.35">
      <c r="B6" s="4" t="s">
        <v>8</v>
      </c>
      <c r="C6" s="2"/>
      <c r="D6" s="19">
        <v>0.5</v>
      </c>
      <c r="E6" s="16">
        <f t="shared" si="0"/>
        <v>0.52500000000000002</v>
      </c>
      <c r="F6" s="8">
        <f t="shared" si="1"/>
        <v>0.47499999999999998</v>
      </c>
      <c r="H6" s="3" t="s">
        <v>16</v>
      </c>
      <c r="I6" s="53">
        <f>SUMIF(C74:EE74,"&gt;0",C74:EE74)/ABS(SUMIF(C74:EE74,"&lt;0",C74:EE74))</f>
        <v>1.558212521581134</v>
      </c>
      <c r="K6" s="3" t="s">
        <v>23</v>
      </c>
      <c r="L6" s="23">
        <v>5.5E-2</v>
      </c>
      <c r="N6" s="61" t="s">
        <v>31</v>
      </c>
      <c r="O6" s="61"/>
    </row>
    <row r="7" spans="2:135" x14ac:dyDescent="0.35">
      <c r="H7" s="3" t="s">
        <v>17</v>
      </c>
      <c r="I7" s="52">
        <f>XIRR(C79:EE79,C13:EE13)</f>
        <v>0.72584611177444458</v>
      </c>
      <c r="K7" s="3" t="s">
        <v>24</v>
      </c>
      <c r="L7" s="23">
        <v>0.05</v>
      </c>
      <c r="N7" s="3" t="s">
        <v>32</v>
      </c>
      <c r="O7" s="26">
        <v>0.65</v>
      </c>
    </row>
    <row r="8" spans="2:135" x14ac:dyDescent="0.35">
      <c r="B8" s="59" t="s">
        <v>9</v>
      </c>
      <c r="C8" s="60"/>
      <c r="H8" s="3" t="s">
        <v>18</v>
      </c>
      <c r="I8" s="53">
        <f>SUMIF(C79:EE79,"&gt;0",C79:EE79)/ABS(SUMIF(C79:EE79,"&lt;0",C79:EE79))</f>
        <v>9.3492751294868039</v>
      </c>
      <c r="K8" s="3" t="s">
        <v>25</v>
      </c>
      <c r="L8" s="24">
        <v>60</v>
      </c>
      <c r="N8" s="3" t="s">
        <v>33</v>
      </c>
      <c r="O8" s="23">
        <v>5.0000000000000001E-3</v>
      </c>
    </row>
    <row r="9" spans="2:135" x14ac:dyDescent="0.35">
      <c r="B9" s="3" t="s">
        <v>10</v>
      </c>
      <c r="C9" s="20">
        <v>0.05</v>
      </c>
      <c r="H9" s="4" t="s">
        <v>2</v>
      </c>
      <c r="I9" s="55">
        <f>C85</f>
        <v>1434529.4026806317</v>
      </c>
      <c r="K9" s="3" t="s">
        <v>26</v>
      </c>
      <c r="L9" s="23">
        <v>0.06</v>
      </c>
      <c r="N9" s="3" t="s">
        <v>34</v>
      </c>
      <c r="O9" s="23">
        <v>3.7499999999999999E-2</v>
      </c>
    </row>
    <row r="10" spans="2:135" x14ac:dyDescent="0.35">
      <c r="B10" s="4" t="s">
        <v>11</v>
      </c>
      <c r="C10" s="8">
        <f>(1-$C$9)</f>
        <v>0.95</v>
      </c>
      <c r="K10" s="4" t="s">
        <v>27</v>
      </c>
      <c r="L10" s="25">
        <v>0.02</v>
      </c>
      <c r="N10" s="4" t="s">
        <v>35</v>
      </c>
      <c r="O10" s="27">
        <v>30</v>
      </c>
    </row>
    <row r="12" spans="2:135" x14ac:dyDescent="0.35">
      <c r="B12" s="31" t="s">
        <v>36</v>
      </c>
      <c r="C12" s="9">
        <v>0</v>
      </c>
      <c r="D12" s="5">
        <f>C12+1</f>
        <v>1</v>
      </c>
      <c r="E12" s="5">
        <f t="shared" ref="E12:BP12" si="2">D12+1</f>
        <v>2</v>
      </c>
      <c r="F12" s="5">
        <f t="shared" si="2"/>
        <v>3</v>
      </c>
      <c r="G12" s="5">
        <f t="shared" si="2"/>
        <v>4</v>
      </c>
      <c r="H12" s="5">
        <f t="shared" si="2"/>
        <v>5</v>
      </c>
      <c r="I12" s="5">
        <f t="shared" si="2"/>
        <v>6</v>
      </c>
      <c r="J12" s="5">
        <f t="shared" si="2"/>
        <v>7</v>
      </c>
      <c r="K12" s="5">
        <f t="shared" si="2"/>
        <v>8</v>
      </c>
      <c r="L12" s="5">
        <f t="shared" si="2"/>
        <v>9</v>
      </c>
      <c r="M12" s="5">
        <f t="shared" si="2"/>
        <v>10</v>
      </c>
      <c r="N12" s="5">
        <f t="shared" si="2"/>
        <v>11</v>
      </c>
      <c r="O12" s="5">
        <f t="shared" si="2"/>
        <v>12</v>
      </c>
      <c r="P12" s="5">
        <f t="shared" si="2"/>
        <v>13</v>
      </c>
      <c r="Q12" s="5">
        <f t="shared" si="2"/>
        <v>14</v>
      </c>
      <c r="R12" s="5">
        <f t="shared" si="2"/>
        <v>15</v>
      </c>
      <c r="S12" s="5">
        <f t="shared" si="2"/>
        <v>16</v>
      </c>
      <c r="T12" s="5">
        <f t="shared" si="2"/>
        <v>17</v>
      </c>
      <c r="U12" s="5">
        <f t="shared" si="2"/>
        <v>18</v>
      </c>
      <c r="V12" s="5">
        <f t="shared" si="2"/>
        <v>19</v>
      </c>
      <c r="W12" s="5">
        <f t="shared" si="2"/>
        <v>20</v>
      </c>
      <c r="X12" s="5">
        <f t="shared" si="2"/>
        <v>21</v>
      </c>
      <c r="Y12" s="5">
        <f t="shared" si="2"/>
        <v>22</v>
      </c>
      <c r="Z12" s="5">
        <f t="shared" si="2"/>
        <v>23</v>
      </c>
      <c r="AA12" s="5">
        <f t="shared" si="2"/>
        <v>24</v>
      </c>
      <c r="AB12" s="5">
        <f t="shared" si="2"/>
        <v>25</v>
      </c>
      <c r="AC12" s="5">
        <f t="shared" si="2"/>
        <v>26</v>
      </c>
      <c r="AD12" s="5">
        <f t="shared" si="2"/>
        <v>27</v>
      </c>
      <c r="AE12" s="5">
        <f t="shared" si="2"/>
        <v>28</v>
      </c>
      <c r="AF12" s="5">
        <f t="shared" si="2"/>
        <v>29</v>
      </c>
      <c r="AG12" s="5">
        <f t="shared" si="2"/>
        <v>30</v>
      </c>
      <c r="AH12" s="5">
        <f t="shared" si="2"/>
        <v>31</v>
      </c>
      <c r="AI12" s="5">
        <f t="shared" si="2"/>
        <v>32</v>
      </c>
      <c r="AJ12" s="5">
        <f t="shared" si="2"/>
        <v>33</v>
      </c>
      <c r="AK12" s="5">
        <f t="shared" si="2"/>
        <v>34</v>
      </c>
      <c r="AL12" s="5">
        <f t="shared" si="2"/>
        <v>35</v>
      </c>
      <c r="AM12" s="5">
        <f t="shared" si="2"/>
        <v>36</v>
      </c>
      <c r="AN12" s="5">
        <f t="shared" si="2"/>
        <v>37</v>
      </c>
      <c r="AO12" s="5">
        <f t="shared" si="2"/>
        <v>38</v>
      </c>
      <c r="AP12" s="5">
        <f t="shared" si="2"/>
        <v>39</v>
      </c>
      <c r="AQ12" s="5">
        <f t="shared" si="2"/>
        <v>40</v>
      </c>
      <c r="AR12" s="5">
        <f t="shared" si="2"/>
        <v>41</v>
      </c>
      <c r="AS12" s="5">
        <f t="shared" si="2"/>
        <v>42</v>
      </c>
      <c r="AT12" s="5">
        <f t="shared" si="2"/>
        <v>43</v>
      </c>
      <c r="AU12" s="5">
        <f t="shared" si="2"/>
        <v>44</v>
      </c>
      <c r="AV12" s="5">
        <f t="shared" si="2"/>
        <v>45</v>
      </c>
      <c r="AW12" s="5">
        <f t="shared" si="2"/>
        <v>46</v>
      </c>
      <c r="AX12" s="5">
        <f t="shared" si="2"/>
        <v>47</v>
      </c>
      <c r="AY12" s="5">
        <f t="shared" si="2"/>
        <v>48</v>
      </c>
      <c r="AZ12" s="5">
        <f t="shared" si="2"/>
        <v>49</v>
      </c>
      <c r="BA12" s="5">
        <f t="shared" si="2"/>
        <v>50</v>
      </c>
      <c r="BB12" s="5">
        <f t="shared" si="2"/>
        <v>51</v>
      </c>
      <c r="BC12" s="5">
        <f t="shared" si="2"/>
        <v>52</v>
      </c>
      <c r="BD12" s="5">
        <f t="shared" si="2"/>
        <v>53</v>
      </c>
      <c r="BE12" s="5">
        <f t="shared" si="2"/>
        <v>54</v>
      </c>
      <c r="BF12" s="5">
        <f t="shared" si="2"/>
        <v>55</v>
      </c>
      <c r="BG12" s="5">
        <f t="shared" si="2"/>
        <v>56</v>
      </c>
      <c r="BH12" s="5">
        <f t="shared" si="2"/>
        <v>57</v>
      </c>
      <c r="BI12" s="5">
        <f t="shared" si="2"/>
        <v>58</v>
      </c>
      <c r="BJ12" s="5">
        <f t="shared" si="2"/>
        <v>59</v>
      </c>
      <c r="BK12" s="5">
        <f t="shared" si="2"/>
        <v>60</v>
      </c>
      <c r="BL12" s="5">
        <f t="shared" si="2"/>
        <v>61</v>
      </c>
      <c r="BM12" s="5">
        <f t="shared" si="2"/>
        <v>62</v>
      </c>
      <c r="BN12" s="5">
        <f t="shared" si="2"/>
        <v>63</v>
      </c>
      <c r="BO12" s="5">
        <f t="shared" si="2"/>
        <v>64</v>
      </c>
      <c r="BP12" s="5">
        <f t="shared" si="2"/>
        <v>65</v>
      </c>
      <c r="BQ12" s="5">
        <f t="shared" ref="BQ12:EB12" si="3">BP12+1</f>
        <v>66</v>
      </c>
      <c r="BR12" s="5">
        <f t="shared" si="3"/>
        <v>67</v>
      </c>
      <c r="BS12" s="5">
        <f t="shared" si="3"/>
        <v>68</v>
      </c>
      <c r="BT12" s="5">
        <f t="shared" si="3"/>
        <v>69</v>
      </c>
      <c r="BU12" s="5">
        <f t="shared" si="3"/>
        <v>70</v>
      </c>
      <c r="BV12" s="5">
        <f t="shared" si="3"/>
        <v>71</v>
      </c>
      <c r="BW12" s="5">
        <f t="shared" si="3"/>
        <v>72</v>
      </c>
      <c r="BX12" s="5">
        <f t="shared" si="3"/>
        <v>73</v>
      </c>
      <c r="BY12" s="5">
        <f t="shared" si="3"/>
        <v>74</v>
      </c>
      <c r="BZ12" s="5">
        <f t="shared" si="3"/>
        <v>75</v>
      </c>
      <c r="CA12" s="5">
        <f t="shared" si="3"/>
        <v>76</v>
      </c>
      <c r="CB12" s="5">
        <f t="shared" si="3"/>
        <v>77</v>
      </c>
      <c r="CC12" s="5">
        <f t="shared" si="3"/>
        <v>78</v>
      </c>
      <c r="CD12" s="5">
        <f t="shared" si="3"/>
        <v>79</v>
      </c>
      <c r="CE12" s="5">
        <f t="shared" si="3"/>
        <v>80</v>
      </c>
      <c r="CF12" s="5">
        <f t="shared" si="3"/>
        <v>81</v>
      </c>
      <c r="CG12" s="5">
        <f t="shared" si="3"/>
        <v>82</v>
      </c>
      <c r="CH12" s="5">
        <f t="shared" si="3"/>
        <v>83</v>
      </c>
      <c r="CI12" s="5">
        <f t="shared" si="3"/>
        <v>84</v>
      </c>
      <c r="CJ12" s="5">
        <f t="shared" si="3"/>
        <v>85</v>
      </c>
      <c r="CK12" s="5">
        <f t="shared" si="3"/>
        <v>86</v>
      </c>
      <c r="CL12" s="5">
        <f t="shared" si="3"/>
        <v>87</v>
      </c>
      <c r="CM12" s="5">
        <f t="shared" si="3"/>
        <v>88</v>
      </c>
      <c r="CN12" s="5">
        <f t="shared" si="3"/>
        <v>89</v>
      </c>
      <c r="CO12" s="5">
        <f t="shared" si="3"/>
        <v>90</v>
      </c>
      <c r="CP12" s="5">
        <f t="shared" si="3"/>
        <v>91</v>
      </c>
      <c r="CQ12" s="5">
        <f t="shared" si="3"/>
        <v>92</v>
      </c>
      <c r="CR12" s="5">
        <f t="shared" si="3"/>
        <v>93</v>
      </c>
      <c r="CS12" s="5">
        <f t="shared" si="3"/>
        <v>94</v>
      </c>
      <c r="CT12" s="5">
        <f t="shared" si="3"/>
        <v>95</v>
      </c>
      <c r="CU12" s="5">
        <f t="shared" si="3"/>
        <v>96</v>
      </c>
      <c r="CV12" s="5">
        <f t="shared" si="3"/>
        <v>97</v>
      </c>
      <c r="CW12" s="5">
        <f t="shared" si="3"/>
        <v>98</v>
      </c>
      <c r="CX12" s="5">
        <f t="shared" si="3"/>
        <v>99</v>
      </c>
      <c r="CY12" s="5">
        <f t="shared" si="3"/>
        <v>100</v>
      </c>
      <c r="CZ12" s="5">
        <f t="shared" si="3"/>
        <v>101</v>
      </c>
      <c r="DA12" s="5">
        <f t="shared" si="3"/>
        <v>102</v>
      </c>
      <c r="DB12" s="5">
        <f t="shared" si="3"/>
        <v>103</v>
      </c>
      <c r="DC12" s="5">
        <f t="shared" si="3"/>
        <v>104</v>
      </c>
      <c r="DD12" s="5">
        <f t="shared" si="3"/>
        <v>105</v>
      </c>
      <c r="DE12" s="5">
        <f t="shared" si="3"/>
        <v>106</v>
      </c>
      <c r="DF12" s="5">
        <f t="shared" si="3"/>
        <v>107</v>
      </c>
      <c r="DG12" s="5">
        <f t="shared" si="3"/>
        <v>108</v>
      </c>
      <c r="DH12" s="5">
        <f t="shared" si="3"/>
        <v>109</v>
      </c>
      <c r="DI12" s="5">
        <f t="shared" si="3"/>
        <v>110</v>
      </c>
      <c r="DJ12" s="5">
        <f t="shared" si="3"/>
        <v>111</v>
      </c>
      <c r="DK12" s="5">
        <f t="shared" si="3"/>
        <v>112</v>
      </c>
      <c r="DL12" s="5">
        <f t="shared" si="3"/>
        <v>113</v>
      </c>
      <c r="DM12" s="5">
        <f t="shared" si="3"/>
        <v>114</v>
      </c>
      <c r="DN12" s="5">
        <f t="shared" si="3"/>
        <v>115</v>
      </c>
      <c r="DO12" s="5">
        <f t="shared" si="3"/>
        <v>116</v>
      </c>
      <c r="DP12" s="5">
        <f t="shared" si="3"/>
        <v>117</v>
      </c>
      <c r="DQ12" s="5">
        <f t="shared" si="3"/>
        <v>118</v>
      </c>
      <c r="DR12" s="5">
        <f t="shared" si="3"/>
        <v>119</v>
      </c>
      <c r="DS12" s="5">
        <f t="shared" si="3"/>
        <v>120</v>
      </c>
      <c r="DT12" s="5">
        <f t="shared" si="3"/>
        <v>121</v>
      </c>
      <c r="DU12" s="5">
        <f t="shared" si="3"/>
        <v>122</v>
      </c>
      <c r="DV12" s="5">
        <f t="shared" si="3"/>
        <v>123</v>
      </c>
      <c r="DW12" s="5">
        <f t="shared" si="3"/>
        <v>124</v>
      </c>
      <c r="DX12" s="5">
        <f t="shared" si="3"/>
        <v>125</v>
      </c>
      <c r="DY12" s="5">
        <f t="shared" si="3"/>
        <v>126</v>
      </c>
      <c r="DZ12" s="5">
        <f t="shared" si="3"/>
        <v>127</v>
      </c>
      <c r="EA12" s="5">
        <f t="shared" si="3"/>
        <v>128</v>
      </c>
      <c r="EB12" s="5">
        <f t="shared" si="3"/>
        <v>129</v>
      </c>
      <c r="EC12" s="5">
        <f t="shared" ref="EC12:EE12" si="4">EB12+1</f>
        <v>130</v>
      </c>
      <c r="ED12" s="5">
        <f t="shared" si="4"/>
        <v>131</v>
      </c>
      <c r="EE12" s="6">
        <f t="shared" si="4"/>
        <v>132</v>
      </c>
    </row>
    <row r="13" spans="2:135" x14ac:dyDescent="0.35">
      <c r="B13" s="32" t="s">
        <v>37</v>
      </c>
      <c r="C13" s="10">
        <f>L3</f>
        <v>44377</v>
      </c>
      <c r="D13" s="10">
        <f>EOMONTH(C13,1)</f>
        <v>44408</v>
      </c>
      <c r="E13" s="10">
        <f t="shared" ref="E13:BP13" si="5">EOMONTH(D13,1)</f>
        <v>44439</v>
      </c>
      <c r="F13" s="10">
        <f t="shared" si="5"/>
        <v>44469</v>
      </c>
      <c r="G13" s="10">
        <f t="shared" si="5"/>
        <v>44500</v>
      </c>
      <c r="H13" s="10">
        <f t="shared" si="5"/>
        <v>44530</v>
      </c>
      <c r="I13" s="10">
        <f t="shared" si="5"/>
        <v>44561</v>
      </c>
      <c r="J13" s="10">
        <f t="shared" si="5"/>
        <v>44592</v>
      </c>
      <c r="K13" s="10">
        <f t="shared" si="5"/>
        <v>44620</v>
      </c>
      <c r="L13" s="10">
        <f t="shared" si="5"/>
        <v>44651</v>
      </c>
      <c r="M13" s="10">
        <f t="shared" si="5"/>
        <v>44681</v>
      </c>
      <c r="N13" s="10">
        <f t="shared" si="5"/>
        <v>44712</v>
      </c>
      <c r="O13" s="10">
        <f t="shared" si="5"/>
        <v>44742</v>
      </c>
      <c r="P13" s="10">
        <f t="shared" si="5"/>
        <v>44773</v>
      </c>
      <c r="Q13" s="10">
        <f t="shared" si="5"/>
        <v>44804</v>
      </c>
      <c r="R13" s="10">
        <f t="shared" si="5"/>
        <v>44834</v>
      </c>
      <c r="S13" s="10">
        <f t="shared" si="5"/>
        <v>44865</v>
      </c>
      <c r="T13" s="10">
        <f t="shared" si="5"/>
        <v>44895</v>
      </c>
      <c r="U13" s="10">
        <f t="shared" si="5"/>
        <v>44926</v>
      </c>
      <c r="V13" s="10">
        <f t="shared" si="5"/>
        <v>44957</v>
      </c>
      <c r="W13" s="10">
        <f t="shared" si="5"/>
        <v>44985</v>
      </c>
      <c r="X13" s="10">
        <f t="shared" si="5"/>
        <v>45016</v>
      </c>
      <c r="Y13" s="10">
        <f t="shared" si="5"/>
        <v>45046</v>
      </c>
      <c r="Z13" s="10">
        <f t="shared" si="5"/>
        <v>45077</v>
      </c>
      <c r="AA13" s="10">
        <f t="shared" si="5"/>
        <v>45107</v>
      </c>
      <c r="AB13" s="10">
        <f t="shared" si="5"/>
        <v>45138</v>
      </c>
      <c r="AC13" s="10">
        <f t="shared" si="5"/>
        <v>45169</v>
      </c>
      <c r="AD13" s="10">
        <f t="shared" si="5"/>
        <v>45199</v>
      </c>
      <c r="AE13" s="10">
        <f t="shared" si="5"/>
        <v>45230</v>
      </c>
      <c r="AF13" s="10">
        <f t="shared" si="5"/>
        <v>45260</v>
      </c>
      <c r="AG13" s="10">
        <f t="shared" si="5"/>
        <v>45291</v>
      </c>
      <c r="AH13" s="10">
        <f t="shared" si="5"/>
        <v>45322</v>
      </c>
      <c r="AI13" s="10">
        <f t="shared" si="5"/>
        <v>45351</v>
      </c>
      <c r="AJ13" s="10">
        <f t="shared" si="5"/>
        <v>45382</v>
      </c>
      <c r="AK13" s="10">
        <f t="shared" si="5"/>
        <v>45412</v>
      </c>
      <c r="AL13" s="10">
        <f t="shared" si="5"/>
        <v>45443</v>
      </c>
      <c r="AM13" s="10">
        <f t="shared" si="5"/>
        <v>45473</v>
      </c>
      <c r="AN13" s="10">
        <f t="shared" si="5"/>
        <v>45504</v>
      </c>
      <c r="AO13" s="10">
        <f t="shared" si="5"/>
        <v>45535</v>
      </c>
      <c r="AP13" s="10">
        <f t="shared" si="5"/>
        <v>45565</v>
      </c>
      <c r="AQ13" s="10">
        <f t="shared" si="5"/>
        <v>45596</v>
      </c>
      <c r="AR13" s="10">
        <f t="shared" si="5"/>
        <v>45626</v>
      </c>
      <c r="AS13" s="10">
        <f t="shared" si="5"/>
        <v>45657</v>
      </c>
      <c r="AT13" s="10">
        <f t="shared" si="5"/>
        <v>45688</v>
      </c>
      <c r="AU13" s="10">
        <f t="shared" si="5"/>
        <v>45716</v>
      </c>
      <c r="AV13" s="10">
        <f t="shared" si="5"/>
        <v>45747</v>
      </c>
      <c r="AW13" s="10">
        <f t="shared" si="5"/>
        <v>45777</v>
      </c>
      <c r="AX13" s="10">
        <f t="shared" si="5"/>
        <v>45808</v>
      </c>
      <c r="AY13" s="10">
        <f t="shared" si="5"/>
        <v>45838</v>
      </c>
      <c r="AZ13" s="10">
        <f t="shared" si="5"/>
        <v>45869</v>
      </c>
      <c r="BA13" s="10">
        <f t="shared" si="5"/>
        <v>45900</v>
      </c>
      <c r="BB13" s="10">
        <f t="shared" si="5"/>
        <v>45930</v>
      </c>
      <c r="BC13" s="10">
        <f t="shared" si="5"/>
        <v>45961</v>
      </c>
      <c r="BD13" s="10">
        <f t="shared" si="5"/>
        <v>45991</v>
      </c>
      <c r="BE13" s="10">
        <f t="shared" si="5"/>
        <v>46022</v>
      </c>
      <c r="BF13" s="10">
        <f t="shared" si="5"/>
        <v>46053</v>
      </c>
      <c r="BG13" s="10">
        <f t="shared" si="5"/>
        <v>46081</v>
      </c>
      <c r="BH13" s="10">
        <f t="shared" si="5"/>
        <v>46112</v>
      </c>
      <c r="BI13" s="10">
        <f t="shared" si="5"/>
        <v>46142</v>
      </c>
      <c r="BJ13" s="10">
        <f t="shared" si="5"/>
        <v>46173</v>
      </c>
      <c r="BK13" s="10">
        <f t="shared" si="5"/>
        <v>46203</v>
      </c>
      <c r="BL13" s="10">
        <f t="shared" si="5"/>
        <v>46234</v>
      </c>
      <c r="BM13" s="10">
        <f t="shared" si="5"/>
        <v>46265</v>
      </c>
      <c r="BN13" s="10">
        <f t="shared" si="5"/>
        <v>46295</v>
      </c>
      <c r="BO13" s="10">
        <f t="shared" si="5"/>
        <v>46326</v>
      </c>
      <c r="BP13" s="10">
        <f t="shared" si="5"/>
        <v>46356</v>
      </c>
      <c r="BQ13" s="10">
        <f t="shared" ref="BQ13:EB13" si="6">EOMONTH(BP13,1)</f>
        <v>46387</v>
      </c>
      <c r="BR13" s="10">
        <f t="shared" si="6"/>
        <v>46418</v>
      </c>
      <c r="BS13" s="10">
        <f t="shared" si="6"/>
        <v>46446</v>
      </c>
      <c r="BT13" s="10">
        <f t="shared" si="6"/>
        <v>46477</v>
      </c>
      <c r="BU13" s="10">
        <f t="shared" si="6"/>
        <v>46507</v>
      </c>
      <c r="BV13" s="10">
        <f t="shared" si="6"/>
        <v>46538</v>
      </c>
      <c r="BW13" s="10">
        <f t="shared" si="6"/>
        <v>46568</v>
      </c>
      <c r="BX13" s="10">
        <f t="shared" si="6"/>
        <v>46599</v>
      </c>
      <c r="BY13" s="10">
        <f t="shared" si="6"/>
        <v>46630</v>
      </c>
      <c r="BZ13" s="10">
        <f t="shared" si="6"/>
        <v>46660</v>
      </c>
      <c r="CA13" s="10">
        <f t="shared" si="6"/>
        <v>46691</v>
      </c>
      <c r="CB13" s="10">
        <f t="shared" si="6"/>
        <v>46721</v>
      </c>
      <c r="CC13" s="10">
        <f t="shared" si="6"/>
        <v>46752</v>
      </c>
      <c r="CD13" s="10">
        <f t="shared" si="6"/>
        <v>46783</v>
      </c>
      <c r="CE13" s="10">
        <f t="shared" si="6"/>
        <v>46812</v>
      </c>
      <c r="CF13" s="10">
        <f t="shared" si="6"/>
        <v>46843</v>
      </c>
      <c r="CG13" s="10">
        <f t="shared" si="6"/>
        <v>46873</v>
      </c>
      <c r="CH13" s="10">
        <f t="shared" si="6"/>
        <v>46904</v>
      </c>
      <c r="CI13" s="10">
        <f t="shared" si="6"/>
        <v>46934</v>
      </c>
      <c r="CJ13" s="10">
        <f t="shared" si="6"/>
        <v>46965</v>
      </c>
      <c r="CK13" s="10">
        <f t="shared" si="6"/>
        <v>46996</v>
      </c>
      <c r="CL13" s="10">
        <f t="shared" si="6"/>
        <v>47026</v>
      </c>
      <c r="CM13" s="10">
        <f t="shared" si="6"/>
        <v>47057</v>
      </c>
      <c r="CN13" s="10">
        <f t="shared" si="6"/>
        <v>47087</v>
      </c>
      <c r="CO13" s="10">
        <f t="shared" si="6"/>
        <v>47118</v>
      </c>
      <c r="CP13" s="10">
        <f t="shared" si="6"/>
        <v>47149</v>
      </c>
      <c r="CQ13" s="10">
        <f t="shared" si="6"/>
        <v>47177</v>
      </c>
      <c r="CR13" s="10">
        <f t="shared" si="6"/>
        <v>47208</v>
      </c>
      <c r="CS13" s="10">
        <f t="shared" si="6"/>
        <v>47238</v>
      </c>
      <c r="CT13" s="10">
        <f t="shared" si="6"/>
        <v>47269</v>
      </c>
      <c r="CU13" s="10">
        <f t="shared" si="6"/>
        <v>47299</v>
      </c>
      <c r="CV13" s="10">
        <f t="shared" si="6"/>
        <v>47330</v>
      </c>
      <c r="CW13" s="10">
        <f t="shared" si="6"/>
        <v>47361</v>
      </c>
      <c r="CX13" s="10">
        <f t="shared" si="6"/>
        <v>47391</v>
      </c>
      <c r="CY13" s="10">
        <f t="shared" si="6"/>
        <v>47422</v>
      </c>
      <c r="CZ13" s="10">
        <f t="shared" si="6"/>
        <v>47452</v>
      </c>
      <c r="DA13" s="10">
        <f t="shared" si="6"/>
        <v>47483</v>
      </c>
      <c r="DB13" s="10">
        <f t="shared" si="6"/>
        <v>47514</v>
      </c>
      <c r="DC13" s="10">
        <f t="shared" si="6"/>
        <v>47542</v>
      </c>
      <c r="DD13" s="10">
        <f t="shared" si="6"/>
        <v>47573</v>
      </c>
      <c r="DE13" s="10">
        <f t="shared" si="6"/>
        <v>47603</v>
      </c>
      <c r="DF13" s="10">
        <f t="shared" si="6"/>
        <v>47634</v>
      </c>
      <c r="DG13" s="10">
        <f t="shared" si="6"/>
        <v>47664</v>
      </c>
      <c r="DH13" s="10">
        <f t="shared" si="6"/>
        <v>47695</v>
      </c>
      <c r="DI13" s="10">
        <f t="shared" si="6"/>
        <v>47726</v>
      </c>
      <c r="DJ13" s="10">
        <f t="shared" si="6"/>
        <v>47756</v>
      </c>
      <c r="DK13" s="10">
        <f t="shared" si="6"/>
        <v>47787</v>
      </c>
      <c r="DL13" s="10">
        <f t="shared" si="6"/>
        <v>47817</v>
      </c>
      <c r="DM13" s="10">
        <f t="shared" si="6"/>
        <v>47848</v>
      </c>
      <c r="DN13" s="10">
        <f t="shared" si="6"/>
        <v>47879</v>
      </c>
      <c r="DO13" s="10">
        <f t="shared" si="6"/>
        <v>47907</v>
      </c>
      <c r="DP13" s="10">
        <f t="shared" si="6"/>
        <v>47938</v>
      </c>
      <c r="DQ13" s="10">
        <f t="shared" si="6"/>
        <v>47968</v>
      </c>
      <c r="DR13" s="10">
        <f t="shared" si="6"/>
        <v>47999</v>
      </c>
      <c r="DS13" s="10">
        <f t="shared" si="6"/>
        <v>48029</v>
      </c>
      <c r="DT13" s="10">
        <f t="shared" si="6"/>
        <v>48060</v>
      </c>
      <c r="DU13" s="10">
        <f t="shared" si="6"/>
        <v>48091</v>
      </c>
      <c r="DV13" s="10">
        <f t="shared" si="6"/>
        <v>48121</v>
      </c>
      <c r="DW13" s="10">
        <f t="shared" si="6"/>
        <v>48152</v>
      </c>
      <c r="DX13" s="10">
        <f t="shared" si="6"/>
        <v>48182</v>
      </c>
      <c r="DY13" s="10">
        <f t="shared" si="6"/>
        <v>48213</v>
      </c>
      <c r="DZ13" s="10">
        <f t="shared" si="6"/>
        <v>48244</v>
      </c>
      <c r="EA13" s="10">
        <f t="shared" si="6"/>
        <v>48273</v>
      </c>
      <c r="EB13" s="10">
        <f t="shared" si="6"/>
        <v>48304</v>
      </c>
      <c r="EC13" s="10">
        <f t="shared" ref="EC13:EE13" si="7">EOMONTH(EB13,1)</f>
        <v>48334</v>
      </c>
      <c r="ED13" s="10">
        <f t="shared" si="7"/>
        <v>48365</v>
      </c>
      <c r="EE13" s="11">
        <f t="shared" si="7"/>
        <v>48395</v>
      </c>
    </row>
    <row r="14" spans="2:135" x14ac:dyDescent="0.35">
      <c r="B14" s="33" t="s">
        <v>38</v>
      </c>
      <c r="C14" s="13">
        <v>0</v>
      </c>
      <c r="D14" s="13">
        <f>($L$4*$L$6/12)*(1+$L$7)^((D12-1)/12)</f>
        <v>45833.333333333336</v>
      </c>
      <c r="E14" s="13">
        <f t="shared" ref="E14:BP14" si="8">($L$4*$L$6/12)*(1+$L$7)^((E12-1)/12)</f>
        <v>46020.064006750552</v>
      </c>
      <c r="F14" s="13">
        <f t="shared" si="8"/>
        <v>46207.555444045465</v>
      </c>
      <c r="G14" s="13">
        <f t="shared" si="8"/>
        <v>46395.810744664304</v>
      </c>
      <c r="H14" s="13">
        <f t="shared" si="8"/>
        <v>46584.833020680788</v>
      </c>
      <c r="I14" s="13">
        <f t="shared" si="8"/>
        <v>46774.625396847623</v>
      </c>
      <c r="J14" s="13">
        <f t="shared" si="8"/>
        <v>46965.191010648166</v>
      </c>
      <c r="K14" s="13">
        <f t="shared" si="8"/>
        <v>47156.533012348234</v>
      </c>
      <c r="L14" s="13">
        <f t="shared" si="8"/>
        <v>47348.654565048237</v>
      </c>
      <c r="M14" s="13">
        <f t="shared" si="8"/>
        <v>47541.558844735446</v>
      </c>
      <c r="N14" s="13">
        <f t="shared" si="8"/>
        <v>47735.249040336501</v>
      </c>
      <c r="O14" s="13">
        <f t="shared" si="8"/>
        <v>47929.728353770108</v>
      </c>
      <c r="P14" s="13">
        <f t="shared" si="8"/>
        <v>48125.000000000007</v>
      </c>
      <c r="Q14" s="13">
        <f t="shared" si="8"/>
        <v>48321.067207088083</v>
      </c>
      <c r="R14" s="13">
        <f t="shared" si="8"/>
        <v>48517.933216247744</v>
      </c>
      <c r="S14" s="13">
        <f t="shared" si="8"/>
        <v>48715.601281897521</v>
      </c>
      <c r="T14" s="13">
        <f t="shared" si="8"/>
        <v>48914.074671714829</v>
      </c>
      <c r="U14" s="13">
        <f t="shared" si="8"/>
        <v>49113.356666690008</v>
      </c>
      <c r="V14" s="13">
        <f t="shared" si="8"/>
        <v>49313.450561180573</v>
      </c>
      <c r="W14" s="13">
        <f t="shared" si="8"/>
        <v>49514.359662965646</v>
      </c>
      <c r="X14" s="13">
        <f t="shared" si="8"/>
        <v>49716.087293300654</v>
      </c>
      <c r="Y14" s="13">
        <f t="shared" si="8"/>
        <v>49918.636786972216</v>
      </c>
      <c r="Z14" s="13">
        <f t="shared" si="8"/>
        <v>50122.011492353326</v>
      </c>
      <c r="AA14" s="13">
        <f t="shared" si="8"/>
        <v>50326.214771458617</v>
      </c>
      <c r="AB14" s="13">
        <f t="shared" si="8"/>
        <v>50531.250000000007</v>
      </c>
      <c r="AC14" s="13">
        <f t="shared" si="8"/>
        <v>50737.120567442485</v>
      </c>
      <c r="AD14" s="13">
        <f t="shared" si="8"/>
        <v>50943.82987706014</v>
      </c>
      <c r="AE14" s="13">
        <f t="shared" si="8"/>
        <v>51151.381345992406</v>
      </c>
      <c r="AF14" s="13">
        <f t="shared" si="8"/>
        <v>51359.778405300574</v>
      </c>
      <c r="AG14" s="13">
        <f t="shared" si="8"/>
        <v>51569.024500024512</v>
      </c>
      <c r="AH14" s="13">
        <f t="shared" si="8"/>
        <v>51779.123089239605</v>
      </c>
      <c r="AI14" s="13">
        <f t="shared" si="8"/>
        <v>51990.077646113932</v>
      </c>
      <c r="AJ14" s="13">
        <f t="shared" si="8"/>
        <v>52201.89165796568</v>
      </c>
      <c r="AK14" s="13">
        <f t="shared" si="8"/>
        <v>52414.568626320834</v>
      </c>
      <c r="AL14" s="13">
        <f t="shared" si="8"/>
        <v>52628.112066970993</v>
      </c>
      <c r="AM14" s="13">
        <f t="shared" si="8"/>
        <v>52842.525510031548</v>
      </c>
      <c r="AN14" s="13">
        <f t="shared" si="8"/>
        <v>53057.812500000007</v>
      </c>
      <c r="AO14" s="13">
        <f t="shared" si="8"/>
        <v>53273.976595814609</v>
      </c>
      <c r="AP14" s="13">
        <f t="shared" si="8"/>
        <v>53491.021370913142</v>
      </c>
      <c r="AQ14" s="13">
        <f t="shared" si="8"/>
        <v>53708.950413292019</v>
      </c>
      <c r="AR14" s="13">
        <f t="shared" si="8"/>
        <v>53927.767325565597</v>
      </c>
      <c r="AS14" s="13">
        <f t="shared" si="8"/>
        <v>54147.475725025739</v>
      </c>
      <c r="AT14" s="13">
        <f t="shared" si="8"/>
        <v>54368.079243701592</v>
      </c>
      <c r="AU14" s="13">
        <f t="shared" si="8"/>
        <v>54589.581528419636</v>
      </c>
      <c r="AV14" s="13">
        <f t="shared" si="8"/>
        <v>54811.986240863967</v>
      </c>
      <c r="AW14" s="13">
        <f t="shared" si="8"/>
        <v>55035.297057636883</v>
      </c>
      <c r="AX14" s="13">
        <f t="shared" si="8"/>
        <v>55259.517670319547</v>
      </c>
      <c r="AY14" s="13">
        <f t="shared" si="8"/>
        <v>55484.651785533126</v>
      </c>
      <c r="AZ14" s="13">
        <f t="shared" si="8"/>
        <v>55710.703125</v>
      </c>
      <c r="BA14" s="13">
        <f t="shared" si="8"/>
        <v>55937.675425605346</v>
      </c>
      <c r="BB14" s="13">
        <f t="shared" si="8"/>
        <v>56165.572439458803</v>
      </c>
      <c r="BC14" s="13">
        <f t="shared" si="8"/>
        <v>56394.397933956629</v>
      </c>
      <c r="BD14" s="13">
        <f t="shared" si="8"/>
        <v>56624.15569184388</v>
      </c>
      <c r="BE14" s="13">
        <f t="shared" si="8"/>
        <v>56854.849511277025</v>
      </c>
      <c r="BF14" s="13">
        <f t="shared" si="8"/>
        <v>57086.483205886667</v>
      </c>
      <c r="BG14" s="13">
        <f t="shared" si="8"/>
        <v>57319.060604840612</v>
      </c>
      <c r="BH14" s="13">
        <f t="shared" si="8"/>
        <v>57552.585552907178</v>
      </c>
      <c r="BI14" s="13">
        <f t="shared" si="8"/>
        <v>57787.061910518729</v>
      </c>
      <c r="BJ14" s="13">
        <f t="shared" si="8"/>
        <v>58022.493553835528</v>
      </c>
      <c r="BK14" s="13">
        <f t="shared" si="8"/>
        <v>58258.884374809786</v>
      </c>
      <c r="BL14" s="13">
        <f t="shared" si="8"/>
        <v>58496.238281250007</v>
      </c>
      <c r="BM14" s="13">
        <f t="shared" si="8"/>
        <v>58734.55919688561</v>
      </c>
      <c r="BN14" s="13">
        <f t="shared" si="8"/>
        <v>58973.851061431757</v>
      </c>
      <c r="BO14" s="13">
        <f t="shared" si="8"/>
        <v>59214.117830654461</v>
      </c>
      <c r="BP14" s="13">
        <f t="shared" si="8"/>
        <v>59455.363476436076</v>
      </c>
      <c r="BQ14" s="13">
        <f t="shared" ref="BQ14:EB14" si="9">($L$4*$L$6/12)*(1+$L$7)^((BQ12-1)/12)</f>
        <v>59697.591986840889</v>
      </c>
      <c r="BR14" s="13">
        <f t="shared" si="9"/>
        <v>59940.807366181005</v>
      </c>
      <c r="BS14" s="13">
        <f t="shared" si="9"/>
        <v>60185.013635082643</v>
      </c>
      <c r="BT14" s="13">
        <f t="shared" si="9"/>
        <v>60430.214830552526</v>
      </c>
      <c r="BU14" s="13">
        <f t="shared" si="9"/>
        <v>60676.415006044663</v>
      </c>
      <c r="BV14" s="13">
        <f t="shared" si="9"/>
        <v>60923.618231527304</v>
      </c>
      <c r="BW14" s="13">
        <f t="shared" si="9"/>
        <v>61171.828593550279</v>
      </c>
      <c r="BX14" s="13">
        <f t="shared" si="9"/>
        <v>61421.050195312499</v>
      </c>
      <c r="BY14" s="13">
        <f t="shared" si="9"/>
        <v>61671.287156729901</v>
      </c>
      <c r="BZ14" s="13">
        <f t="shared" si="9"/>
        <v>61922.543614503338</v>
      </c>
      <c r="CA14" s="13">
        <f t="shared" si="9"/>
        <v>62174.82372218719</v>
      </c>
      <c r="CB14" s="13">
        <f t="shared" si="9"/>
        <v>62428.131650257885</v>
      </c>
      <c r="CC14" s="13">
        <f t="shared" si="9"/>
        <v>62682.471586182932</v>
      </c>
      <c r="CD14" s="13">
        <f t="shared" si="9"/>
        <v>62937.84773449006</v>
      </c>
      <c r="CE14" s="13">
        <f t="shared" si="9"/>
        <v>63194.264316836787</v>
      </c>
      <c r="CF14" s="13">
        <f t="shared" si="9"/>
        <v>63451.725572080162</v>
      </c>
      <c r="CG14" s="13">
        <f t="shared" si="9"/>
        <v>63710.235756346898</v>
      </c>
      <c r="CH14" s="13">
        <f t="shared" si="9"/>
        <v>63969.799143103672</v>
      </c>
      <c r="CI14" s="13">
        <f t="shared" si="9"/>
        <v>64230.420023227794</v>
      </c>
      <c r="CJ14" s="13">
        <f t="shared" si="9"/>
        <v>64492.102705078141</v>
      </c>
      <c r="CK14" s="13">
        <f t="shared" si="9"/>
        <v>64754.851514566399</v>
      </c>
      <c r="CL14" s="13">
        <f t="shared" si="9"/>
        <v>65018.670795228514</v>
      </c>
      <c r="CM14" s="13">
        <f t="shared" si="9"/>
        <v>65283.564908296546</v>
      </c>
      <c r="CN14" s="13">
        <f t="shared" si="9"/>
        <v>65549.538232770778</v>
      </c>
      <c r="CO14" s="13">
        <f t="shared" si="9"/>
        <v>65816.595165492079</v>
      </c>
      <c r="CP14" s="13">
        <f t="shared" si="9"/>
        <v>66084.740121214563</v>
      </c>
      <c r="CQ14" s="13">
        <f t="shared" si="9"/>
        <v>66353.977532678618</v>
      </c>
      <c r="CR14" s="13">
        <f t="shared" si="9"/>
        <v>66624.311850684171</v>
      </c>
      <c r="CS14" s="13">
        <f t="shared" si="9"/>
        <v>66895.747544164245</v>
      </c>
      <c r="CT14" s="13">
        <f t="shared" si="9"/>
        <v>67168.289100258859</v>
      </c>
      <c r="CU14" s="13">
        <f t="shared" si="9"/>
        <v>67441.941024389191</v>
      </c>
      <c r="CV14" s="13">
        <f t="shared" si="9"/>
        <v>67716.707840332034</v>
      </c>
      <c r="CW14" s="13">
        <f t="shared" si="9"/>
        <v>67992.594090294719</v>
      </c>
      <c r="CX14" s="13">
        <f t="shared" si="9"/>
        <v>68269.604334989941</v>
      </c>
      <c r="CY14" s="13">
        <f t="shared" si="9"/>
        <v>68547.743153711388</v>
      </c>
      <c r="CZ14" s="13">
        <f t="shared" si="9"/>
        <v>68827.015144409335</v>
      </c>
      <c r="DA14" s="13">
        <f t="shared" si="9"/>
        <v>69107.424923766681</v>
      </c>
      <c r="DB14" s="13">
        <f t="shared" si="9"/>
        <v>69388.977127275299</v>
      </c>
      <c r="DC14" s="13">
        <f t="shared" si="9"/>
        <v>69671.676409312568</v>
      </c>
      <c r="DD14" s="13">
        <f t="shared" si="9"/>
        <v>69955.52744321838</v>
      </c>
      <c r="DE14" s="13">
        <f t="shared" si="9"/>
        <v>70240.534921372455</v>
      </c>
      <c r="DF14" s="13">
        <f t="shared" si="9"/>
        <v>70526.703555271801</v>
      </c>
      <c r="DG14" s="13">
        <f t="shared" si="9"/>
        <v>70814.038075608652</v>
      </c>
      <c r="DH14" s="13">
        <f t="shared" si="9"/>
        <v>71102.543232348646</v>
      </c>
      <c r="DI14" s="13">
        <f t="shared" si="9"/>
        <v>71392.22379480947</v>
      </c>
      <c r="DJ14" s="13">
        <f t="shared" si="9"/>
        <v>71683.084551739434</v>
      </c>
      <c r="DK14" s="13">
        <f t="shared" si="9"/>
        <v>71975.130311396948</v>
      </c>
      <c r="DL14" s="13">
        <f t="shared" si="9"/>
        <v>72268.365901629804</v>
      </c>
      <c r="DM14" s="13">
        <f t="shared" si="9"/>
        <v>72562.796169955021</v>
      </c>
      <c r="DN14" s="13">
        <f t="shared" si="9"/>
        <v>72858.42598363907</v>
      </c>
      <c r="DO14" s="13">
        <f t="shared" si="9"/>
        <v>73155.260229778185</v>
      </c>
      <c r="DP14" s="13">
        <f t="shared" si="9"/>
        <v>73453.303815379317</v>
      </c>
      <c r="DQ14" s="13">
        <f t="shared" si="9"/>
        <v>73752.561667441085</v>
      </c>
      <c r="DR14" s="13">
        <f t="shared" si="9"/>
        <v>74053.038733035399</v>
      </c>
      <c r="DS14" s="13">
        <f t="shared" si="9"/>
        <v>74354.73997938908</v>
      </c>
      <c r="DT14" s="13">
        <f t="shared" si="9"/>
        <v>74657.67039396608</v>
      </c>
      <c r="DU14" s="13">
        <f t="shared" si="9"/>
        <v>74961.834984549932</v>
      </c>
      <c r="DV14" s="13">
        <f t="shared" si="9"/>
        <v>75267.238779326406</v>
      </c>
      <c r="DW14" s="13">
        <f t="shared" si="9"/>
        <v>75573.886826966802</v>
      </c>
      <c r="DX14" s="13">
        <f t="shared" si="9"/>
        <v>75881.784196711305</v>
      </c>
      <c r="DY14" s="13">
        <f t="shared" si="9"/>
        <v>76190.935978452777</v>
      </c>
      <c r="DZ14" s="13">
        <f t="shared" si="9"/>
        <v>76501.347282821036</v>
      </c>
      <c r="EA14" s="13">
        <f t="shared" si="9"/>
        <v>76813.023241267103</v>
      </c>
      <c r="EB14" s="13">
        <f t="shared" si="9"/>
        <v>77125.969006148269</v>
      </c>
      <c r="EC14" s="13">
        <f t="shared" ref="EC14:EE14" si="10">($L$4*$L$6/12)*(1+$L$7)^((EC12-1)/12)</f>
        <v>77440.189750813151</v>
      </c>
      <c r="ED14" s="13">
        <f t="shared" si="10"/>
        <v>77755.690669687174</v>
      </c>
      <c r="EE14" s="29">
        <f t="shared" si="10"/>
        <v>78072.476978358551</v>
      </c>
    </row>
    <row r="15" spans="2:135" x14ac:dyDescent="0.35">
      <c r="B15" s="34" t="s">
        <v>39</v>
      </c>
      <c r="C15" s="13">
        <v>0</v>
      </c>
      <c r="D15" s="13">
        <f>IF(D12&lt;=$L$8,PPMT($O$9/12,D12,$O$10*12,$L$4*$O$7,0,0),0)</f>
        <v>-9790.0134521883065</v>
      </c>
      <c r="E15" s="13">
        <f t="shared" ref="E15:BP15" si="11">IF(E12&lt;=$L$8,PPMT($O$9/12,E12,$O$10*12,$L$4*$O$7,0,0),0)</f>
        <v>-9820.607244226394</v>
      </c>
      <c r="F15" s="13">
        <f t="shared" si="11"/>
        <v>-9851.296641864601</v>
      </c>
      <c r="G15" s="13">
        <f t="shared" si="11"/>
        <v>-9882.0819438704275</v>
      </c>
      <c r="H15" s="13">
        <f t="shared" si="11"/>
        <v>-9912.963449945024</v>
      </c>
      <c r="I15" s="13">
        <f t="shared" si="11"/>
        <v>-9943.9414607261006</v>
      </c>
      <c r="J15" s="13">
        <f t="shared" si="11"/>
        <v>-9975.0162777908699</v>
      </c>
      <c r="K15" s="13">
        <f t="shared" si="11"/>
        <v>-10006.188203658967</v>
      </c>
      <c r="L15" s="13">
        <f t="shared" si="11"/>
        <v>-10037.4575417954</v>
      </c>
      <c r="M15" s="13">
        <f t="shared" si="11"/>
        <v>-10068.824596613515</v>
      </c>
      <c r="N15" s="13">
        <f t="shared" si="11"/>
        <v>-10100.289673477928</v>
      </c>
      <c r="O15" s="13">
        <f t="shared" si="11"/>
        <v>-10131.853078707547</v>
      </c>
      <c r="P15" s="13">
        <f t="shared" si="11"/>
        <v>-10163.515119578507</v>
      </c>
      <c r="Q15" s="13">
        <f t="shared" si="11"/>
        <v>-10195.276104327191</v>
      </c>
      <c r="R15" s="13">
        <f t="shared" si="11"/>
        <v>-10227.136342153215</v>
      </c>
      <c r="S15" s="13">
        <f t="shared" si="11"/>
        <v>-10259.096143222441</v>
      </c>
      <c r="T15" s="13">
        <f t="shared" si="11"/>
        <v>-10291.155818670013</v>
      </c>
      <c r="U15" s="13">
        <f t="shared" si="11"/>
        <v>-10323.315680603357</v>
      </c>
      <c r="V15" s="13">
        <f t="shared" si="11"/>
        <v>-10355.57604210524</v>
      </c>
      <c r="W15" s="13">
        <f t="shared" si="11"/>
        <v>-10387.937217236822</v>
      </c>
      <c r="X15" s="13">
        <f t="shared" si="11"/>
        <v>-10420.399521040687</v>
      </c>
      <c r="Y15" s="13">
        <f t="shared" si="11"/>
        <v>-10452.963269543936</v>
      </c>
      <c r="Z15" s="13">
        <f t="shared" si="11"/>
        <v>-10485.628779761264</v>
      </c>
      <c r="AA15" s="13">
        <f t="shared" si="11"/>
        <v>-10518.396369698017</v>
      </c>
      <c r="AB15" s="13">
        <f t="shared" si="11"/>
        <v>-10551.266358353321</v>
      </c>
      <c r="AC15" s="13">
        <f t="shared" si="11"/>
        <v>-10584.239065723179</v>
      </c>
      <c r="AD15" s="13">
        <f t="shared" si="11"/>
        <v>-10617.314812803561</v>
      </c>
      <c r="AE15" s="13">
        <f t="shared" si="11"/>
        <v>-10650.493921593574</v>
      </c>
      <c r="AF15" s="13">
        <f t="shared" si="11"/>
        <v>-10683.776715098553</v>
      </c>
      <c r="AG15" s="13">
        <f t="shared" si="11"/>
        <v>-10717.163517333236</v>
      </c>
      <c r="AH15" s="13">
        <f t="shared" si="11"/>
        <v>-10750.654653324902</v>
      </c>
      <c r="AI15" s="13">
        <f t="shared" si="11"/>
        <v>-10784.250449116544</v>
      </c>
      <c r="AJ15" s="13">
        <f t="shared" si="11"/>
        <v>-10817.951231770032</v>
      </c>
      <c r="AK15" s="13">
        <f t="shared" si="11"/>
        <v>-10851.757329369313</v>
      </c>
      <c r="AL15" s="13">
        <f t="shared" si="11"/>
        <v>-10885.669071023593</v>
      </c>
      <c r="AM15" s="13">
        <f t="shared" si="11"/>
        <v>-10919.686786870541</v>
      </c>
      <c r="AN15" s="13">
        <f t="shared" si="11"/>
        <v>-10953.810808079512</v>
      </c>
      <c r="AO15" s="13">
        <f t="shared" si="11"/>
        <v>-10988.04146685476</v>
      </c>
      <c r="AP15" s="13">
        <f t="shared" si="11"/>
        <v>-11022.379096438683</v>
      </c>
      <c r="AQ15" s="13">
        <f t="shared" si="11"/>
        <v>-11056.824031115049</v>
      </c>
      <c r="AR15" s="13">
        <f t="shared" si="11"/>
        <v>-11091.376606212287</v>
      </c>
      <c r="AS15" s="13">
        <f t="shared" si="11"/>
        <v>-11126.037158106701</v>
      </c>
      <c r="AT15" s="13">
        <f t="shared" si="11"/>
        <v>-11160.806024225785</v>
      </c>
      <c r="AU15" s="13">
        <f t="shared" si="11"/>
        <v>-11195.683543051489</v>
      </c>
      <c r="AV15" s="13">
        <f t="shared" si="11"/>
        <v>-11230.670054123524</v>
      </c>
      <c r="AW15" s="13">
        <f t="shared" si="11"/>
        <v>-11265.765898042662</v>
      </c>
      <c r="AX15" s="13">
        <f t="shared" si="11"/>
        <v>-11300.971416474044</v>
      </c>
      <c r="AY15" s="13">
        <f t="shared" si="11"/>
        <v>-11336.286952150525</v>
      </c>
      <c r="AZ15" s="13">
        <f t="shared" si="11"/>
        <v>-11371.712848875995</v>
      </c>
      <c r="BA15" s="13">
        <f t="shared" si="11"/>
        <v>-11407.249451528733</v>
      </c>
      <c r="BB15" s="13">
        <f t="shared" si="11"/>
        <v>-11442.897106064762</v>
      </c>
      <c r="BC15" s="13">
        <f t="shared" si="11"/>
        <v>-11478.656159521213</v>
      </c>
      <c r="BD15" s="13">
        <f t="shared" si="11"/>
        <v>-11514.526960019717</v>
      </c>
      <c r="BE15" s="13">
        <f t="shared" si="11"/>
        <v>-11550.509856769779</v>
      </c>
      <c r="BF15" s="13">
        <f t="shared" si="11"/>
        <v>-11586.605200072183</v>
      </c>
      <c r="BG15" s="13">
        <f t="shared" si="11"/>
        <v>-11622.813341322411</v>
      </c>
      <c r="BH15" s="13">
        <f t="shared" si="11"/>
        <v>-11659.134633014042</v>
      </c>
      <c r="BI15" s="13">
        <f t="shared" si="11"/>
        <v>-11695.569428742212</v>
      </c>
      <c r="BJ15" s="13">
        <f t="shared" si="11"/>
        <v>-11732.118083207029</v>
      </c>
      <c r="BK15" s="13">
        <f t="shared" si="11"/>
        <v>-11768.780952217054</v>
      </c>
      <c r="BL15" s="13">
        <f t="shared" si="11"/>
        <v>0</v>
      </c>
      <c r="BM15" s="13">
        <f t="shared" si="11"/>
        <v>0</v>
      </c>
      <c r="BN15" s="13">
        <f t="shared" si="11"/>
        <v>0</v>
      </c>
      <c r="BO15" s="13">
        <f t="shared" si="11"/>
        <v>0</v>
      </c>
      <c r="BP15" s="13">
        <f t="shared" si="11"/>
        <v>0</v>
      </c>
      <c r="BQ15" s="13">
        <f t="shared" ref="BQ15:EB15" si="12">IF(BQ12&lt;=$L$8,PPMT($O$9/12,BQ12,$O$10*12,$L$4*$O$7,0,0),0)</f>
        <v>0</v>
      </c>
      <c r="BR15" s="13">
        <f t="shared" si="12"/>
        <v>0</v>
      </c>
      <c r="BS15" s="13">
        <f t="shared" si="12"/>
        <v>0</v>
      </c>
      <c r="BT15" s="13">
        <f t="shared" si="12"/>
        <v>0</v>
      </c>
      <c r="BU15" s="13">
        <f t="shared" si="12"/>
        <v>0</v>
      </c>
      <c r="BV15" s="13">
        <f t="shared" si="12"/>
        <v>0</v>
      </c>
      <c r="BW15" s="13">
        <f t="shared" si="12"/>
        <v>0</v>
      </c>
      <c r="BX15" s="13">
        <f t="shared" si="12"/>
        <v>0</v>
      </c>
      <c r="BY15" s="13">
        <f t="shared" si="12"/>
        <v>0</v>
      </c>
      <c r="BZ15" s="13">
        <f t="shared" si="12"/>
        <v>0</v>
      </c>
      <c r="CA15" s="13">
        <f t="shared" si="12"/>
        <v>0</v>
      </c>
      <c r="CB15" s="13">
        <f t="shared" si="12"/>
        <v>0</v>
      </c>
      <c r="CC15" s="13">
        <f t="shared" si="12"/>
        <v>0</v>
      </c>
      <c r="CD15" s="13">
        <f t="shared" si="12"/>
        <v>0</v>
      </c>
      <c r="CE15" s="13">
        <f t="shared" si="12"/>
        <v>0</v>
      </c>
      <c r="CF15" s="13">
        <f t="shared" si="12"/>
        <v>0</v>
      </c>
      <c r="CG15" s="13">
        <f t="shared" si="12"/>
        <v>0</v>
      </c>
      <c r="CH15" s="13">
        <f t="shared" si="12"/>
        <v>0</v>
      </c>
      <c r="CI15" s="13">
        <f t="shared" si="12"/>
        <v>0</v>
      </c>
      <c r="CJ15" s="13">
        <f t="shared" si="12"/>
        <v>0</v>
      </c>
      <c r="CK15" s="13">
        <f t="shared" si="12"/>
        <v>0</v>
      </c>
      <c r="CL15" s="13">
        <f t="shared" si="12"/>
        <v>0</v>
      </c>
      <c r="CM15" s="13">
        <f t="shared" si="12"/>
        <v>0</v>
      </c>
      <c r="CN15" s="13">
        <f t="shared" si="12"/>
        <v>0</v>
      </c>
      <c r="CO15" s="13">
        <f t="shared" si="12"/>
        <v>0</v>
      </c>
      <c r="CP15" s="13">
        <f t="shared" si="12"/>
        <v>0</v>
      </c>
      <c r="CQ15" s="13">
        <f t="shared" si="12"/>
        <v>0</v>
      </c>
      <c r="CR15" s="13">
        <f t="shared" si="12"/>
        <v>0</v>
      </c>
      <c r="CS15" s="13">
        <f t="shared" si="12"/>
        <v>0</v>
      </c>
      <c r="CT15" s="13">
        <f t="shared" si="12"/>
        <v>0</v>
      </c>
      <c r="CU15" s="13">
        <f t="shared" si="12"/>
        <v>0</v>
      </c>
      <c r="CV15" s="13">
        <f t="shared" si="12"/>
        <v>0</v>
      </c>
      <c r="CW15" s="13">
        <f t="shared" si="12"/>
        <v>0</v>
      </c>
      <c r="CX15" s="13">
        <f t="shared" si="12"/>
        <v>0</v>
      </c>
      <c r="CY15" s="13">
        <f t="shared" si="12"/>
        <v>0</v>
      </c>
      <c r="CZ15" s="13">
        <f t="shared" si="12"/>
        <v>0</v>
      </c>
      <c r="DA15" s="13">
        <f t="shared" si="12"/>
        <v>0</v>
      </c>
      <c r="DB15" s="13">
        <f t="shared" si="12"/>
        <v>0</v>
      </c>
      <c r="DC15" s="13">
        <f t="shared" si="12"/>
        <v>0</v>
      </c>
      <c r="DD15" s="13">
        <f t="shared" si="12"/>
        <v>0</v>
      </c>
      <c r="DE15" s="13">
        <f t="shared" si="12"/>
        <v>0</v>
      </c>
      <c r="DF15" s="13">
        <f t="shared" si="12"/>
        <v>0</v>
      </c>
      <c r="DG15" s="13">
        <f t="shared" si="12"/>
        <v>0</v>
      </c>
      <c r="DH15" s="13">
        <f t="shared" si="12"/>
        <v>0</v>
      </c>
      <c r="DI15" s="13">
        <f t="shared" si="12"/>
        <v>0</v>
      </c>
      <c r="DJ15" s="13">
        <f t="shared" si="12"/>
        <v>0</v>
      </c>
      <c r="DK15" s="13">
        <f t="shared" si="12"/>
        <v>0</v>
      </c>
      <c r="DL15" s="13">
        <f t="shared" si="12"/>
        <v>0</v>
      </c>
      <c r="DM15" s="13">
        <f t="shared" si="12"/>
        <v>0</v>
      </c>
      <c r="DN15" s="13">
        <f t="shared" si="12"/>
        <v>0</v>
      </c>
      <c r="DO15" s="13">
        <f t="shared" si="12"/>
        <v>0</v>
      </c>
      <c r="DP15" s="13">
        <f t="shared" si="12"/>
        <v>0</v>
      </c>
      <c r="DQ15" s="13">
        <f t="shared" si="12"/>
        <v>0</v>
      </c>
      <c r="DR15" s="13">
        <f t="shared" si="12"/>
        <v>0</v>
      </c>
      <c r="DS15" s="13">
        <f t="shared" si="12"/>
        <v>0</v>
      </c>
      <c r="DT15" s="13">
        <f t="shared" si="12"/>
        <v>0</v>
      </c>
      <c r="DU15" s="13">
        <f t="shared" si="12"/>
        <v>0</v>
      </c>
      <c r="DV15" s="13">
        <f t="shared" si="12"/>
        <v>0</v>
      </c>
      <c r="DW15" s="13">
        <f t="shared" si="12"/>
        <v>0</v>
      </c>
      <c r="DX15" s="13">
        <f t="shared" si="12"/>
        <v>0</v>
      </c>
      <c r="DY15" s="13">
        <f t="shared" si="12"/>
        <v>0</v>
      </c>
      <c r="DZ15" s="13">
        <f t="shared" si="12"/>
        <v>0</v>
      </c>
      <c r="EA15" s="13">
        <f t="shared" si="12"/>
        <v>0</v>
      </c>
      <c r="EB15" s="13">
        <f t="shared" si="12"/>
        <v>0</v>
      </c>
      <c r="EC15" s="13">
        <f t="shared" ref="EC15:EE15" si="13">IF(EC12&lt;=$L$8,PPMT($O$9/12,EC12,$O$10*12,$L$4*$O$7,0,0),0)</f>
        <v>0</v>
      </c>
      <c r="ED15" s="13">
        <f t="shared" si="13"/>
        <v>0</v>
      </c>
      <c r="EE15" s="29">
        <f t="shared" si="13"/>
        <v>0</v>
      </c>
    </row>
    <row r="16" spans="2:135" x14ac:dyDescent="0.35">
      <c r="B16" s="34" t="s">
        <v>40</v>
      </c>
      <c r="C16" s="13">
        <v>0</v>
      </c>
      <c r="D16" s="13">
        <f>IF(D12&lt;=$L$8,IPMT($O$9/12,D12,$O$10*12,$L$4*$O$7,0,0),0)</f>
        <v>-20312.499999999996</v>
      </c>
      <c r="E16" s="13">
        <f t="shared" ref="E16:BP16" si="14">IF(E12&lt;=$L$8,IPMT($O$9/12,E12,$O$10*12,$L$4*$O$7,0,0),0)</f>
        <v>-20281.906207961907</v>
      </c>
      <c r="F16" s="13">
        <f t="shared" si="14"/>
        <v>-20251.216810323702</v>
      </c>
      <c r="G16" s="13">
        <f t="shared" si="14"/>
        <v>-20220.43150831787</v>
      </c>
      <c r="H16" s="13">
        <f t="shared" si="14"/>
        <v>-20189.550002243283</v>
      </c>
      <c r="I16" s="13">
        <f t="shared" si="14"/>
        <v>-20158.571991462202</v>
      </c>
      <c r="J16" s="13">
        <f t="shared" si="14"/>
        <v>-20127.497174397431</v>
      </c>
      <c r="K16" s="13">
        <f t="shared" si="14"/>
        <v>-20096.325248529334</v>
      </c>
      <c r="L16" s="13">
        <f t="shared" si="14"/>
        <v>-20065.055910392901</v>
      </c>
      <c r="M16" s="13">
        <f t="shared" si="14"/>
        <v>-20033.688855574786</v>
      </c>
      <c r="N16" s="13">
        <f t="shared" si="14"/>
        <v>-20002.223778710373</v>
      </c>
      <c r="O16" s="13">
        <f t="shared" si="14"/>
        <v>-19970.660373480754</v>
      </c>
      <c r="P16" s="13">
        <f t="shared" si="14"/>
        <v>-19938.998332609794</v>
      </c>
      <c r="Q16" s="13">
        <f t="shared" si="14"/>
        <v>-19907.237347861108</v>
      </c>
      <c r="R16" s="13">
        <f t="shared" si="14"/>
        <v>-19875.37711003509</v>
      </c>
      <c r="S16" s="13">
        <f t="shared" si="14"/>
        <v>-19843.417308965858</v>
      </c>
      <c r="T16" s="13">
        <f t="shared" si="14"/>
        <v>-19811.357633518288</v>
      </c>
      <c r="U16" s="13">
        <f t="shared" si="14"/>
        <v>-19779.197771584943</v>
      </c>
      <c r="V16" s="13">
        <f t="shared" si="14"/>
        <v>-19746.937410083061</v>
      </c>
      <c r="W16" s="13">
        <f t="shared" si="14"/>
        <v>-19714.576234951481</v>
      </c>
      <c r="X16" s="13">
        <f t="shared" si="14"/>
        <v>-19682.113931147614</v>
      </c>
      <c r="Y16" s="13">
        <f t="shared" si="14"/>
        <v>-19649.550182644365</v>
      </c>
      <c r="Z16" s="13">
        <f t="shared" si="14"/>
        <v>-19616.884672427037</v>
      </c>
      <c r="AA16" s="13">
        <f t="shared" si="14"/>
        <v>-19584.117082490284</v>
      </c>
      <c r="AB16" s="13">
        <f t="shared" si="14"/>
        <v>-19551.247093834976</v>
      </c>
      <c r="AC16" s="13">
        <f t="shared" si="14"/>
        <v>-19518.274386465127</v>
      </c>
      <c r="AD16" s="13">
        <f t="shared" si="14"/>
        <v>-19485.19863938474</v>
      </c>
      <c r="AE16" s="13">
        <f t="shared" si="14"/>
        <v>-19452.019530594731</v>
      </c>
      <c r="AF16" s="13">
        <f t="shared" si="14"/>
        <v>-19418.736737089748</v>
      </c>
      <c r="AG16" s="13">
        <f t="shared" si="14"/>
        <v>-19385.349934855065</v>
      </c>
      <c r="AH16" s="13">
        <f t="shared" si="14"/>
        <v>-19351.858798863403</v>
      </c>
      <c r="AI16" s="13">
        <f t="shared" si="14"/>
        <v>-19318.263003071756</v>
      </c>
      <c r="AJ16" s="13">
        <f t="shared" si="14"/>
        <v>-19284.562220418273</v>
      </c>
      <c r="AK16" s="13">
        <f t="shared" si="14"/>
        <v>-19250.756122818992</v>
      </c>
      <c r="AL16" s="13">
        <f t="shared" si="14"/>
        <v>-19216.844381164708</v>
      </c>
      <c r="AM16" s="13">
        <f t="shared" si="14"/>
        <v>-19182.82666531776</v>
      </c>
      <c r="AN16" s="13">
        <f t="shared" si="14"/>
        <v>-19148.702644108791</v>
      </c>
      <c r="AO16" s="13">
        <f t="shared" si="14"/>
        <v>-19114.471985333541</v>
      </c>
      <c r="AP16" s="13">
        <f t="shared" si="14"/>
        <v>-19080.134355749615</v>
      </c>
      <c r="AQ16" s="13">
        <f t="shared" si="14"/>
        <v>-19045.68942107325</v>
      </c>
      <c r="AR16" s="13">
        <f t="shared" si="14"/>
        <v>-19011.136845976012</v>
      </c>
      <c r="AS16" s="13">
        <f t="shared" si="14"/>
        <v>-18976.4762940816</v>
      </c>
      <c r="AT16" s="13">
        <f t="shared" si="14"/>
        <v>-18941.707427962519</v>
      </c>
      <c r="AU16" s="13">
        <f t="shared" si="14"/>
        <v>-18906.82990913681</v>
      </c>
      <c r="AV16" s="13">
        <f t="shared" si="14"/>
        <v>-18871.843398064775</v>
      </c>
      <c r="AW16" s="13">
        <f t="shared" si="14"/>
        <v>-18836.747554145641</v>
      </c>
      <c r="AX16" s="13">
        <f t="shared" si="14"/>
        <v>-18801.542035714254</v>
      </c>
      <c r="AY16" s="13">
        <f t="shared" si="14"/>
        <v>-18766.226500037774</v>
      </c>
      <c r="AZ16" s="13">
        <f t="shared" si="14"/>
        <v>-18730.800603312309</v>
      </c>
      <c r="BA16" s="13">
        <f t="shared" si="14"/>
        <v>-18695.264000659568</v>
      </c>
      <c r="BB16" s="13">
        <f t="shared" si="14"/>
        <v>-18659.616346123541</v>
      </c>
      <c r="BC16" s="13">
        <f t="shared" si="14"/>
        <v>-18623.857292667089</v>
      </c>
      <c r="BD16" s="13">
        <f t="shared" si="14"/>
        <v>-18587.98649216858</v>
      </c>
      <c r="BE16" s="13">
        <f t="shared" si="14"/>
        <v>-18552.003595418522</v>
      </c>
      <c r="BF16" s="13">
        <f t="shared" si="14"/>
        <v>-18515.908252116114</v>
      </c>
      <c r="BG16" s="13">
        <f t="shared" si="14"/>
        <v>-18479.700110865891</v>
      </c>
      <c r="BH16" s="13">
        <f t="shared" si="14"/>
        <v>-18443.378819174257</v>
      </c>
      <c r="BI16" s="13">
        <f t="shared" si="14"/>
        <v>-18406.944023446093</v>
      </c>
      <c r="BJ16" s="13">
        <f t="shared" si="14"/>
        <v>-18370.39536898127</v>
      </c>
      <c r="BK16" s="13">
        <f t="shared" si="14"/>
        <v>-18333.732499971247</v>
      </c>
      <c r="BL16" s="13">
        <f t="shared" si="14"/>
        <v>0</v>
      </c>
      <c r="BM16" s="13">
        <f t="shared" si="14"/>
        <v>0</v>
      </c>
      <c r="BN16" s="13">
        <f t="shared" si="14"/>
        <v>0</v>
      </c>
      <c r="BO16" s="13">
        <f t="shared" si="14"/>
        <v>0</v>
      </c>
      <c r="BP16" s="13">
        <f t="shared" si="14"/>
        <v>0</v>
      </c>
      <c r="BQ16" s="13">
        <f t="shared" ref="BQ16:EB16" si="15">IF(BQ12&lt;=$L$8,IPMT($O$9/12,BQ12,$O$10*12,$L$4*$O$7,0,0),0)</f>
        <v>0</v>
      </c>
      <c r="BR16" s="13">
        <f t="shared" si="15"/>
        <v>0</v>
      </c>
      <c r="BS16" s="13">
        <f t="shared" si="15"/>
        <v>0</v>
      </c>
      <c r="BT16" s="13">
        <f t="shared" si="15"/>
        <v>0</v>
      </c>
      <c r="BU16" s="13">
        <f t="shared" si="15"/>
        <v>0</v>
      </c>
      <c r="BV16" s="13">
        <f t="shared" si="15"/>
        <v>0</v>
      </c>
      <c r="BW16" s="13">
        <f t="shared" si="15"/>
        <v>0</v>
      </c>
      <c r="BX16" s="13">
        <f t="shared" si="15"/>
        <v>0</v>
      </c>
      <c r="BY16" s="13">
        <f t="shared" si="15"/>
        <v>0</v>
      </c>
      <c r="BZ16" s="13">
        <f t="shared" si="15"/>
        <v>0</v>
      </c>
      <c r="CA16" s="13">
        <f t="shared" si="15"/>
        <v>0</v>
      </c>
      <c r="CB16" s="13">
        <f t="shared" si="15"/>
        <v>0</v>
      </c>
      <c r="CC16" s="13">
        <f t="shared" si="15"/>
        <v>0</v>
      </c>
      <c r="CD16" s="13">
        <f t="shared" si="15"/>
        <v>0</v>
      </c>
      <c r="CE16" s="13">
        <f t="shared" si="15"/>
        <v>0</v>
      </c>
      <c r="CF16" s="13">
        <f t="shared" si="15"/>
        <v>0</v>
      </c>
      <c r="CG16" s="13">
        <f t="shared" si="15"/>
        <v>0</v>
      </c>
      <c r="CH16" s="13">
        <f t="shared" si="15"/>
        <v>0</v>
      </c>
      <c r="CI16" s="13">
        <f t="shared" si="15"/>
        <v>0</v>
      </c>
      <c r="CJ16" s="13">
        <f t="shared" si="15"/>
        <v>0</v>
      </c>
      <c r="CK16" s="13">
        <f t="shared" si="15"/>
        <v>0</v>
      </c>
      <c r="CL16" s="13">
        <f t="shared" si="15"/>
        <v>0</v>
      </c>
      <c r="CM16" s="13">
        <f t="shared" si="15"/>
        <v>0</v>
      </c>
      <c r="CN16" s="13">
        <f t="shared" si="15"/>
        <v>0</v>
      </c>
      <c r="CO16" s="13">
        <f t="shared" si="15"/>
        <v>0</v>
      </c>
      <c r="CP16" s="13">
        <f t="shared" si="15"/>
        <v>0</v>
      </c>
      <c r="CQ16" s="13">
        <f t="shared" si="15"/>
        <v>0</v>
      </c>
      <c r="CR16" s="13">
        <f t="shared" si="15"/>
        <v>0</v>
      </c>
      <c r="CS16" s="13">
        <f t="shared" si="15"/>
        <v>0</v>
      </c>
      <c r="CT16" s="13">
        <f t="shared" si="15"/>
        <v>0</v>
      </c>
      <c r="CU16" s="13">
        <f t="shared" si="15"/>
        <v>0</v>
      </c>
      <c r="CV16" s="13">
        <f t="shared" si="15"/>
        <v>0</v>
      </c>
      <c r="CW16" s="13">
        <f t="shared" si="15"/>
        <v>0</v>
      </c>
      <c r="CX16" s="13">
        <f t="shared" si="15"/>
        <v>0</v>
      </c>
      <c r="CY16" s="13">
        <f t="shared" si="15"/>
        <v>0</v>
      </c>
      <c r="CZ16" s="13">
        <f t="shared" si="15"/>
        <v>0</v>
      </c>
      <c r="DA16" s="13">
        <f t="shared" si="15"/>
        <v>0</v>
      </c>
      <c r="DB16" s="13">
        <f t="shared" si="15"/>
        <v>0</v>
      </c>
      <c r="DC16" s="13">
        <f t="shared" si="15"/>
        <v>0</v>
      </c>
      <c r="DD16" s="13">
        <f t="shared" si="15"/>
        <v>0</v>
      </c>
      <c r="DE16" s="13">
        <f t="shared" si="15"/>
        <v>0</v>
      </c>
      <c r="DF16" s="13">
        <f t="shared" si="15"/>
        <v>0</v>
      </c>
      <c r="DG16" s="13">
        <f t="shared" si="15"/>
        <v>0</v>
      </c>
      <c r="DH16" s="13">
        <f t="shared" si="15"/>
        <v>0</v>
      </c>
      <c r="DI16" s="13">
        <f t="shared" si="15"/>
        <v>0</v>
      </c>
      <c r="DJ16" s="13">
        <f t="shared" si="15"/>
        <v>0</v>
      </c>
      <c r="DK16" s="13">
        <f t="shared" si="15"/>
        <v>0</v>
      </c>
      <c r="DL16" s="13">
        <f t="shared" si="15"/>
        <v>0</v>
      </c>
      <c r="DM16" s="13">
        <f t="shared" si="15"/>
        <v>0</v>
      </c>
      <c r="DN16" s="13">
        <f t="shared" si="15"/>
        <v>0</v>
      </c>
      <c r="DO16" s="13">
        <f t="shared" si="15"/>
        <v>0</v>
      </c>
      <c r="DP16" s="13">
        <f t="shared" si="15"/>
        <v>0</v>
      </c>
      <c r="DQ16" s="13">
        <f t="shared" si="15"/>
        <v>0</v>
      </c>
      <c r="DR16" s="13">
        <f t="shared" si="15"/>
        <v>0</v>
      </c>
      <c r="DS16" s="13">
        <f t="shared" si="15"/>
        <v>0</v>
      </c>
      <c r="DT16" s="13">
        <f t="shared" si="15"/>
        <v>0</v>
      </c>
      <c r="DU16" s="13">
        <f t="shared" si="15"/>
        <v>0</v>
      </c>
      <c r="DV16" s="13">
        <f t="shared" si="15"/>
        <v>0</v>
      </c>
      <c r="DW16" s="13">
        <f t="shared" si="15"/>
        <v>0</v>
      </c>
      <c r="DX16" s="13">
        <f t="shared" si="15"/>
        <v>0</v>
      </c>
      <c r="DY16" s="13">
        <f t="shared" si="15"/>
        <v>0</v>
      </c>
      <c r="DZ16" s="13">
        <f t="shared" si="15"/>
        <v>0</v>
      </c>
      <c r="EA16" s="13">
        <f t="shared" si="15"/>
        <v>0</v>
      </c>
      <c r="EB16" s="13">
        <f t="shared" si="15"/>
        <v>0</v>
      </c>
      <c r="EC16" s="13">
        <f t="shared" ref="EC16:EE16" si="16">IF(EC12&lt;=$L$8,IPMT($O$9/12,EC12,$O$10*12,$L$4*$O$7,0,0),0)</f>
        <v>0</v>
      </c>
      <c r="ED16" s="13">
        <f t="shared" si="16"/>
        <v>0</v>
      </c>
      <c r="EE16" s="29">
        <f t="shared" si="16"/>
        <v>0</v>
      </c>
    </row>
    <row r="17" spans="2:135" x14ac:dyDescent="0.35">
      <c r="B17" s="34" t="s">
        <v>21</v>
      </c>
      <c r="C17" s="13">
        <f>-L4</f>
        <v>-10000000</v>
      </c>
      <c r="D17" s="28">
        <v>0</v>
      </c>
      <c r="E17" s="28">
        <v>0</v>
      </c>
      <c r="F17" s="28">
        <v>0</v>
      </c>
      <c r="G17" s="28">
        <v>0</v>
      </c>
      <c r="H17" s="28">
        <v>0</v>
      </c>
      <c r="I17" s="28">
        <v>0</v>
      </c>
      <c r="J17" s="28">
        <v>0</v>
      </c>
      <c r="K17" s="28">
        <v>0</v>
      </c>
      <c r="L17" s="28">
        <v>0</v>
      </c>
      <c r="M17" s="28">
        <v>0</v>
      </c>
      <c r="N17" s="28">
        <v>0</v>
      </c>
      <c r="O17" s="28">
        <v>0</v>
      </c>
      <c r="P17" s="28">
        <v>0</v>
      </c>
      <c r="Q17" s="28">
        <v>0</v>
      </c>
      <c r="R17" s="28">
        <v>0</v>
      </c>
      <c r="S17" s="28">
        <v>0</v>
      </c>
      <c r="T17" s="28">
        <v>0</v>
      </c>
      <c r="U17" s="28">
        <v>0</v>
      </c>
      <c r="V17" s="28">
        <v>0</v>
      </c>
      <c r="W17" s="28">
        <v>0</v>
      </c>
      <c r="X17" s="28">
        <v>0</v>
      </c>
      <c r="Y17" s="28">
        <v>0</v>
      </c>
      <c r="Z17" s="28">
        <v>0</v>
      </c>
      <c r="AA17" s="28">
        <v>0</v>
      </c>
      <c r="AB17" s="28">
        <v>0</v>
      </c>
      <c r="AC17" s="28">
        <v>0</v>
      </c>
      <c r="AD17" s="28">
        <v>0</v>
      </c>
      <c r="AE17" s="28">
        <v>0</v>
      </c>
      <c r="AF17" s="28">
        <v>0</v>
      </c>
      <c r="AG17" s="28">
        <v>0</v>
      </c>
      <c r="AH17" s="28">
        <v>0</v>
      </c>
      <c r="AI17" s="28">
        <v>0</v>
      </c>
      <c r="AJ17" s="28">
        <v>0</v>
      </c>
      <c r="AK17" s="28">
        <v>0</v>
      </c>
      <c r="AL17" s="28">
        <v>0</v>
      </c>
      <c r="AM17" s="28">
        <v>0</v>
      </c>
      <c r="AN17" s="28">
        <v>0</v>
      </c>
      <c r="AO17" s="28">
        <v>0</v>
      </c>
      <c r="AP17" s="28">
        <v>0</v>
      </c>
      <c r="AQ17" s="28">
        <v>0</v>
      </c>
      <c r="AR17" s="28">
        <v>0</v>
      </c>
      <c r="AS17" s="28">
        <v>0</v>
      </c>
      <c r="AT17" s="28">
        <v>0</v>
      </c>
      <c r="AU17" s="28">
        <v>0</v>
      </c>
      <c r="AV17" s="28">
        <v>0</v>
      </c>
      <c r="AW17" s="28">
        <v>0</v>
      </c>
      <c r="AX17" s="28">
        <v>0</v>
      </c>
      <c r="AY17" s="28">
        <v>0</v>
      </c>
      <c r="AZ17" s="28">
        <v>0</v>
      </c>
      <c r="BA17" s="28">
        <v>0</v>
      </c>
      <c r="BB17" s="28">
        <v>0</v>
      </c>
      <c r="BC17" s="28">
        <v>0</v>
      </c>
      <c r="BD17" s="28">
        <v>0</v>
      </c>
      <c r="BE17" s="28">
        <v>0</v>
      </c>
      <c r="BF17" s="28">
        <v>0</v>
      </c>
      <c r="BG17" s="28">
        <v>0</v>
      </c>
      <c r="BH17" s="28">
        <v>0</v>
      </c>
      <c r="BI17" s="28">
        <v>0</v>
      </c>
      <c r="BJ17" s="28">
        <v>0</v>
      </c>
      <c r="BK17" s="28">
        <v>0</v>
      </c>
      <c r="BL17" s="28">
        <v>0</v>
      </c>
      <c r="BM17" s="28">
        <v>0</v>
      </c>
      <c r="BN17" s="28">
        <v>0</v>
      </c>
      <c r="BO17" s="28">
        <v>0</v>
      </c>
      <c r="BP17" s="28">
        <v>0</v>
      </c>
      <c r="BQ17" s="28">
        <v>0</v>
      </c>
      <c r="BR17" s="28">
        <v>0</v>
      </c>
      <c r="BS17" s="28">
        <v>0</v>
      </c>
      <c r="BT17" s="28">
        <v>0</v>
      </c>
      <c r="BU17" s="28">
        <v>0</v>
      </c>
      <c r="BV17" s="28">
        <v>0</v>
      </c>
      <c r="BW17" s="28">
        <v>0</v>
      </c>
      <c r="BX17" s="28">
        <v>0</v>
      </c>
      <c r="BY17" s="28">
        <v>0</v>
      </c>
      <c r="BZ17" s="28">
        <v>0</v>
      </c>
      <c r="CA17" s="28">
        <v>0</v>
      </c>
      <c r="CB17" s="28">
        <v>0</v>
      </c>
      <c r="CC17" s="28">
        <v>0</v>
      </c>
      <c r="CD17" s="28">
        <v>0</v>
      </c>
      <c r="CE17" s="28">
        <v>0</v>
      </c>
      <c r="CF17" s="28">
        <v>0</v>
      </c>
      <c r="CG17" s="28">
        <v>0</v>
      </c>
      <c r="CH17" s="28">
        <v>0</v>
      </c>
      <c r="CI17" s="28">
        <v>0</v>
      </c>
      <c r="CJ17" s="28">
        <v>0</v>
      </c>
      <c r="CK17" s="28">
        <v>0</v>
      </c>
      <c r="CL17" s="28">
        <v>0</v>
      </c>
      <c r="CM17" s="28">
        <v>0</v>
      </c>
      <c r="CN17" s="28">
        <v>0</v>
      </c>
      <c r="CO17" s="28">
        <v>0</v>
      </c>
      <c r="CP17" s="28">
        <v>0</v>
      </c>
      <c r="CQ17" s="28">
        <v>0</v>
      </c>
      <c r="CR17" s="28">
        <v>0</v>
      </c>
      <c r="CS17" s="28">
        <v>0</v>
      </c>
      <c r="CT17" s="28">
        <v>0</v>
      </c>
      <c r="CU17" s="28">
        <v>0</v>
      </c>
      <c r="CV17" s="28">
        <v>0</v>
      </c>
      <c r="CW17" s="28">
        <v>0</v>
      </c>
      <c r="CX17" s="28">
        <v>0</v>
      </c>
      <c r="CY17" s="28">
        <v>0</v>
      </c>
      <c r="CZ17" s="28">
        <v>0</v>
      </c>
      <c r="DA17" s="28">
        <v>0</v>
      </c>
      <c r="DB17" s="28">
        <v>0</v>
      </c>
      <c r="DC17" s="28">
        <v>0</v>
      </c>
      <c r="DD17" s="28">
        <v>0</v>
      </c>
      <c r="DE17" s="28">
        <v>0</v>
      </c>
      <c r="DF17" s="28">
        <v>0</v>
      </c>
      <c r="DG17" s="28">
        <v>0</v>
      </c>
      <c r="DH17" s="28">
        <v>0</v>
      </c>
      <c r="DI17" s="28">
        <v>0</v>
      </c>
      <c r="DJ17" s="28">
        <v>0</v>
      </c>
      <c r="DK17" s="28">
        <v>0</v>
      </c>
      <c r="DL17" s="28">
        <v>0</v>
      </c>
      <c r="DM17" s="28">
        <v>0</v>
      </c>
      <c r="DN17" s="28">
        <v>0</v>
      </c>
      <c r="DO17" s="28">
        <v>0</v>
      </c>
      <c r="DP17" s="28">
        <v>0</v>
      </c>
      <c r="DQ17" s="28">
        <v>0</v>
      </c>
      <c r="DR17" s="28">
        <v>0</v>
      </c>
      <c r="DS17" s="28">
        <v>0</v>
      </c>
      <c r="DT17" s="28">
        <v>0</v>
      </c>
      <c r="DU17" s="28">
        <v>0</v>
      </c>
      <c r="DV17" s="28">
        <v>0</v>
      </c>
      <c r="DW17" s="28">
        <v>0</v>
      </c>
      <c r="DX17" s="28">
        <v>0</v>
      </c>
      <c r="DY17" s="28">
        <v>0</v>
      </c>
      <c r="DZ17" s="28">
        <v>0</v>
      </c>
      <c r="EA17" s="28">
        <v>0</v>
      </c>
      <c r="EB17" s="28">
        <v>0</v>
      </c>
      <c r="EC17" s="28">
        <v>0</v>
      </c>
      <c r="ED17" s="28">
        <v>0</v>
      </c>
      <c r="EE17" s="30">
        <v>0</v>
      </c>
    </row>
    <row r="18" spans="2:135" x14ac:dyDescent="0.35">
      <c r="B18" s="34" t="s">
        <v>22</v>
      </c>
      <c r="C18" s="13">
        <f>C17*L5</f>
        <v>-50000</v>
      </c>
      <c r="D18" s="28">
        <v>0</v>
      </c>
      <c r="E18" s="28">
        <v>0</v>
      </c>
      <c r="F18" s="28">
        <v>0</v>
      </c>
      <c r="G18" s="28">
        <v>0</v>
      </c>
      <c r="H18" s="28">
        <v>0</v>
      </c>
      <c r="I18" s="28">
        <v>0</v>
      </c>
      <c r="J18" s="28">
        <v>0</v>
      </c>
      <c r="K18" s="28">
        <v>0</v>
      </c>
      <c r="L18" s="28">
        <v>0</v>
      </c>
      <c r="M18" s="28">
        <v>0</v>
      </c>
      <c r="N18" s="28">
        <v>0</v>
      </c>
      <c r="O18" s="28">
        <v>0</v>
      </c>
      <c r="P18" s="28">
        <v>0</v>
      </c>
      <c r="Q18" s="28">
        <v>0</v>
      </c>
      <c r="R18" s="28">
        <v>0</v>
      </c>
      <c r="S18" s="28">
        <v>0</v>
      </c>
      <c r="T18" s="28">
        <v>0</v>
      </c>
      <c r="U18" s="28">
        <v>0</v>
      </c>
      <c r="V18" s="28">
        <v>0</v>
      </c>
      <c r="W18" s="28">
        <v>0</v>
      </c>
      <c r="X18" s="28">
        <v>0</v>
      </c>
      <c r="Y18" s="28">
        <v>0</v>
      </c>
      <c r="Z18" s="28">
        <v>0</v>
      </c>
      <c r="AA18" s="28">
        <v>0</v>
      </c>
      <c r="AB18" s="28">
        <v>0</v>
      </c>
      <c r="AC18" s="28">
        <v>0</v>
      </c>
      <c r="AD18" s="28">
        <v>0</v>
      </c>
      <c r="AE18" s="28">
        <v>0</v>
      </c>
      <c r="AF18" s="28">
        <v>0</v>
      </c>
      <c r="AG18" s="28">
        <v>0</v>
      </c>
      <c r="AH18" s="28">
        <v>0</v>
      </c>
      <c r="AI18" s="28">
        <v>0</v>
      </c>
      <c r="AJ18" s="28">
        <v>0</v>
      </c>
      <c r="AK18" s="28">
        <v>0</v>
      </c>
      <c r="AL18" s="28">
        <v>0</v>
      </c>
      <c r="AM18" s="28">
        <v>0</v>
      </c>
      <c r="AN18" s="28">
        <v>0</v>
      </c>
      <c r="AO18" s="28">
        <v>0</v>
      </c>
      <c r="AP18" s="28">
        <v>0</v>
      </c>
      <c r="AQ18" s="28">
        <v>0</v>
      </c>
      <c r="AR18" s="28">
        <v>0</v>
      </c>
      <c r="AS18" s="28">
        <v>0</v>
      </c>
      <c r="AT18" s="28">
        <v>0</v>
      </c>
      <c r="AU18" s="28">
        <v>0</v>
      </c>
      <c r="AV18" s="28">
        <v>0</v>
      </c>
      <c r="AW18" s="28">
        <v>0</v>
      </c>
      <c r="AX18" s="28">
        <v>0</v>
      </c>
      <c r="AY18" s="28">
        <v>0</v>
      </c>
      <c r="AZ18" s="28">
        <v>0</v>
      </c>
      <c r="BA18" s="28">
        <v>0</v>
      </c>
      <c r="BB18" s="28">
        <v>0</v>
      </c>
      <c r="BC18" s="28">
        <v>0</v>
      </c>
      <c r="BD18" s="28">
        <v>0</v>
      </c>
      <c r="BE18" s="28">
        <v>0</v>
      </c>
      <c r="BF18" s="28">
        <v>0</v>
      </c>
      <c r="BG18" s="28">
        <v>0</v>
      </c>
      <c r="BH18" s="28">
        <v>0</v>
      </c>
      <c r="BI18" s="28">
        <v>0</v>
      </c>
      <c r="BJ18" s="28">
        <v>0</v>
      </c>
      <c r="BK18" s="28">
        <v>0</v>
      </c>
      <c r="BL18" s="28">
        <v>0</v>
      </c>
      <c r="BM18" s="28">
        <v>0</v>
      </c>
      <c r="BN18" s="28">
        <v>0</v>
      </c>
      <c r="BO18" s="28">
        <v>0</v>
      </c>
      <c r="BP18" s="28">
        <v>0</v>
      </c>
      <c r="BQ18" s="28">
        <v>0</v>
      </c>
      <c r="BR18" s="28">
        <v>0</v>
      </c>
      <c r="BS18" s="28">
        <v>0</v>
      </c>
      <c r="BT18" s="28">
        <v>0</v>
      </c>
      <c r="BU18" s="28">
        <v>0</v>
      </c>
      <c r="BV18" s="28">
        <v>0</v>
      </c>
      <c r="BW18" s="28">
        <v>0</v>
      </c>
      <c r="BX18" s="28">
        <v>0</v>
      </c>
      <c r="BY18" s="28">
        <v>0</v>
      </c>
      <c r="BZ18" s="28">
        <v>0</v>
      </c>
      <c r="CA18" s="28">
        <v>0</v>
      </c>
      <c r="CB18" s="28">
        <v>0</v>
      </c>
      <c r="CC18" s="28">
        <v>0</v>
      </c>
      <c r="CD18" s="28">
        <v>0</v>
      </c>
      <c r="CE18" s="28">
        <v>0</v>
      </c>
      <c r="CF18" s="28">
        <v>0</v>
      </c>
      <c r="CG18" s="28">
        <v>0</v>
      </c>
      <c r="CH18" s="28">
        <v>0</v>
      </c>
      <c r="CI18" s="28">
        <v>0</v>
      </c>
      <c r="CJ18" s="28">
        <v>0</v>
      </c>
      <c r="CK18" s="28">
        <v>0</v>
      </c>
      <c r="CL18" s="28">
        <v>0</v>
      </c>
      <c r="CM18" s="28">
        <v>0</v>
      </c>
      <c r="CN18" s="28">
        <v>0</v>
      </c>
      <c r="CO18" s="28">
        <v>0</v>
      </c>
      <c r="CP18" s="28">
        <v>0</v>
      </c>
      <c r="CQ18" s="28">
        <v>0</v>
      </c>
      <c r="CR18" s="28">
        <v>0</v>
      </c>
      <c r="CS18" s="28">
        <v>0</v>
      </c>
      <c r="CT18" s="28">
        <v>0</v>
      </c>
      <c r="CU18" s="28">
        <v>0</v>
      </c>
      <c r="CV18" s="28">
        <v>0</v>
      </c>
      <c r="CW18" s="28">
        <v>0</v>
      </c>
      <c r="CX18" s="28">
        <v>0</v>
      </c>
      <c r="CY18" s="28">
        <v>0</v>
      </c>
      <c r="CZ18" s="28">
        <v>0</v>
      </c>
      <c r="DA18" s="28">
        <v>0</v>
      </c>
      <c r="DB18" s="28">
        <v>0</v>
      </c>
      <c r="DC18" s="28">
        <v>0</v>
      </c>
      <c r="DD18" s="28">
        <v>0</v>
      </c>
      <c r="DE18" s="28">
        <v>0</v>
      </c>
      <c r="DF18" s="28">
        <v>0</v>
      </c>
      <c r="DG18" s="28">
        <v>0</v>
      </c>
      <c r="DH18" s="28">
        <v>0</v>
      </c>
      <c r="DI18" s="28">
        <v>0</v>
      </c>
      <c r="DJ18" s="28">
        <v>0</v>
      </c>
      <c r="DK18" s="28">
        <v>0</v>
      </c>
      <c r="DL18" s="28">
        <v>0</v>
      </c>
      <c r="DM18" s="28">
        <v>0</v>
      </c>
      <c r="DN18" s="28">
        <v>0</v>
      </c>
      <c r="DO18" s="28">
        <v>0</v>
      </c>
      <c r="DP18" s="28">
        <v>0</v>
      </c>
      <c r="DQ18" s="28">
        <v>0</v>
      </c>
      <c r="DR18" s="28">
        <v>0</v>
      </c>
      <c r="DS18" s="28">
        <v>0</v>
      </c>
      <c r="DT18" s="28">
        <v>0</v>
      </c>
      <c r="DU18" s="28">
        <v>0</v>
      </c>
      <c r="DV18" s="28">
        <v>0</v>
      </c>
      <c r="DW18" s="28">
        <v>0</v>
      </c>
      <c r="DX18" s="28">
        <v>0</v>
      </c>
      <c r="DY18" s="28">
        <v>0</v>
      </c>
      <c r="DZ18" s="28">
        <v>0</v>
      </c>
      <c r="EA18" s="28">
        <v>0</v>
      </c>
      <c r="EB18" s="28">
        <v>0</v>
      </c>
      <c r="EC18" s="28">
        <v>0</v>
      </c>
      <c r="ED18" s="28">
        <v>0</v>
      </c>
      <c r="EE18" s="30">
        <v>0</v>
      </c>
    </row>
    <row r="19" spans="2:135" x14ac:dyDescent="0.35">
      <c r="B19" s="34" t="s">
        <v>29</v>
      </c>
      <c r="C19" s="13">
        <f>C17*O3</f>
        <v>-100000</v>
      </c>
      <c r="D19" s="28">
        <v>0</v>
      </c>
      <c r="E19" s="28">
        <v>0</v>
      </c>
      <c r="F19" s="28">
        <v>0</v>
      </c>
      <c r="G19" s="28">
        <v>0</v>
      </c>
      <c r="H19" s="28">
        <v>0</v>
      </c>
      <c r="I19" s="28">
        <v>0</v>
      </c>
      <c r="J19" s="28">
        <v>0</v>
      </c>
      <c r="K19" s="28">
        <v>0</v>
      </c>
      <c r="L19" s="28">
        <v>0</v>
      </c>
      <c r="M19" s="28">
        <v>0</v>
      </c>
      <c r="N19" s="28">
        <v>0</v>
      </c>
      <c r="O19" s="28">
        <v>0</v>
      </c>
      <c r="P19" s="28">
        <v>0</v>
      </c>
      <c r="Q19" s="28">
        <v>0</v>
      </c>
      <c r="R19" s="28">
        <v>0</v>
      </c>
      <c r="S19" s="28">
        <v>0</v>
      </c>
      <c r="T19" s="28">
        <v>0</v>
      </c>
      <c r="U19" s="28">
        <v>0</v>
      </c>
      <c r="V19" s="28">
        <v>0</v>
      </c>
      <c r="W19" s="28">
        <v>0</v>
      </c>
      <c r="X19" s="28">
        <v>0</v>
      </c>
      <c r="Y19" s="28">
        <v>0</v>
      </c>
      <c r="Z19" s="28">
        <v>0</v>
      </c>
      <c r="AA19" s="28">
        <v>0</v>
      </c>
      <c r="AB19" s="28">
        <v>0</v>
      </c>
      <c r="AC19" s="28">
        <v>0</v>
      </c>
      <c r="AD19" s="28">
        <v>0</v>
      </c>
      <c r="AE19" s="28">
        <v>0</v>
      </c>
      <c r="AF19" s="28">
        <v>0</v>
      </c>
      <c r="AG19" s="28">
        <v>0</v>
      </c>
      <c r="AH19" s="28">
        <v>0</v>
      </c>
      <c r="AI19" s="28">
        <v>0</v>
      </c>
      <c r="AJ19" s="28">
        <v>0</v>
      </c>
      <c r="AK19" s="28">
        <v>0</v>
      </c>
      <c r="AL19" s="28">
        <v>0</v>
      </c>
      <c r="AM19" s="28">
        <v>0</v>
      </c>
      <c r="AN19" s="28">
        <v>0</v>
      </c>
      <c r="AO19" s="28">
        <v>0</v>
      </c>
      <c r="AP19" s="28">
        <v>0</v>
      </c>
      <c r="AQ19" s="28">
        <v>0</v>
      </c>
      <c r="AR19" s="28">
        <v>0</v>
      </c>
      <c r="AS19" s="28">
        <v>0</v>
      </c>
      <c r="AT19" s="28">
        <v>0</v>
      </c>
      <c r="AU19" s="28">
        <v>0</v>
      </c>
      <c r="AV19" s="28">
        <v>0</v>
      </c>
      <c r="AW19" s="28">
        <v>0</v>
      </c>
      <c r="AX19" s="28">
        <v>0</v>
      </c>
      <c r="AY19" s="28">
        <v>0</v>
      </c>
      <c r="AZ19" s="28">
        <v>0</v>
      </c>
      <c r="BA19" s="28">
        <v>0</v>
      </c>
      <c r="BB19" s="28">
        <v>0</v>
      </c>
      <c r="BC19" s="28">
        <v>0</v>
      </c>
      <c r="BD19" s="28">
        <v>0</v>
      </c>
      <c r="BE19" s="28">
        <v>0</v>
      </c>
      <c r="BF19" s="28">
        <v>0</v>
      </c>
      <c r="BG19" s="28">
        <v>0</v>
      </c>
      <c r="BH19" s="28">
        <v>0</v>
      </c>
      <c r="BI19" s="28">
        <v>0</v>
      </c>
      <c r="BJ19" s="28">
        <v>0</v>
      </c>
      <c r="BK19" s="28">
        <v>0</v>
      </c>
      <c r="BL19" s="28">
        <v>0</v>
      </c>
      <c r="BM19" s="28">
        <v>0</v>
      </c>
      <c r="BN19" s="28">
        <v>0</v>
      </c>
      <c r="BO19" s="28">
        <v>0</v>
      </c>
      <c r="BP19" s="28">
        <v>0</v>
      </c>
      <c r="BQ19" s="28">
        <v>0</v>
      </c>
      <c r="BR19" s="28">
        <v>0</v>
      </c>
      <c r="BS19" s="28">
        <v>0</v>
      </c>
      <c r="BT19" s="28">
        <v>0</v>
      </c>
      <c r="BU19" s="28">
        <v>0</v>
      </c>
      <c r="BV19" s="28">
        <v>0</v>
      </c>
      <c r="BW19" s="28">
        <v>0</v>
      </c>
      <c r="BX19" s="28">
        <v>0</v>
      </c>
      <c r="BY19" s="28">
        <v>0</v>
      </c>
      <c r="BZ19" s="28">
        <v>0</v>
      </c>
      <c r="CA19" s="28">
        <v>0</v>
      </c>
      <c r="CB19" s="28">
        <v>0</v>
      </c>
      <c r="CC19" s="28">
        <v>0</v>
      </c>
      <c r="CD19" s="28">
        <v>0</v>
      </c>
      <c r="CE19" s="28">
        <v>0</v>
      </c>
      <c r="CF19" s="28">
        <v>0</v>
      </c>
      <c r="CG19" s="28">
        <v>0</v>
      </c>
      <c r="CH19" s="28">
        <v>0</v>
      </c>
      <c r="CI19" s="28">
        <v>0</v>
      </c>
      <c r="CJ19" s="28">
        <v>0</v>
      </c>
      <c r="CK19" s="28">
        <v>0</v>
      </c>
      <c r="CL19" s="28">
        <v>0</v>
      </c>
      <c r="CM19" s="28">
        <v>0</v>
      </c>
      <c r="CN19" s="28">
        <v>0</v>
      </c>
      <c r="CO19" s="28">
        <v>0</v>
      </c>
      <c r="CP19" s="28">
        <v>0</v>
      </c>
      <c r="CQ19" s="28">
        <v>0</v>
      </c>
      <c r="CR19" s="28">
        <v>0</v>
      </c>
      <c r="CS19" s="28">
        <v>0</v>
      </c>
      <c r="CT19" s="28">
        <v>0</v>
      </c>
      <c r="CU19" s="28">
        <v>0</v>
      </c>
      <c r="CV19" s="28">
        <v>0</v>
      </c>
      <c r="CW19" s="28">
        <v>0</v>
      </c>
      <c r="CX19" s="28">
        <v>0</v>
      </c>
      <c r="CY19" s="28">
        <v>0</v>
      </c>
      <c r="CZ19" s="28">
        <v>0</v>
      </c>
      <c r="DA19" s="28">
        <v>0</v>
      </c>
      <c r="DB19" s="28">
        <v>0</v>
      </c>
      <c r="DC19" s="28">
        <v>0</v>
      </c>
      <c r="DD19" s="28">
        <v>0</v>
      </c>
      <c r="DE19" s="28">
        <v>0</v>
      </c>
      <c r="DF19" s="28">
        <v>0</v>
      </c>
      <c r="DG19" s="28">
        <v>0</v>
      </c>
      <c r="DH19" s="28">
        <v>0</v>
      </c>
      <c r="DI19" s="28">
        <v>0</v>
      </c>
      <c r="DJ19" s="28">
        <v>0</v>
      </c>
      <c r="DK19" s="28">
        <v>0</v>
      </c>
      <c r="DL19" s="28">
        <v>0</v>
      </c>
      <c r="DM19" s="28">
        <v>0</v>
      </c>
      <c r="DN19" s="28">
        <v>0</v>
      </c>
      <c r="DO19" s="28">
        <v>0</v>
      </c>
      <c r="DP19" s="28">
        <v>0</v>
      </c>
      <c r="DQ19" s="28">
        <v>0</v>
      </c>
      <c r="DR19" s="28">
        <v>0</v>
      </c>
      <c r="DS19" s="28">
        <v>0</v>
      </c>
      <c r="DT19" s="28">
        <v>0</v>
      </c>
      <c r="DU19" s="28">
        <v>0</v>
      </c>
      <c r="DV19" s="28">
        <v>0</v>
      </c>
      <c r="DW19" s="28">
        <v>0</v>
      </c>
      <c r="DX19" s="28">
        <v>0</v>
      </c>
      <c r="DY19" s="28">
        <v>0</v>
      </c>
      <c r="DZ19" s="28">
        <v>0</v>
      </c>
      <c r="EA19" s="28">
        <v>0</v>
      </c>
      <c r="EB19" s="28">
        <v>0</v>
      </c>
      <c r="EC19" s="28">
        <v>0</v>
      </c>
      <c r="ED19" s="28">
        <v>0</v>
      </c>
      <c r="EE19" s="30">
        <v>0</v>
      </c>
    </row>
    <row r="20" spans="2:135" x14ac:dyDescent="0.35">
      <c r="B20" s="34" t="s">
        <v>41</v>
      </c>
      <c r="C20" s="13">
        <f>L4*O7</f>
        <v>6500000</v>
      </c>
      <c r="D20" s="28">
        <v>0</v>
      </c>
      <c r="E20" s="28">
        <v>0</v>
      </c>
      <c r="F20" s="28">
        <v>0</v>
      </c>
      <c r="G20" s="28">
        <v>0</v>
      </c>
      <c r="H20" s="28">
        <v>0</v>
      </c>
      <c r="I20" s="28">
        <v>0</v>
      </c>
      <c r="J20" s="28">
        <v>0</v>
      </c>
      <c r="K20" s="28">
        <v>0</v>
      </c>
      <c r="L20" s="28">
        <v>0</v>
      </c>
      <c r="M20" s="28">
        <v>0</v>
      </c>
      <c r="N20" s="28">
        <v>0</v>
      </c>
      <c r="O20" s="28">
        <v>0</v>
      </c>
      <c r="P20" s="28">
        <v>0</v>
      </c>
      <c r="Q20" s="28">
        <v>0</v>
      </c>
      <c r="R20" s="28">
        <v>0</v>
      </c>
      <c r="S20" s="28">
        <v>0</v>
      </c>
      <c r="T20" s="28">
        <v>0</v>
      </c>
      <c r="U20" s="28">
        <v>0</v>
      </c>
      <c r="V20" s="28">
        <v>0</v>
      </c>
      <c r="W20" s="28">
        <v>0</v>
      </c>
      <c r="X20" s="28">
        <v>0</v>
      </c>
      <c r="Y20" s="28">
        <v>0</v>
      </c>
      <c r="Z20" s="28">
        <v>0</v>
      </c>
      <c r="AA20" s="28">
        <v>0</v>
      </c>
      <c r="AB20" s="28">
        <v>0</v>
      </c>
      <c r="AC20" s="28">
        <v>0</v>
      </c>
      <c r="AD20" s="28">
        <v>0</v>
      </c>
      <c r="AE20" s="28">
        <v>0</v>
      </c>
      <c r="AF20" s="28">
        <v>0</v>
      </c>
      <c r="AG20" s="28">
        <v>0</v>
      </c>
      <c r="AH20" s="28">
        <v>0</v>
      </c>
      <c r="AI20" s="28">
        <v>0</v>
      </c>
      <c r="AJ20" s="28">
        <v>0</v>
      </c>
      <c r="AK20" s="28">
        <v>0</v>
      </c>
      <c r="AL20" s="28">
        <v>0</v>
      </c>
      <c r="AM20" s="28">
        <v>0</v>
      </c>
      <c r="AN20" s="28">
        <v>0</v>
      </c>
      <c r="AO20" s="28">
        <v>0</v>
      </c>
      <c r="AP20" s="28">
        <v>0</v>
      </c>
      <c r="AQ20" s="28">
        <v>0</v>
      </c>
      <c r="AR20" s="28">
        <v>0</v>
      </c>
      <c r="AS20" s="28">
        <v>0</v>
      </c>
      <c r="AT20" s="28">
        <v>0</v>
      </c>
      <c r="AU20" s="28">
        <v>0</v>
      </c>
      <c r="AV20" s="28">
        <v>0</v>
      </c>
      <c r="AW20" s="28">
        <v>0</v>
      </c>
      <c r="AX20" s="28">
        <v>0</v>
      </c>
      <c r="AY20" s="28">
        <v>0</v>
      </c>
      <c r="AZ20" s="28">
        <v>0</v>
      </c>
      <c r="BA20" s="28">
        <v>0</v>
      </c>
      <c r="BB20" s="28">
        <v>0</v>
      </c>
      <c r="BC20" s="28">
        <v>0</v>
      </c>
      <c r="BD20" s="28">
        <v>0</v>
      </c>
      <c r="BE20" s="28">
        <v>0</v>
      </c>
      <c r="BF20" s="28">
        <v>0</v>
      </c>
      <c r="BG20" s="28">
        <v>0</v>
      </c>
      <c r="BH20" s="28">
        <v>0</v>
      </c>
      <c r="BI20" s="28">
        <v>0</v>
      </c>
      <c r="BJ20" s="28">
        <v>0</v>
      </c>
      <c r="BK20" s="28">
        <v>0</v>
      </c>
      <c r="BL20" s="28">
        <v>0</v>
      </c>
      <c r="BM20" s="28">
        <v>0</v>
      </c>
      <c r="BN20" s="28">
        <v>0</v>
      </c>
      <c r="BO20" s="28">
        <v>0</v>
      </c>
      <c r="BP20" s="28">
        <v>0</v>
      </c>
      <c r="BQ20" s="28">
        <v>0</v>
      </c>
      <c r="BR20" s="28">
        <v>0</v>
      </c>
      <c r="BS20" s="28">
        <v>0</v>
      </c>
      <c r="BT20" s="28">
        <v>0</v>
      </c>
      <c r="BU20" s="28">
        <v>0</v>
      </c>
      <c r="BV20" s="28">
        <v>0</v>
      </c>
      <c r="BW20" s="28">
        <v>0</v>
      </c>
      <c r="BX20" s="28">
        <v>0</v>
      </c>
      <c r="BY20" s="28">
        <v>0</v>
      </c>
      <c r="BZ20" s="28">
        <v>0</v>
      </c>
      <c r="CA20" s="28">
        <v>0</v>
      </c>
      <c r="CB20" s="28">
        <v>0</v>
      </c>
      <c r="CC20" s="28">
        <v>0</v>
      </c>
      <c r="CD20" s="28">
        <v>0</v>
      </c>
      <c r="CE20" s="28">
        <v>0</v>
      </c>
      <c r="CF20" s="28">
        <v>0</v>
      </c>
      <c r="CG20" s="28">
        <v>0</v>
      </c>
      <c r="CH20" s="28">
        <v>0</v>
      </c>
      <c r="CI20" s="28">
        <v>0</v>
      </c>
      <c r="CJ20" s="28">
        <v>0</v>
      </c>
      <c r="CK20" s="28">
        <v>0</v>
      </c>
      <c r="CL20" s="28">
        <v>0</v>
      </c>
      <c r="CM20" s="28">
        <v>0</v>
      </c>
      <c r="CN20" s="28">
        <v>0</v>
      </c>
      <c r="CO20" s="28">
        <v>0</v>
      </c>
      <c r="CP20" s="28">
        <v>0</v>
      </c>
      <c r="CQ20" s="28">
        <v>0</v>
      </c>
      <c r="CR20" s="28">
        <v>0</v>
      </c>
      <c r="CS20" s="28">
        <v>0</v>
      </c>
      <c r="CT20" s="28">
        <v>0</v>
      </c>
      <c r="CU20" s="28">
        <v>0</v>
      </c>
      <c r="CV20" s="28">
        <v>0</v>
      </c>
      <c r="CW20" s="28">
        <v>0</v>
      </c>
      <c r="CX20" s="28">
        <v>0</v>
      </c>
      <c r="CY20" s="28">
        <v>0</v>
      </c>
      <c r="CZ20" s="28">
        <v>0</v>
      </c>
      <c r="DA20" s="28">
        <v>0</v>
      </c>
      <c r="DB20" s="28">
        <v>0</v>
      </c>
      <c r="DC20" s="28">
        <v>0</v>
      </c>
      <c r="DD20" s="28">
        <v>0</v>
      </c>
      <c r="DE20" s="28">
        <v>0</v>
      </c>
      <c r="DF20" s="28">
        <v>0</v>
      </c>
      <c r="DG20" s="28">
        <v>0</v>
      </c>
      <c r="DH20" s="28">
        <v>0</v>
      </c>
      <c r="DI20" s="28">
        <v>0</v>
      </c>
      <c r="DJ20" s="28">
        <v>0</v>
      </c>
      <c r="DK20" s="28">
        <v>0</v>
      </c>
      <c r="DL20" s="28">
        <v>0</v>
      </c>
      <c r="DM20" s="28">
        <v>0</v>
      </c>
      <c r="DN20" s="28">
        <v>0</v>
      </c>
      <c r="DO20" s="28">
        <v>0</v>
      </c>
      <c r="DP20" s="28">
        <v>0</v>
      </c>
      <c r="DQ20" s="28">
        <v>0</v>
      </c>
      <c r="DR20" s="28">
        <v>0</v>
      </c>
      <c r="DS20" s="28">
        <v>0</v>
      </c>
      <c r="DT20" s="28">
        <v>0</v>
      </c>
      <c r="DU20" s="28">
        <v>0</v>
      </c>
      <c r="DV20" s="28">
        <v>0</v>
      </c>
      <c r="DW20" s="28">
        <v>0</v>
      </c>
      <c r="DX20" s="28">
        <v>0</v>
      </c>
      <c r="DY20" s="28">
        <v>0</v>
      </c>
      <c r="DZ20" s="28">
        <v>0</v>
      </c>
      <c r="EA20" s="28">
        <v>0</v>
      </c>
      <c r="EB20" s="28">
        <v>0</v>
      </c>
      <c r="EC20" s="28">
        <v>0</v>
      </c>
      <c r="ED20" s="28">
        <v>0</v>
      </c>
      <c r="EE20" s="30">
        <v>0</v>
      </c>
    </row>
    <row r="21" spans="2:135" x14ac:dyDescent="0.35">
      <c r="B21" s="34" t="s">
        <v>33</v>
      </c>
      <c r="C21" s="13">
        <f>C20*-O8</f>
        <v>-32500</v>
      </c>
      <c r="D21" s="28">
        <v>0</v>
      </c>
      <c r="E21" s="28">
        <v>0</v>
      </c>
      <c r="F21" s="28">
        <v>0</v>
      </c>
      <c r="G21" s="28">
        <v>0</v>
      </c>
      <c r="H21" s="28">
        <v>0</v>
      </c>
      <c r="I21" s="28">
        <v>0</v>
      </c>
      <c r="J21" s="28">
        <v>0</v>
      </c>
      <c r="K21" s="28">
        <v>0</v>
      </c>
      <c r="L21" s="28">
        <v>0</v>
      </c>
      <c r="M21" s="28">
        <v>0</v>
      </c>
      <c r="N21" s="28">
        <v>0</v>
      </c>
      <c r="O21" s="28">
        <v>0</v>
      </c>
      <c r="P21" s="28">
        <v>0</v>
      </c>
      <c r="Q21" s="28">
        <v>0</v>
      </c>
      <c r="R21" s="28">
        <v>0</v>
      </c>
      <c r="S21" s="28">
        <v>0</v>
      </c>
      <c r="T21" s="28">
        <v>0</v>
      </c>
      <c r="U21" s="28">
        <v>0</v>
      </c>
      <c r="V21" s="28">
        <v>0</v>
      </c>
      <c r="W21" s="28">
        <v>0</v>
      </c>
      <c r="X21" s="28">
        <v>0</v>
      </c>
      <c r="Y21" s="28">
        <v>0</v>
      </c>
      <c r="Z21" s="28">
        <v>0</v>
      </c>
      <c r="AA21" s="28">
        <v>0</v>
      </c>
      <c r="AB21" s="28">
        <v>0</v>
      </c>
      <c r="AC21" s="28">
        <v>0</v>
      </c>
      <c r="AD21" s="28">
        <v>0</v>
      </c>
      <c r="AE21" s="28">
        <v>0</v>
      </c>
      <c r="AF21" s="28">
        <v>0</v>
      </c>
      <c r="AG21" s="28">
        <v>0</v>
      </c>
      <c r="AH21" s="28">
        <v>0</v>
      </c>
      <c r="AI21" s="28">
        <v>0</v>
      </c>
      <c r="AJ21" s="28">
        <v>0</v>
      </c>
      <c r="AK21" s="28">
        <v>0</v>
      </c>
      <c r="AL21" s="28">
        <v>0</v>
      </c>
      <c r="AM21" s="28">
        <v>0</v>
      </c>
      <c r="AN21" s="28">
        <v>0</v>
      </c>
      <c r="AO21" s="28">
        <v>0</v>
      </c>
      <c r="AP21" s="28">
        <v>0</v>
      </c>
      <c r="AQ21" s="28">
        <v>0</v>
      </c>
      <c r="AR21" s="28">
        <v>0</v>
      </c>
      <c r="AS21" s="28">
        <v>0</v>
      </c>
      <c r="AT21" s="28">
        <v>0</v>
      </c>
      <c r="AU21" s="28">
        <v>0</v>
      </c>
      <c r="AV21" s="28">
        <v>0</v>
      </c>
      <c r="AW21" s="28">
        <v>0</v>
      </c>
      <c r="AX21" s="28">
        <v>0</v>
      </c>
      <c r="AY21" s="28">
        <v>0</v>
      </c>
      <c r="AZ21" s="28">
        <v>0</v>
      </c>
      <c r="BA21" s="28">
        <v>0</v>
      </c>
      <c r="BB21" s="28">
        <v>0</v>
      </c>
      <c r="BC21" s="28">
        <v>0</v>
      </c>
      <c r="BD21" s="28">
        <v>0</v>
      </c>
      <c r="BE21" s="28">
        <v>0</v>
      </c>
      <c r="BF21" s="28">
        <v>0</v>
      </c>
      <c r="BG21" s="28">
        <v>0</v>
      </c>
      <c r="BH21" s="28">
        <v>0</v>
      </c>
      <c r="BI21" s="28">
        <v>0</v>
      </c>
      <c r="BJ21" s="28">
        <v>0</v>
      </c>
      <c r="BK21" s="28">
        <v>0</v>
      </c>
      <c r="BL21" s="28">
        <v>0</v>
      </c>
      <c r="BM21" s="28">
        <v>0</v>
      </c>
      <c r="BN21" s="28">
        <v>0</v>
      </c>
      <c r="BO21" s="28">
        <v>0</v>
      </c>
      <c r="BP21" s="28">
        <v>0</v>
      </c>
      <c r="BQ21" s="28">
        <v>0</v>
      </c>
      <c r="BR21" s="28">
        <v>0</v>
      </c>
      <c r="BS21" s="28">
        <v>0</v>
      </c>
      <c r="BT21" s="28">
        <v>0</v>
      </c>
      <c r="BU21" s="28">
        <v>0</v>
      </c>
      <c r="BV21" s="28">
        <v>0</v>
      </c>
      <c r="BW21" s="28">
        <v>0</v>
      </c>
      <c r="BX21" s="28">
        <v>0</v>
      </c>
      <c r="BY21" s="28">
        <v>0</v>
      </c>
      <c r="BZ21" s="28">
        <v>0</v>
      </c>
      <c r="CA21" s="28">
        <v>0</v>
      </c>
      <c r="CB21" s="28">
        <v>0</v>
      </c>
      <c r="CC21" s="28">
        <v>0</v>
      </c>
      <c r="CD21" s="28">
        <v>0</v>
      </c>
      <c r="CE21" s="28">
        <v>0</v>
      </c>
      <c r="CF21" s="28">
        <v>0</v>
      </c>
      <c r="CG21" s="28">
        <v>0</v>
      </c>
      <c r="CH21" s="28">
        <v>0</v>
      </c>
      <c r="CI21" s="28">
        <v>0</v>
      </c>
      <c r="CJ21" s="28">
        <v>0</v>
      </c>
      <c r="CK21" s="28">
        <v>0</v>
      </c>
      <c r="CL21" s="28">
        <v>0</v>
      </c>
      <c r="CM21" s="28">
        <v>0</v>
      </c>
      <c r="CN21" s="28">
        <v>0</v>
      </c>
      <c r="CO21" s="28">
        <v>0</v>
      </c>
      <c r="CP21" s="28">
        <v>0</v>
      </c>
      <c r="CQ21" s="28">
        <v>0</v>
      </c>
      <c r="CR21" s="28">
        <v>0</v>
      </c>
      <c r="CS21" s="28">
        <v>0</v>
      </c>
      <c r="CT21" s="28">
        <v>0</v>
      </c>
      <c r="CU21" s="28">
        <v>0</v>
      </c>
      <c r="CV21" s="28">
        <v>0</v>
      </c>
      <c r="CW21" s="28">
        <v>0</v>
      </c>
      <c r="CX21" s="28">
        <v>0</v>
      </c>
      <c r="CY21" s="28">
        <v>0</v>
      </c>
      <c r="CZ21" s="28">
        <v>0</v>
      </c>
      <c r="DA21" s="28">
        <v>0</v>
      </c>
      <c r="DB21" s="28">
        <v>0</v>
      </c>
      <c r="DC21" s="28">
        <v>0</v>
      </c>
      <c r="DD21" s="28">
        <v>0</v>
      </c>
      <c r="DE21" s="28">
        <v>0</v>
      </c>
      <c r="DF21" s="28">
        <v>0</v>
      </c>
      <c r="DG21" s="28">
        <v>0</v>
      </c>
      <c r="DH21" s="28">
        <v>0</v>
      </c>
      <c r="DI21" s="28">
        <v>0</v>
      </c>
      <c r="DJ21" s="28">
        <v>0</v>
      </c>
      <c r="DK21" s="28">
        <v>0</v>
      </c>
      <c r="DL21" s="28">
        <v>0</v>
      </c>
      <c r="DM21" s="28">
        <v>0</v>
      </c>
      <c r="DN21" s="28">
        <v>0</v>
      </c>
      <c r="DO21" s="28">
        <v>0</v>
      </c>
      <c r="DP21" s="28">
        <v>0</v>
      </c>
      <c r="DQ21" s="28">
        <v>0</v>
      </c>
      <c r="DR21" s="28">
        <v>0</v>
      </c>
      <c r="DS21" s="28">
        <v>0</v>
      </c>
      <c r="DT21" s="28">
        <v>0</v>
      </c>
      <c r="DU21" s="28">
        <v>0</v>
      </c>
      <c r="DV21" s="28">
        <v>0</v>
      </c>
      <c r="DW21" s="28">
        <v>0</v>
      </c>
      <c r="DX21" s="28">
        <v>0</v>
      </c>
      <c r="DY21" s="28">
        <v>0</v>
      </c>
      <c r="DZ21" s="28">
        <v>0</v>
      </c>
      <c r="EA21" s="28">
        <v>0</v>
      </c>
      <c r="EB21" s="28">
        <v>0</v>
      </c>
      <c r="EC21" s="28">
        <v>0</v>
      </c>
      <c r="ED21" s="28">
        <v>0</v>
      </c>
      <c r="EE21" s="30">
        <v>0</v>
      </c>
    </row>
    <row r="22" spans="2:135" x14ac:dyDescent="0.35">
      <c r="B22" s="34" t="s">
        <v>42</v>
      </c>
      <c r="C22" s="28">
        <v>0</v>
      </c>
      <c r="D22" s="13" cm="1">
        <f t="array" ref="D22">IF(D12=$L$8,SUM(E14:P14/$L$9),0)</f>
        <v>0</v>
      </c>
      <c r="E22" s="13" cm="1">
        <f t="array" ref="E22">IF(E12=$L$8,SUM(F14:Q14/$L$9),0)</f>
        <v>0</v>
      </c>
      <c r="F22" s="13" cm="1">
        <f t="array" ref="F22">IF(F12=$L$8,SUM(G14:R14/$L$9),0)</f>
        <v>0</v>
      </c>
      <c r="G22" s="13" cm="1">
        <f t="array" ref="G22">IF(G12=$L$8,SUM(H14:S14/$L$9),0)</f>
        <v>0</v>
      </c>
      <c r="H22" s="13" cm="1">
        <f t="array" ref="H22">IF(H12=$L$8,SUM(I14:T14/$L$9),0)</f>
        <v>0</v>
      </c>
      <c r="I22" s="13" cm="1">
        <f t="array" ref="I22">IF(I12=$L$8,SUM(J14:U14/$L$9),0)</f>
        <v>0</v>
      </c>
      <c r="J22" s="13" cm="1">
        <f t="array" ref="J22">IF(J12=$L$8,SUM(K14:V14/$L$9),0)</f>
        <v>0</v>
      </c>
      <c r="K22" s="13" cm="1">
        <f t="array" ref="K22">IF(K12=$L$8,SUM(L14:W14/$L$9),0)</f>
        <v>0</v>
      </c>
      <c r="L22" s="13" cm="1">
        <f t="array" ref="L22">IF(L12=$L$8,SUM(M14:X14/$L$9),0)</f>
        <v>0</v>
      </c>
      <c r="M22" s="13" cm="1">
        <f t="array" ref="M22">IF(M12=$L$8,SUM(N14:Y14/$L$9),0)</f>
        <v>0</v>
      </c>
      <c r="N22" s="13" cm="1">
        <f t="array" ref="N22">IF(N12=$L$8,SUM(O14:Z14/$L$9),0)</f>
        <v>0</v>
      </c>
      <c r="O22" s="13" cm="1">
        <f t="array" ref="O22">IF(O12=$L$8,SUM(P14:AA14/$L$9),0)</f>
        <v>0</v>
      </c>
      <c r="P22" s="13" cm="1">
        <f t="array" ref="P22">IF(P12=$L$8,SUM(Q14:AB14/$L$9),0)</f>
        <v>0</v>
      </c>
      <c r="Q22" s="13" cm="1">
        <f t="array" ref="Q22">IF(Q12=$L$8,SUM(R14:AC14/$L$9),0)</f>
        <v>0</v>
      </c>
      <c r="R22" s="13" cm="1">
        <f t="array" ref="R22">IF(R12=$L$8,SUM(S14:AD14/$L$9),0)</f>
        <v>0</v>
      </c>
      <c r="S22" s="13" cm="1">
        <f t="array" ref="S22">IF(S12=$L$8,SUM(T14:AE14/$L$9),0)</f>
        <v>0</v>
      </c>
      <c r="T22" s="13" cm="1">
        <f t="array" ref="T22">IF(T12=$L$8,SUM(U14:AF14/$L$9),0)</f>
        <v>0</v>
      </c>
      <c r="U22" s="13" cm="1">
        <f t="array" ref="U22">IF(U12=$L$8,SUM(V14:AG14/$L$9),0)</f>
        <v>0</v>
      </c>
      <c r="V22" s="13" cm="1">
        <f t="array" ref="V22">IF(V12=$L$8,SUM(W14:AH14/$L$9),0)</f>
        <v>0</v>
      </c>
      <c r="W22" s="13" cm="1">
        <f t="array" ref="W22">IF(W12=$L$8,SUM(X14:AI14/$L$9),0)</f>
        <v>0</v>
      </c>
      <c r="X22" s="13" cm="1">
        <f t="array" ref="X22">IF(X12=$L$8,SUM(Y14:AJ14/$L$9),0)</f>
        <v>0</v>
      </c>
      <c r="Y22" s="13" cm="1">
        <f t="array" ref="Y22">IF(Y12=$L$8,SUM(Z14:AK14/$L$9),0)</f>
        <v>0</v>
      </c>
      <c r="Z22" s="13" cm="1">
        <f t="array" ref="Z22">IF(Z12=$L$8,SUM(AA14:AL14/$L$9),0)</f>
        <v>0</v>
      </c>
      <c r="AA22" s="13" cm="1">
        <f t="array" ref="AA22">IF(AA12=$L$8,SUM(AB14:AM14/$L$9),0)</f>
        <v>0</v>
      </c>
      <c r="AB22" s="13" cm="1">
        <f t="array" ref="AB22">IF(AB12=$L$8,SUM(AC14:AN14/$L$9),0)</f>
        <v>0</v>
      </c>
      <c r="AC22" s="13" cm="1">
        <f t="array" ref="AC22">IF(AC12=$L$8,SUM(AD14:AO14/$L$9),0)</f>
        <v>0</v>
      </c>
      <c r="AD22" s="13" cm="1">
        <f t="array" ref="AD22">IF(AD12=$L$8,SUM(AE14:AP14/$L$9),0)</f>
        <v>0</v>
      </c>
      <c r="AE22" s="13" cm="1">
        <f t="array" ref="AE22">IF(AE12=$L$8,SUM(AF14:AQ14/$L$9),0)</f>
        <v>0</v>
      </c>
      <c r="AF22" s="13" cm="1">
        <f t="array" ref="AF22">IF(AF12=$L$8,SUM(AG14:AR14/$L$9),0)</f>
        <v>0</v>
      </c>
      <c r="AG22" s="13" cm="1">
        <f t="array" ref="AG22">IF(AG12=$L$8,SUM(AH14:AS14/$L$9),0)</f>
        <v>0</v>
      </c>
      <c r="AH22" s="13" cm="1">
        <f t="array" ref="AH22">IF(AH12=$L$8,SUM(AI14:AT14/$L$9),0)</f>
        <v>0</v>
      </c>
      <c r="AI22" s="13" cm="1">
        <f t="array" ref="AI22">IF(AI12=$L$8,SUM(AJ14:AU14/$L$9),0)</f>
        <v>0</v>
      </c>
      <c r="AJ22" s="13" cm="1">
        <f t="array" ref="AJ22">IF(AJ12=$L$8,SUM(AK14:AV14/$L$9),0)</f>
        <v>0</v>
      </c>
      <c r="AK22" s="13" cm="1">
        <f t="array" ref="AK22">IF(AK12=$L$8,SUM(AL14:AW14/$L$9),0)</f>
        <v>0</v>
      </c>
      <c r="AL22" s="13" cm="1">
        <f t="array" ref="AL22">IF(AL12=$L$8,SUM(AM14:AX14/$L$9),0)</f>
        <v>0</v>
      </c>
      <c r="AM22" s="13" cm="1">
        <f t="array" ref="AM22">IF(AM12=$L$8,SUM(AN14:AY14/$L$9),0)</f>
        <v>0</v>
      </c>
      <c r="AN22" s="13" cm="1">
        <f t="array" ref="AN22">IF(AN12=$L$8,SUM(AO14:AZ14/$L$9),0)</f>
        <v>0</v>
      </c>
      <c r="AO22" s="13" cm="1">
        <f t="array" ref="AO22">IF(AO12=$L$8,SUM(AP14:BA14/$L$9),0)</f>
        <v>0</v>
      </c>
      <c r="AP22" s="13" cm="1">
        <f t="array" ref="AP22">IF(AP12=$L$8,SUM(AQ14:BB14/$L$9),0)</f>
        <v>0</v>
      </c>
      <c r="AQ22" s="13" cm="1">
        <f t="array" ref="AQ22">IF(AQ12=$L$8,SUM(AR14:BC14/$L$9),0)</f>
        <v>0</v>
      </c>
      <c r="AR22" s="13" cm="1">
        <f t="array" ref="AR22">IF(AR12=$L$8,SUM(AS14:BD14/$L$9),0)</f>
        <v>0</v>
      </c>
      <c r="AS22" s="13" cm="1">
        <f t="array" ref="AS22">IF(AS12=$L$8,SUM(AT14:BE14/$L$9),0)</f>
        <v>0</v>
      </c>
      <c r="AT22" s="13" cm="1">
        <f t="array" ref="AT22">IF(AT12=$L$8,SUM(AU14:BF14/$L$9),0)</f>
        <v>0</v>
      </c>
      <c r="AU22" s="13" cm="1">
        <f t="array" ref="AU22">IF(AU12=$L$8,SUM(AV14:BG14/$L$9),0)</f>
        <v>0</v>
      </c>
      <c r="AV22" s="13" cm="1">
        <f t="array" ref="AV22">IF(AV12=$L$8,SUM(AW14:BH14/$L$9),0)</f>
        <v>0</v>
      </c>
      <c r="AW22" s="13" cm="1">
        <f t="array" ref="AW22">IF(AW12=$L$8,SUM(AX14:BI14/$L$9),0)</f>
        <v>0</v>
      </c>
      <c r="AX22" s="13" cm="1">
        <f t="array" ref="AX22">IF(AX12=$L$8,SUM(AY14:BJ14/$L$9),0)</f>
        <v>0</v>
      </c>
      <c r="AY22" s="13" cm="1">
        <f t="array" ref="AY22">IF(AY12=$L$8,SUM(AZ14:BK14/$L$9),0)</f>
        <v>0</v>
      </c>
      <c r="AZ22" s="13" cm="1">
        <f t="array" ref="AZ22">IF(AZ12=$L$8,SUM(BA14:BL14/$L$9),0)</f>
        <v>0</v>
      </c>
      <c r="BA22" s="13" cm="1">
        <f t="array" ref="BA22">IF(BA12=$L$8,SUM(BB14:BM14/$L$9),0)</f>
        <v>0</v>
      </c>
      <c r="BB22" s="13" cm="1">
        <f t="array" ref="BB22">IF(BB12=$L$8,SUM(BC14:BN14/$L$9),0)</f>
        <v>0</v>
      </c>
      <c r="BC22" s="13" cm="1">
        <f t="array" ref="BC22">IF(BC12=$L$8,SUM(BD14:BO14/$L$9),0)</f>
        <v>0</v>
      </c>
      <c r="BD22" s="13" cm="1">
        <f t="array" ref="BD22">IF(BD12=$L$8,SUM(BE14:BP14/$L$9),0)</f>
        <v>0</v>
      </c>
      <c r="BE22" s="13" cm="1">
        <f t="array" ref="BE22">IF(BE12=$L$8,SUM(BF14:BQ14/$L$9),0)</f>
        <v>0</v>
      </c>
      <c r="BF22" s="13" cm="1">
        <f t="array" ref="BF22">IF(BF12=$L$8,SUM(BG14:BR14/$L$9),0)</f>
        <v>0</v>
      </c>
      <c r="BG22" s="13" cm="1">
        <f t="array" ref="BG22">IF(BG12=$L$8,SUM(BH14:BS14/$L$9),0)</f>
        <v>0</v>
      </c>
      <c r="BH22" s="13" cm="1">
        <f t="array" ref="BH22">IF(BH12=$L$8,SUM(BI14:BT14/$L$9),0)</f>
        <v>0</v>
      </c>
      <c r="BI22" s="13" cm="1">
        <f t="array" ref="BI22">IF(BI12=$L$8,SUM(BJ14:BU14/$L$9),0)</f>
        <v>0</v>
      </c>
      <c r="BJ22" s="13" cm="1">
        <f t="array" ref="BJ22">IF(BJ12=$L$8,SUM(BK14:BV14/$L$9),0)</f>
        <v>0</v>
      </c>
      <c r="BK22" s="13" cm="1">
        <f t="array" ref="BK22">IF(BK12=$L$8,SUM(BL14:BW14/$L$9),0)</f>
        <v>11964993.658273952</v>
      </c>
      <c r="BL22" s="13" cm="1">
        <f t="array" ref="BL22">IF(BL12=$L$8,SUM(BM14:BX14/$L$9),0)</f>
        <v>0</v>
      </c>
      <c r="BM22" s="13" cm="1">
        <f t="array" ref="BM22">IF(BM12=$L$8,SUM(BN14:BY14/$L$9),0)</f>
        <v>0</v>
      </c>
      <c r="BN22" s="13" cm="1">
        <f t="array" ref="BN22">IF(BN12=$L$8,SUM(BO14:BZ14/$L$9),0)</f>
        <v>0</v>
      </c>
      <c r="BO22" s="13" cm="1">
        <f t="array" ref="BO22">IF(BO12=$L$8,SUM(BP14:CA14/$L$9),0)</f>
        <v>0</v>
      </c>
      <c r="BP22" s="13" cm="1">
        <f t="array" ref="BP22">IF(BP12=$L$8,SUM(BQ14:CB14/$L$9),0)</f>
        <v>0</v>
      </c>
      <c r="BQ22" s="13" cm="1">
        <f t="array" ref="BQ22">IF(BQ12=$L$8,SUM(BR14:CC14/$L$9),0)</f>
        <v>0</v>
      </c>
      <c r="BR22" s="13" cm="1">
        <f t="array" ref="BR22">IF(BR12=$L$8,SUM(BS14:CD14/$L$9),0)</f>
        <v>0</v>
      </c>
      <c r="BS22" s="13" cm="1">
        <f t="array" ref="BS22">IF(BS12=$L$8,SUM(BT14:CE14/$L$9),0)</f>
        <v>0</v>
      </c>
      <c r="BT22" s="13" cm="1">
        <f t="array" ref="BT22">IF(BT12=$L$8,SUM(BU14:CF14/$L$9),0)</f>
        <v>0</v>
      </c>
      <c r="BU22" s="13" cm="1">
        <f t="array" ref="BU22">IF(BU12=$L$8,SUM(BV14:CG14/$L$9),0)</f>
        <v>0</v>
      </c>
      <c r="BV22" s="13" cm="1">
        <f t="array" ref="BV22">IF(BV12=$L$8,SUM(BW14:CH14/$L$9),0)</f>
        <v>0</v>
      </c>
      <c r="BW22" s="13" cm="1">
        <f t="array" ref="BW22">IF(BW12=$L$8,SUM(BX14:CI14/$L$9),0)</f>
        <v>0</v>
      </c>
      <c r="BX22" s="13" cm="1">
        <f t="array" ref="BX22">IF(BX12=$L$8,SUM(BY14:CJ14/$L$9),0)</f>
        <v>0</v>
      </c>
      <c r="BY22" s="13" cm="1">
        <f t="array" ref="BY22">IF(BY12=$L$8,SUM(BZ14:CK14/$L$9),0)</f>
        <v>0</v>
      </c>
      <c r="BZ22" s="13" cm="1">
        <f t="array" ref="BZ22">IF(BZ12=$L$8,SUM(CA14:CL14/$L$9),0)</f>
        <v>0</v>
      </c>
      <c r="CA22" s="13" cm="1">
        <f t="array" ref="CA22">IF(CA12=$L$8,SUM(CB14:CM14/$L$9),0)</f>
        <v>0</v>
      </c>
      <c r="CB22" s="13" cm="1">
        <f t="array" ref="CB22">IF(CB12=$L$8,SUM(CC14:CN14/$L$9),0)</f>
        <v>0</v>
      </c>
      <c r="CC22" s="13" cm="1">
        <f t="array" ref="CC22">IF(CC12=$L$8,SUM(CD14:CO14/$L$9),0)</f>
        <v>0</v>
      </c>
      <c r="CD22" s="13" cm="1">
        <f t="array" ref="CD22">IF(CD12=$L$8,SUM(CE14:CP14/$L$9),0)</f>
        <v>0</v>
      </c>
      <c r="CE22" s="13" cm="1">
        <f t="array" ref="CE22">IF(CE12=$L$8,SUM(CF14:CQ14/$L$9),0)</f>
        <v>0</v>
      </c>
      <c r="CF22" s="13" cm="1">
        <f t="array" ref="CF22">IF(CF12=$L$8,SUM(CG14:CR14/$L$9),0)</f>
        <v>0</v>
      </c>
      <c r="CG22" s="13" cm="1">
        <f t="array" ref="CG22">IF(CG12=$L$8,SUM(CH14:CS14/$L$9),0)</f>
        <v>0</v>
      </c>
      <c r="CH22" s="13" cm="1">
        <f t="array" ref="CH22">IF(CH12=$L$8,SUM(CI14:CT14/$L$9),0)</f>
        <v>0</v>
      </c>
      <c r="CI22" s="13" cm="1">
        <f t="array" ref="CI22">IF(CI12=$L$8,SUM(CJ14:CU14/$L$9),0)</f>
        <v>0</v>
      </c>
      <c r="CJ22" s="13" cm="1">
        <f t="array" ref="CJ22">IF(CJ12=$L$8,SUM(CK14:CV14/$L$9),0)</f>
        <v>0</v>
      </c>
      <c r="CK22" s="13" cm="1">
        <f t="array" ref="CK22">IF(CK12=$L$8,SUM(CL14:CW14/$L$9),0)</f>
        <v>0</v>
      </c>
      <c r="CL22" s="13" cm="1">
        <f t="array" ref="CL22">IF(CL12=$L$8,SUM(CM14:CX14/$L$9),0)</f>
        <v>0</v>
      </c>
      <c r="CM22" s="13" cm="1">
        <f t="array" ref="CM22">IF(CM12=$L$8,SUM(CN14:CY14/$L$9),0)</f>
        <v>0</v>
      </c>
      <c r="CN22" s="13" cm="1">
        <f t="array" ref="CN22">IF(CN12=$L$8,SUM(CO14:CZ14/$L$9),0)</f>
        <v>0</v>
      </c>
      <c r="CO22" s="13" cm="1">
        <f t="array" ref="CO22">IF(CO12=$L$8,SUM(CP14:DA14/$L$9),0)</f>
        <v>0</v>
      </c>
      <c r="CP22" s="13" cm="1">
        <f t="array" ref="CP22">IF(CP12=$L$8,SUM(CQ14:DB14/$L$9),0)</f>
        <v>0</v>
      </c>
      <c r="CQ22" s="13" cm="1">
        <f t="array" ref="CQ22">IF(CQ12=$L$8,SUM(CR14:DC14/$L$9),0)</f>
        <v>0</v>
      </c>
      <c r="CR22" s="13" cm="1">
        <f t="array" ref="CR22">IF(CR12=$L$8,SUM(CS14:DD14/$L$9),0)</f>
        <v>0</v>
      </c>
      <c r="CS22" s="13" cm="1">
        <f t="array" ref="CS22">IF(CS12=$L$8,SUM(CT14:DE14/$L$9),0)</f>
        <v>0</v>
      </c>
      <c r="CT22" s="13" cm="1">
        <f t="array" ref="CT22">IF(CT12=$L$8,SUM(CU14:DF14/$L$9),0)</f>
        <v>0</v>
      </c>
      <c r="CU22" s="13" cm="1">
        <f t="array" ref="CU22">IF(CU12=$L$8,SUM(CV14:DG14/$L$9),0)</f>
        <v>0</v>
      </c>
      <c r="CV22" s="13" cm="1">
        <f t="array" ref="CV22">IF(CV12=$L$8,SUM(CW14:DH14/$L$9),0)</f>
        <v>0</v>
      </c>
      <c r="CW22" s="13" cm="1">
        <f t="array" ref="CW22">IF(CW12=$L$8,SUM(CX14:DI14/$L$9),0)</f>
        <v>0</v>
      </c>
      <c r="CX22" s="13" cm="1">
        <f t="array" ref="CX22">IF(CX12=$L$8,SUM(CY14:DJ14/$L$9),0)</f>
        <v>0</v>
      </c>
      <c r="CY22" s="13" cm="1">
        <f t="array" ref="CY22">IF(CY12=$L$8,SUM(CZ14:DK14/$L$9),0)</f>
        <v>0</v>
      </c>
      <c r="CZ22" s="13" cm="1">
        <f t="array" ref="CZ22">IF(CZ12=$L$8,SUM(DA14:DL14/$L$9),0)</f>
        <v>0</v>
      </c>
      <c r="DA22" s="13" cm="1">
        <f t="array" ref="DA22">IF(DA12=$L$8,SUM(DB14:DM14/$L$9),0)</f>
        <v>0</v>
      </c>
      <c r="DB22" s="13" cm="1">
        <f t="array" ref="DB22">IF(DB12=$L$8,SUM(DC14:DN14/$L$9),0)</f>
        <v>0</v>
      </c>
      <c r="DC22" s="13" cm="1">
        <f t="array" ref="DC22">IF(DC12=$L$8,SUM(DD14:DO14/$L$9),0)</f>
        <v>0</v>
      </c>
      <c r="DD22" s="13" cm="1">
        <f t="array" ref="DD22">IF(DD12=$L$8,SUM(DE14:DP14/$L$9),0)</f>
        <v>0</v>
      </c>
      <c r="DE22" s="13" cm="1">
        <f t="array" ref="DE22">IF(DE12=$L$8,SUM(DF14:DQ14/$L$9),0)</f>
        <v>0</v>
      </c>
      <c r="DF22" s="13" cm="1">
        <f t="array" ref="DF22">IF(DF12=$L$8,SUM(DG14:DR14/$L$9),0)</f>
        <v>0</v>
      </c>
      <c r="DG22" s="13" cm="1">
        <f t="array" ref="DG22">IF(DG12=$L$8,SUM(DH14:DS14/$L$9),0)</f>
        <v>0</v>
      </c>
      <c r="DH22" s="13" cm="1">
        <f t="array" ref="DH22">IF(DH12=$L$8,SUM(DI14:DT14/$L$9),0)</f>
        <v>0</v>
      </c>
      <c r="DI22" s="13" cm="1">
        <f t="array" ref="DI22">IF(DI12=$L$8,SUM(DJ14:DU14/$L$9),0)</f>
        <v>0</v>
      </c>
      <c r="DJ22" s="13" cm="1">
        <f t="array" ref="DJ22">IF(DJ12=$L$8,SUM(DK14:DV14/$L$9),0)</f>
        <v>0</v>
      </c>
      <c r="DK22" s="13" cm="1">
        <f t="array" ref="DK22">IF(DK12=$L$8,SUM(DL14:DW14/$L$9),0)</f>
        <v>0</v>
      </c>
      <c r="DL22" s="13" cm="1">
        <f t="array" ref="DL22">IF(DL12=$L$8,SUM(DM14:DX14/$L$9),0)</f>
        <v>0</v>
      </c>
      <c r="DM22" s="13" cm="1">
        <f t="array" ref="DM22">IF(DM12=$L$8,SUM(DN14:DY14/$L$9),0)</f>
        <v>0</v>
      </c>
      <c r="DN22" s="13" cm="1">
        <f t="array" ref="DN22">IF(DN12=$L$8,SUM(DO14:DZ14/$L$9),0)</f>
        <v>0</v>
      </c>
      <c r="DO22" s="13" cm="1">
        <f t="array" ref="DO22">IF(DO12=$L$8,SUM(DP14:EA14/$L$9),0)</f>
        <v>0</v>
      </c>
      <c r="DP22" s="13" cm="1">
        <f t="array" ref="DP22">IF(DP12=$L$8,SUM(DQ14:EB14/$L$9),0)</f>
        <v>0</v>
      </c>
      <c r="DQ22" s="13" cm="1">
        <f t="array" ref="DQ22">IF(DQ12=$L$8,SUM(DR14:EC14/$L$9),0)</f>
        <v>0</v>
      </c>
      <c r="DR22" s="13" cm="1">
        <f t="array" ref="DR22">IF(DR12=$L$8,SUM(DS14:ED14/$L$9),0)</f>
        <v>0</v>
      </c>
      <c r="DS22" s="13" cm="1">
        <f t="array" ref="DS22">IF(DS12=$L$8,SUM(DT14:EE14/$L$9),0)</f>
        <v>0</v>
      </c>
      <c r="DT22" s="13" cm="1">
        <f t="array" ref="DT22">IF(DT12=$L$8,SUM(DU14:EF14/$L$9),0)</f>
        <v>0</v>
      </c>
      <c r="DU22" s="13" cm="1">
        <f t="array" ref="DU22">IF(DU12=$L$8,SUM(DV14:EG14/$L$9),0)</f>
        <v>0</v>
      </c>
      <c r="DV22" s="13" cm="1">
        <f t="array" ref="DV22">IF(DV12=$L$8,SUM(DW14:EH14/$L$9),0)</f>
        <v>0</v>
      </c>
      <c r="DW22" s="13" cm="1">
        <f t="array" ref="DW22">IF(DW12=$L$8,SUM(DX14:EI14/$L$9),0)</f>
        <v>0</v>
      </c>
      <c r="DX22" s="13" cm="1">
        <f t="array" ref="DX22">IF(DX12=$L$8,SUM(DY14:EJ14/$L$9),0)</f>
        <v>0</v>
      </c>
      <c r="DY22" s="13" cm="1">
        <f t="array" ref="DY22">IF(DY12=$L$8,SUM(DZ14:EK14/$L$9),0)</f>
        <v>0</v>
      </c>
      <c r="DZ22" s="13" cm="1">
        <f t="array" ref="DZ22">IF(DZ12=$L$8,SUM(EA14:EL14/$L$9),0)</f>
        <v>0</v>
      </c>
      <c r="EA22" s="13" cm="1">
        <f t="array" ref="EA22">IF(EA12=$L$8,SUM(EB14:EM14/$L$9),0)</f>
        <v>0</v>
      </c>
      <c r="EB22" s="13" cm="1">
        <f t="array" ref="EB22">IF(EB12=$L$8,SUM(EC14:EN14/$L$9),0)</f>
        <v>0</v>
      </c>
      <c r="EC22" s="13" cm="1">
        <f t="array" ref="EC22">IF(EC12=$L$8,SUM(ED14:EO14/$L$9),0)</f>
        <v>0</v>
      </c>
      <c r="ED22" s="13" cm="1">
        <f t="array" ref="ED22">IF(ED12=$L$8,SUM(EE14:EP14/$L$9),0)</f>
        <v>0</v>
      </c>
      <c r="EE22" s="29" cm="1">
        <f t="array" ref="EE22">IF(EE12=$L$8,SUM(EF14:EQ14/$L$9),0)</f>
        <v>0</v>
      </c>
    </row>
    <row r="23" spans="2:135" x14ac:dyDescent="0.35">
      <c r="B23" s="34" t="s">
        <v>43</v>
      </c>
      <c r="C23" s="28">
        <v>0</v>
      </c>
      <c r="D23" s="13">
        <f>D22*-$L$10</f>
        <v>0</v>
      </c>
      <c r="E23" s="13">
        <f t="shared" ref="E23:BP23" si="17">E22*-$L$10</f>
        <v>0</v>
      </c>
      <c r="F23" s="13">
        <f t="shared" si="17"/>
        <v>0</v>
      </c>
      <c r="G23" s="13">
        <f t="shared" si="17"/>
        <v>0</v>
      </c>
      <c r="H23" s="13">
        <f t="shared" si="17"/>
        <v>0</v>
      </c>
      <c r="I23" s="13">
        <f t="shared" si="17"/>
        <v>0</v>
      </c>
      <c r="J23" s="13">
        <f t="shared" si="17"/>
        <v>0</v>
      </c>
      <c r="K23" s="13">
        <f t="shared" si="17"/>
        <v>0</v>
      </c>
      <c r="L23" s="13">
        <f t="shared" si="17"/>
        <v>0</v>
      </c>
      <c r="M23" s="13">
        <f t="shared" si="17"/>
        <v>0</v>
      </c>
      <c r="N23" s="13">
        <f t="shared" si="17"/>
        <v>0</v>
      </c>
      <c r="O23" s="13">
        <f t="shared" si="17"/>
        <v>0</v>
      </c>
      <c r="P23" s="13">
        <f t="shared" si="17"/>
        <v>0</v>
      </c>
      <c r="Q23" s="13">
        <f t="shared" si="17"/>
        <v>0</v>
      </c>
      <c r="R23" s="13">
        <f t="shared" si="17"/>
        <v>0</v>
      </c>
      <c r="S23" s="13">
        <f t="shared" si="17"/>
        <v>0</v>
      </c>
      <c r="T23" s="13">
        <f t="shared" si="17"/>
        <v>0</v>
      </c>
      <c r="U23" s="13">
        <f t="shared" si="17"/>
        <v>0</v>
      </c>
      <c r="V23" s="13">
        <f t="shared" si="17"/>
        <v>0</v>
      </c>
      <c r="W23" s="13">
        <f t="shared" si="17"/>
        <v>0</v>
      </c>
      <c r="X23" s="13">
        <f t="shared" si="17"/>
        <v>0</v>
      </c>
      <c r="Y23" s="13">
        <f t="shared" si="17"/>
        <v>0</v>
      </c>
      <c r="Z23" s="13">
        <f t="shared" si="17"/>
        <v>0</v>
      </c>
      <c r="AA23" s="13">
        <f t="shared" si="17"/>
        <v>0</v>
      </c>
      <c r="AB23" s="13">
        <f t="shared" si="17"/>
        <v>0</v>
      </c>
      <c r="AC23" s="13">
        <f t="shared" si="17"/>
        <v>0</v>
      </c>
      <c r="AD23" s="13">
        <f t="shared" si="17"/>
        <v>0</v>
      </c>
      <c r="AE23" s="13">
        <f t="shared" si="17"/>
        <v>0</v>
      </c>
      <c r="AF23" s="13">
        <f t="shared" si="17"/>
        <v>0</v>
      </c>
      <c r="AG23" s="13">
        <f t="shared" si="17"/>
        <v>0</v>
      </c>
      <c r="AH23" s="13">
        <f t="shared" si="17"/>
        <v>0</v>
      </c>
      <c r="AI23" s="13">
        <f t="shared" si="17"/>
        <v>0</v>
      </c>
      <c r="AJ23" s="13">
        <f t="shared" si="17"/>
        <v>0</v>
      </c>
      <c r="AK23" s="13">
        <f t="shared" si="17"/>
        <v>0</v>
      </c>
      <c r="AL23" s="13">
        <f t="shared" si="17"/>
        <v>0</v>
      </c>
      <c r="AM23" s="13">
        <f t="shared" si="17"/>
        <v>0</v>
      </c>
      <c r="AN23" s="13">
        <f t="shared" si="17"/>
        <v>0</v>
      </c>
      <c r="AO23" s="13">
        <f t="shared" si="17"/>
        <v>0</v>
      </c>
      <c r="AP23" s="13">
        <f t="shared" si="17"/>
        <v>0</v>
      </c>
      <c r="AQ23" s="13">
        <f t="shared" si="17"/>
        <v>0</v>
      </c>
      <c r="AR23" s="13">
        <f t="shared" si="17"/>
        <v>0</v>
      </c>
      <c r="AS23" s="13">
        <f t="shared" si="17"/>
        <v>0</v>
      </c>
      <c r="AT23" s="13">
        <f t="shared" si="17"/>
        <v>0</v>
      </c>
      <c r="AU23" s="13">
        <f t="shared" si="17"/>
        <v>0</v>
      </c>
      <c r="AV23" s="13">
        <f t="shared" si="17"/>
        <v>0</v>
      </c>
      <c r="AW23" s="13">
        <f t="shared" si="17"/>
        <v>0</v>
      </c>
      <c r="AX23" s="13">
        <f t="shared" si="17"/>
        <v>0</v>
      </c>
      <c r="AY23" s="13">
        <f t="shared" si="17"/>
        <v>0</v>
      </c>
      <c r="AZ23" s="13">
        <f t="shared" si="17"/>
        <v>0</v>
      </c>
      <c r="BA23" s="13">
        <f t="shared" si="17"/>
        <v>0</v>
      </c>
      <c r="BB23" s="13">
        <f t="shared" si="17"/>
        <v>0</v>
      </c>
      <c r="BC23" s="13">
        <f t="shared" si="17"/>
        <v>0</v>
      </c>
      <c r="BD23" s="13">
        <f t="shared" si="17"/>
        <v>0</v>
      </c>
      <c r="BE23" s="13">
        <f t="shared" si="17"/>
        <v>0</v>
      </c>
      <c r="BF23" s="13">
        <f t="shared" si="17"/>
        <v>0</v>
      </c>
      <c r="BG23" s="13">
        <f t="shared" si="17"/>
        <v>0</v>
      </c>
      <c r="BH23" s="13">
        <f t="shared" si="17"/>
        <v>0</v>
      </c>
      <c r="BI23" s="13">
        <f t="shared" si="17"/>
        <v>0</v>
      </c>
      <c r="BJ23" s="13">
        <f t="shared" si="17"/>
        <v>0</v>
      </c>
      <c r="BK23" s="13">
        <f t="shared" si="17"/>
        <v>-239299.87316547905</v>
      </c>
      <c r="BL23" s="13">
        <f t="shared" si="17"/>
        <v>0</v>
      </c>
      <c r="BM23" s="13">
        <f t="shared" si="17"/>
        <v>0</v>
      </c>
      <c r="BN23" s="13">
        <f t="shared" si="17"/>
        <v>0</v>
      </c>
      <c r="BO23" s="13">
        <f t="shared" si="17"/>
        <v>0</v>
      </c>
      <c r="BP23" s="13">
        <f t="shared" si="17"/>
        <v>0</v>
      </c>
      <c r="BQ23" s="13">
        <f t="shared" ref="BQ23:EB23" si="18">BQ22*-$L$10</f>
        <v>0</v>
      </c>
      <c r="BR23" s="13">
        <f t="shared" si="18"/>
        <v>0</v>
      </c>
      <c r="BS23" s="13">
        <f t="shared" si="18"/>
        <v>0</v>
      </c>
      <c r="BT23" s="13">
        <f t="shared" si="18"/>
        <v>0</v>
      </c>
      <c r="BU23" s="13">
        <f t="shared" si="18"/>
        <v>0</v>
      </c>
      <c r="BV23" s="13">
        <f t="shared" si="18"/>
        <v>0</v>
      </c>
      <c r="BW23" s="13">
        <f t="shared" si="18"/>
        <v>0</v>
      </c>
      <c r="BX23" s="13">
        <f t="shared" si="18"/>
        <v>0</v>
      </c>
      <c r="BY23" s="13">
        <f t="shared" si="18"/>
        <v>0</v>
      </c>
      <c r="BZ23" s="13">
        <f t="shared" si="18"/>
        <v>0</v>
      </c>
      <c r="CA23" s="13">
        <f t="shared" si="18"/>
        <v>0</v>
      </c>
      <c r="CB23" s="13">
        <f t="shared" si="18"/>
        <v>0</v>
      </c>
      <c r="CC23" s="13">
        <f t="shared" si="18"/>
        <v>0</v>
      </c>
      <c r="CD23" s="13">
        <f t="shared" si="18"/>
        <v>0</v>
      </c>
      <c r="CE23" s="13">
        <f t="shared" si="18"/>
        <v>0</v>
      </c>
      <c r="CF23" s="13">
        <f t="shared" si="18"/>
        <v>0</v>
      </c>
      <c r="CG23" s="13">
        <f t="shared" si="18"/>
        <v>0</v>
      </c>
      <c r="CH23" s="13">
        <f t="shared" si="18"/>
        <v>0</v>
      </c>
      <c r="CI23" s="13">
        <f t="shared" si="18"/>
        <v>0</v>
      </c>
      <c r="CJ23" s="13">
        <f t="shared" si="18"/>
        <v>0</v>
      </c>
      <c r="CK23" s="13">
        <f t="shared" si="18"/>
        <v>0</v>
      </c>
      <c r="CL23" s="13">
        <f t="shared" si="18"/>
        <v>0</v>
      </c>
      <c r="CM23" s="13">
        <f t="shared" si="18"/>
        <v>0</v>
      </c>
      <c r="CN23" s="13">
        <f t="shared" si="18"/>
        <v>0</v>
      </c>
      <c r="CO23" s="13">
        <f t="shared" si="18"/>
        <v>0</v>
      </c>
      <c r="CP23" s="13">
        <f t="shared" si="18"/>
        <v>0</v>
      </c>
      <c r="CQ23" s="13">
        <f t="shared" si="18"/>
        <v>0</v>
      </c>
      <c r="CR23" s="13">
        <f t="shared" si="18"/>
        <v>0</v>
      </c>
      <c r="CS23" s="13">
        <f t="shared" si="18"/>
        <v>0</v>
      </c>
      <c r="CT23" s="13">
        <f t="shared" si="18"/>
        <v>0</v>
      </c>
      <c r="CU23" s="13">
        <f t="shared" si="18"/>
        <v>0</v>
      </c>
      <c r="CV23" s="13">
        <f t="shared" si="18"/>
        <v>0</v>
      </c>
      <c r="CW23" s="13">
        <f t="shared" si="18"/>
        <v>0</v>
      </c>
      <c r="CX23" s="13">
        <f t="shared" si="18"/>
        <v>0</v>
      </c>
      <c r="CY23" s="13">
        <f t="shared" si="18"/>
        <v>0</v>
      </c>
      <c r="CZ23" s="13">
        <f t="shared" si="18"/>
        <v>0</v>
      </c>
      <c r="DA23" s="13">
        <f t="shared" si="18"/>
        <v>0</v>
      </c>
      <c r="DB23" s="13">
        <f t="shared" si="18"/>
        <v>0</v>
      </c>
      <c r="DC23" s="13">
        <f t="shared" si="18"/>
        <v>0</v>
      </c>
      <c r="DD23" s="13">
        <f t="shared" si="18"/>
        <v>0</v>
      </c>
      <c r="DE23" s="13">
        <f t="shared" si="18"/>
        <v>0</v>
      </c>
      <c r="DF23" s="13">
        <f t="shared" si="18"/>
        <v>0</v>
      </c>
      <c r="DG23" s="13">
        <f t="shared" si="18"/>
        <v>0</v>
      </c>
      <c r="DH23" s="13">
        <f t="shared" si="18"/>
        <v>0</v>
      </c>
      <c r="DI23" s="13">
        <f t="shared" si="18"/>
        <v>0</v>
      </c>
      <c r="DJ23" s="13">
        <f t="shared" si="18"/>
        <v>0</v>
      </c>
      <c r="DK23" s="13">
        <f t="shared" si="18"/>
        <v>0</v>
      </c>
      <c r="DL23" s="13">
        <f t="shared" si="18"/>
        <v>0</v>
      </c>
      <c r="DM23" s="13">
        <f t="shared" si="18"/>
        <v>0</v>
      </c>
      <c r="DN23" s="13">
        <f t="shared" si="18"/>
        <v>0</v>
      </c>
      <c r="DO23" s="13">
        <f t="shared" si="18"/>
        <v>0</v>
      </c>
      <c r="DP23" s="13">
        <f t="shared" si="18"/>
        <v>0</v>
      </c>
      <c r="DQ23" s="13">
        <f t="shared" si="18"/>
        <v>0</v>
      </c>
      <c r="DR23" s="13">
        <f t="shared" si="18"/>
        <v>0</v>
      </c>
      <c r="DS23" s="13">
        <f t="shared" si="18"/>
        <v>0</v>
      </c>
      <c r="DT23" s="13">
        <f t="shared" si="18"/>
        <v>0</v>
      </c>
      <c r="DU23" s="13">
        <f t="shared" si="18"/>
        <v>0</v>
      </c>
      <c r="DV23" s="13">
        <f t="shared" si="18"/>
        <v>0</v>
      </c>
      <c r="DW23" s="13">
        <f t="shared" si="18"/>
        <v>0</v>
      </c>
      <c r="DX23" s="13">
        <f t="shared" si="18"/>
        <v>0</v>
      </c>
      <c r="DY23" s="13">
        <f t="shared" si="18"/>
        <v>0</v>
      </c>
      <c r="DZ23" s="13">
        <f t="shared" si="18"/>
        <v>0</v>
      </c>
      <c r="EA23" s="13">
        <f t="shared" si="18"/>
        <v>0</v>
      </c>
      <c r="EB23" s="13">
        <f t="shared" si="18"/>
        <v>0</v>
      </c>
      <c r="EC23" s="13">
        <f t="shared" ref="EC23:EE23" si="19">EC22*-$L$10</f>
        <v>0</v>
      </c>
      <c r="ED23" s="13">
        <f t="shared" si="19"/>
        <v>0</v>
      </c>
      <c r="EE23" s="29">
        <f t="shared" si="19"/>
        <v>0</v>
      </c>
    </row>
    <row r="24" spans="2:135" x14ac:dyDescent="0.35">
      <c r="B24" s="34" t="s">
        <v>30</v>
      </c>
      <c r="C24" s="28">
        <v>0</v>
      </c>
      <c r="D24" s="13">
        <f>D22*-O4</f>
        <v>0</v>
      </c>
      <c r="E24" s="13">
        <f t="shared" ref="E24:BP24" si="20">E22*-P4</f>
        <v>0</v>
      </c>
      <c r="F24" s="13">
        <f t="shared" si="20"/>
        <v>0</v>
      </c>
      <c r="G24" s="13">
        <f t="shared" si="20"/>
        <v>0</v>
      </c>
      <c r="H24" s="13">
        <f t="shared" si="20"/>
        <v>0</v>
      </c>
      <c r="I24" s="13">
        <f t="shared" si="20"/>
        <v>0</v>
      </c>
      <c r="J24" s="13">
        <f t="shared" si="20"/>
        <v>0</v>
      </c>
      <c r="K24" s="13">
        <f t="shared" si="20"/>
        <v>0</v>
      </c>
      <c r="L24" s="13">
        <f t="shared" si="20"/>
        <v>0</v>
      </c>
      <c r="M24" s="13">
        <f t="shared" si="20"/>
        <v>0</v>
      </c>
      <c r="N24" s="13">
        <f t="shared" si="20"/>
        <v>0</v>
      </c>
      <c r="O24" s="13">
        <f t="shared" si="20"/>
        <v>0</v>
      </c>
      <c r="P24" s="13">
        <f t="shared" si="20"/>
        <v>0</v>
      </c>
      <c r="Q24" s="13">
        <f t="shared" si="20"/>
        <v>0</v>
      </c>
      <c r="R24" s="13">
        <f t="shared" si="20"/>
        <v>0</v>
      </c>
      <c r="S24" s="13">
        <f t="shared" si="20"/>
        <v>0</v>
      </c>
      <c r="T24" s="13">
        <f t="shared" si="20"/>
        <v>0</v>
      </c>
      <c r="U24" s="13">
        <f t="shared" si="20"/>
        <v>0</v>
      </c>
      <c r="V24" s="13">
        <f t="shared" si="20"/>
        <v>0</v>
      </c>
      <c r="W24" s="13">
        <f t="shared" si="20"/>
        <v>0</v>
      </c>
      <c r="X24" s="13">
        <f t="shared" si="20"/>
        <v>0</v>
      </c>
      <c r="Y24" s="13">
        <f t="shared" si="20"/>
        <v>0</v>
      </c>
      <c r="Z24" s="13">
        <f t="shared" si="20"/>
        <v>0</v>
      </c>
      <c r="AA24" s="13">
        <f t="shared" si="20"/>
        <v>0</v>
      </c>
      <c r="AB24" s="13">
        <f t="shared" si="20"/>
        <v>0</v>
      </c>
      <c r="AC24" s="13">
        <f t="shared" si="20"/>
        <v>0</v>
      </c>
      <c r="AD24" s="13">
        <f t="shared" si="20"/>
        <v>0</v>
      </c>
      <c r="AE24" s="13">
        <f t="shared" si="20"/>
        <v>0</v>
      </c>
      <c r="AF24" s="13">
        <f t="shared" si="20"/>
        <v>0</v>
      </c>
      <c r="AG24" s="13">
        <f t="shared" si="20"/>
        <v>0</v>
      </c>
      <c r="AH24" s="13">
        <f t="shared" si="20"/>
        <v>0</v>
      </c>
      <c r="AI24" s="13">
        <f t="shared" si="20"/>
        <v>0</v>
      </c>
      <c r="AJ24" s="13">
        <f t="shared" si="20"/>
        <v>0</v>
      </c>
      <c r="AK24" s="13">
        <f t="shared" si="20"/>
        <v>0</v>
      </c>
      <c r="AL24" s="13">
        <f t="shared" si="20"/>
        <v>0</v>
      </c>
      <c r="AM24" s="13">
        <f t="shared" si="20"/>
        <v>0</v>
      </c>
      <c r="AN24" s="13">
        <f t="shared" si="20"/>
        <v>0</v>
      </c>
      <c r="AO24" s="13">
        <f t="shared" si="20"/>
        <v>0</v>
      </c>
      <c r="AP24" s="13">
        <f t="shared" si="20"/>
        <v>0</v>
      </c>
      <c r="AQ24" s="13">
        <f t="shared" si="20"/>
        <v>0</v>
      </c>
      <c r="AR24" s="13">
        <f t="shared" si="20"/>
        <v>0</v>
      </c>
      <c r="AS24" s="13">
        <f t="shared" si="20"/>
        <v>0</v>
      </c>
      <c r="AT24" s="13">
        <f t="shared" si="20"/>
        <v>0</v>
      </c>
      <c r="AU24" s="13">
        <f t="shared" si="20"/>
        <v>0</v>
      </c>
      <c r="AV24" s="13">
        <f t="shared" si="20"/>
        <v>0</v>
      </c>
      <c r="AW24" s="13">
        <f t="shared" si="20"/>
        <v>0</v>
      </c>
      <c r="AX24" s="13">
        <f t="shared" si="20"/>
        <v>0</v>
      </c>
      <c r="AY24" s="13">
        <f t="shared" si="20"/>
        <v>0</v>
      </c>
      <c r="AZ24" s="13">
        <f t="shared" si="20"/>
        <v>0</v>
      </c>
      <c r="BA24" s="13">
        <f t="shared" si="20"/>
        <v>0</v>
      </c>
      <c r="BB24" s="13">
        <f t="shared" si="20"/>
        <v>0</v>
      </c>
      <c r="BC24" s="13">
        <f t="shared" si="20"/>
        <v>0</v>
      </c>
      <c r="BD24" s="13">
        <f t="shared" si="20"/>
        <v>0</v>
      </c>
      <c r="BE24" s="13">
        <f t="shared" si="20"/>
        <v>0</v>
      </c>
      <c r="BF24" s="13">
        <f t="shared" si="20"/>
        <v>0</v>
      </c>
      <c r="BG24" s="13">
        <f t="shared" si="20"/>
        <v>0</v>
      </c>
      <c r="BH24" s="13">
        <f t="shared" si="20"/>
        <v>0</v>
      </c>
      <c r="BI24" s="13">
        <f t="shared" si="20"/>
        <v>0</v>
      </c>
      <c r="BJ24" s="13">
        <f t="shared" si="20"/>
        <v>0</v>
      </c>
      <c r="BK24" s="13">
        <f t="shared" si="20"/>
        <v>0</v>
      </c>
      <c r="BL24" s="13">
        <f t="shared" si="20"/>
        <v>0</v>
      </c>
      <c r="BM24" s="13">
        <f t="shared" si="20"/>
        <v>0</v>
      </c>
      <c r="BN24" s="13">
        <f t="shared" si="20"/>
        <v>0</v>
      </c>
      <c r="BO24" s="13">
        <f t="shared" si="20"/>
        <v>0</v>
      </c>
      <c r="BP24" s="13">
        <f t="shared" si="20"/>
        <v>0</v>
      </c>
      <c r="BQ24" s="13">
        <f t="shared" ref="BQ24:EB24" si="21">BQ22*-CB4</f>
        <v>0</v>
      </c>
      <c r="BR24" s="13">
        <f t="shared" si="21"/>
        <v>0</v>
      </c>
      <c r="BS24" s="13">
        <f t="shared" si="21"/>
        <v>0</v>
      </c>
      <c r="BT24" s="13">
        <f t="shared" si="21"/>
        <v>0</v>
      </c>
      <c r="BU24" s="13">
        <f t="shared" si="21"/>
        <v>0</v>
      </c>
      <c r="BV24" s="13">
        <f t="shared" si="21"/>
        <v>0</v>
      </c>
      <c r="BW24" s="13">
        <f t="shared" si="21"/>
        <v>0</v>
      </c>
      <c r="BX24" s="13">
        <f t="shared" si="21"/>
        <v>0</v>
      </c>
      <c r="BY24" s="13">
        <f t="shared" si="21"/>
        <v>0</v>
      </c>
      <c r="BZ24" s="13">
        <f t="shared" si="21"/>
        <v>0</v>
      </c>
      <c r="CA24" s="13">
        <f t="shared" si="21"/>
        <v>0</v>
      </c>
      <c r="CB24" s="13">
        <f t="shared" si="21"/>
        <v>0</v>
      </c>
      <c r="CC24" s="13">
        <f t="shared" si="21"/>
        <v>0</v>
      </c>
      <c r="CD24" s="13">
        <f t="shared" si="21"/>
        <v>0</v>
      </c>
      <c r="CE24" s="13">
        <f t="shared" si="21"/>
        <v>0</v>
      </c>
      <c r="CF24" s="13">
        <f t="shared" si="21"/>
        <v>0</v>
      </c>
      <c r="CG24" s="13">
        <f t="shared" si="21"/>
        <v>0</v>
      </c>
      <c r="CH24" s="13">
        <f t="shared" si="21"/>
        <v>0</v>
      </c>
      <c r="CI24" s="13">
        <f t="shared" si="21"/>
        <v>0</v>
      </c>
      <c r="CJ24" s="13">
        <f t="shared" si="21"/>
        <v>0</v>
      </c>
      <c r="CK24" s="13">
        <f t="shared" si="21"/>
        <v>0</v>
      </c>
      <c r="CL24" s="13">
        <f t="shared" si="21"/>
        <v>0</v>
      </c>
      <c r="CM24" s="13">
        <f t="shared" si="21"/>
        <v>0</v>
      </c>
      <c r="CN24" s="13">
        <f t="shared" si="21"/>
        <v>0</v>
      </c>
      <c r="CO24" s="13">
        <f t="shared" si="21"/>
        <v>0</v>
      </c>
      <c r="CP24" s="13">
        <f t="shared" si="21"/>
        <v>0</v>
      </c>
      <c r="CQ24" s="13">
        <f t="shared" si="21"/>
        <v>0</v>
      </c>
      <c r="CR24" s="13">
        <f t="shared" si="21"/>
        <v>0</v>
      </c>
      <c r="CS24" s="13">
        <f t="shared" si="21"/>
        <v>0</v>
      </c>
      <c r="CT24" s="13">
        <f t="shared" si="21"/>
        <v>0</v>
      </c>
      <c r="CU24" s="13">
        <f t="shared" si="21"/>
        <v>0</v>
      </c>
      <c r="CV24" s="13">
        <f t="shared" si="21"/>
        <v>0</v>
      </c>
      <c r="CW24" s="13">
        <f t="shared" si="21"/>
        <v>0</v>
      </c>
      <c r="CX24" s="13">
        <f t="shared" si="21"/>
        <v>0</v>
      </c>
      <c r="CY24" s="13">
        <f t="shared" si="21"/>
        <v>0</v>
      </c>
      <c r="CZ24" s="13">
        <f t="shared" si="21"/>
        <v>0</v>
      </c>
      <c r="DA24" s="13">
        <f t="shared" si="21"/>
        <v>0</v>
      </c>
      <c r="DB24" s="13">
        <f t="shared" si="21"/>
        <v>0</v>
      </c>
      <c r="DC24" s="13">
        <f t="shared" si="21"/>
        <v>0</v>
      </c>
      <c r="DD24" s="13">
        <f t="shared" si="21"/>
        <v>0</v>
      </c>
      <c r="DE24" s="13">
        <f t="shared" si="21"/>
        <v>0</v>
      </c>
      <c r="DF24" s="13">
        <f t="shared" si="21"/>
        <v>0</v>
      </c>
      <c r="DG24" s="13">
        <f t="shared" si="21"/>
        <v>0</v>
      </c>
      <c r="DH24" s="13">
        <f t="shared" si="21"/>
        <v>0</v>
      </c>
      <c r="DI24" s="13">
        <f t="shared" si="21"/>
        <v>0</v>
      </c>
      <c r="DJ24" s="13">
        <f t="shared" si="21"/>
        <v>0</v>
      </c>
      <c r="DK24" s="13">
        <f t="shared" si="21"/>
        <v>0</v>
      </c>
      <c r="DL24" s="13">
        <f t="shared" si="21"/>
        <v>0</v>
      </c>
      <c r="DM24" s="13">
        <f t="shared" si="21"/>
        <v>0</v>
      </c>
      <c r="DN24" s="13">
        <f t="shared" si="21"/>
        <v>0</v>
      </c>
      <c r="DO24" s="13">
        <f t="shared" si="21"/>
        <v>0</v>
      </c>
      <c r="DP24" s="13">
        <f t="shared" si="21"/>
        <v>0</v>
      </c>
      <c r="DQ24" s="13">
        <f t="shared" si="21"/>
        <v>0</v>
      </c>
      <c r="DR24" s="13">
        <f t="shared" si="21"/>
        <v>0</v>
      </c>
      <c r="DS24" s="13">
        <f t="shared" si="21"/>
        <v>0</v>
      </c>
      <c r="DT24" s="13">
        <f t="shared" si="21"/>
        <v>0</v>
      </c>
      <c r="DU24" s="13">
        <f t="shared" si="21"/>
        <v>0</v>
      </c>
      <c r="DV24" s="13">
        <f t="shared" si="21"/>
        <v>0</v>
      </c>
      <c r="DW24" s="13">
        <f t="shared" si="21"/>
        <v>0</v>
      </c>
      <c r="DX24" s="13">
        <f t="shared" si="21"/>
        <v>0</v>
      </c>
      <c r="DY24" s="13">
        <f t="shared" si="21"/>
        <v>0</v>
      </c>
      <c r="DZ24" s="13">
        <f t="shared" si="21"/>
        <v>0</v>
      </c>
      <c r="EA24" s="13">
        <f t="shared" si="21"/>
        <v>0</v>
      </c>
      <c r="EB24" s="13">
        <f t="shared" si="21"/>
        <v>0</v>
      </c>
      <c r="EC24" s="13">
        <f t="shared" ref="EC24:EE24" si="22">EC22*-EN4</f>
        <v>0</v>
      </c>
      <c r="ED24" s="13">
        <f t="shared" si="22"/>
        <v>0</v>
      </c>
      <c r="EE24" s="29">
        <f t="shared" si="22"/>
        <v>0</v>
      </c>
    </row>
    <row r="25" spans="2:135" x14ac:dyDescent="0.35">
      <c r="B25" s="34" t="s">
        <v>44</v>
      </c>
      <c r="C25" s="28">
        <v>0</v>
      </c>
      <c r="D25" s="13">
        <f>IF(D12=$L$8,-($C$20+SUM($D$15:D15)),0)</f>
        <v>0</v>
      </c>
      <c r="E25" s="13">
        <f>IF(E12=$L$8,-($C$20+SUM($D$15:E15)),0)</f>
        <v>0</v>
      </c>
      <c r="F25" s="13">
        <f>IF(F12=$L$8,-($C$20+SUM($D$15:F15)),0)</f>
        <v>0</v>
      </c>
      <c r="G25" s="13">
        <f>IF(G12=$L$8,-($C$20+SUM($D$15:G15)),0)</f>
        <v>0</v>
      </c>
      <c r="H25" s="13">
        <f>IF(H12=$L$8,-($C$20+SUM($D$15:H15)),0)</f>
        <v>0</v>
      </c>
      <c r="I25" s="13">
        <f>IF(I12=$L$8,-($C$20+SUM($D$15:I15)),0)</f>
        <v>0</v>
      </c>
      <c r="J25" s="13">
        <f>IF(J12=$L$8,-($C$20+SUM($D$15:J15)),0)</f>
        <v>0</v>
      </c>
      <c r="K25" s="13">
        <f>IF(K12=$L$8,-($C$20+SUM($D$15:K15)),0)</f>
        <v>0</v>
      </c>
      <c r="L25" s="13">
        <f>IF(L12=$L$8,-($C$20+SUM($D$15:L15)),0)</f>
        <v>0</v>
      </c>
      <c r="M25" s="13">
        <f>IF(M12=$L$8,-($C$20+SUM($D$15:M15)),0)</f>
        <v>0</v>
      </c>
      <c r="N25" s="13">
        <f>IF(N12=$L$8,-($C$20+SUM($D$15:N15)),0)</f>
        <v>0</v>
      </c>
      <c r="O25" s="13">
        <f>IF(O12=$L$8,-($C$20+SUM($D$15:O15)),0)</f>
        <v>0</v>
      </c>
      <c r="P25" s="13">
        <f>IF(P12=$L$8,-($C$20+SUM($D$15:P15)),0)</f>
        <v>0</v>
      </c>
      <c r="Q25" s="13">
        <f>IF(Q12=$L$8,-($C$20+SUM($D$15:Q15)),0)</f>
        <v>0</v>
      </c>
      <c r="R25" s="13">
        <f>IF(R12=$L$8,-($C$20+SUM($D$15:R15)),0)</f>
        <v>0</v>
      </c>
      <c r="S25" s="13">
        <f>IF(S12=$L$8,-($C$20+SUM($D$15:S15)),0)</f>
        <v>0</v>
      </c>
      <c r="T25" s="13">
        <f>IF(T12=$L$8,-($C$20+SUM($D$15:T15)),0)</f>
        <v>0</v>
      </c>
      <c r="U25" s="13">
        <f>IF(U12=$L$8,-($C$20+SUM($D$15:U15)),0)</f>
        <v>0</v>
      </c>
      <c r="V25" s="13">
        <f>IF(V12=$L$8,-($C$20+SUM($D$15:V15)),0)</f>
        <v>0</v>
      </c>
      <c r="W25" s="13">
        <f>IF(W12=$L$8,-($C$20+SUM($D$15:W15)),0)</f>
        <v>0</v>
      </c>
      <c r="X25" s="13">
        <f>IF(X12=$L$8,-($C$20+SUM($D$15:X15)),0)</f>
        <v>0</v>
      </c>
      <c r="Y25" s="13">
        <f>IF(Y12=$L$8,-($C$20+SUM($D$15:Y15)),0)</f>
        <v>0</v>
      </c>
      <c r="Z25" s="13">
        <f>IF(Z12=$L$8,-($C$20+SUM($D$15:Z15)),0)</f>
        <v>0</v>
      </c>
      <c r="AA25" s="13">
        <f>IF(AA12=$L$8,-($C$20+SUM($D$15:AA15)),0)</f>
        <v>0</v>
      </c>
      <c r="AB25" s="13">
        <f>IF(AB12=$L$8,-($C$20+SUM($D$15:AB15)),0)</f>
        <v>0</v>
      </c>
      <c r="AC25" s="13">
        <f>IF(AC12=$L$8,-($C$20+SUM($D$15:AC15)),0)</f>
        <v>0</v>
      </c>
      <c r="AD25" s="13">
        <f>IF(AD12=$L$8,-($C$20+SUM($D$15:AD15)),0)</f>
        <v>0</v>
      </c>
      <c r="AE25" s="13">
        <f>IF(AE12=$L$8,-($C$20+SUM($D$15:AE15)),0)</f>
        <v>0</v>
      </c>
      <c r="AF25" s="13">
        <f>IF(AF12=$L$8,-($C$20+SUM($D$15:AF15)),0)</f>
        <v>0</v>
      </c>
      <c r="AG25" s="13">
        <f>IF(AG12=$L$8,-($C$20+SUM($D$15:AG15)),0)</f>
        <v>0</v>
      </c>
      <c r="AH25" s="13">
        <f>IF(AH12=$L$8,-($C$20+SUM($D$15:AH15)),0)</f>
        <v>0</v>
      </c>
      <c r="AI25" s="13">
        <f>IF(AI12=$L$8,-($C$20+SUM($D$15:AI15)),0)</f>
        <v>0</v>
      </c>
      <c r="AJ25" s="13">
        <f>IF(AJ12=$L$8,-($C$20+SUM($D$15:AJ15)),0)</f>
        <v>0</v>
      </c>
      <c r="AK25" s="13">
        <f>IF(AK12=$L$8,-($C$20+SUM($D$15:AK15)),0)</f>
        <v>0</v>
      </c>
      <c r="AL25" s="13">
        <f>IF(AL12=$L$8,-($C$20+SUM($D$15:AL15)),0)</f>
        <v>0</v>
      </c>
      <c r="AM25" s="13">
        <f>IF(AM12=$L$8,-($C$20+SUM($D$15:AM15)),0)</f>
        <v>0</v>
      </c>
      <c r="AN25" s="13">
        <f>IF(AN12=$L$8,-($C$20+SUM($D$15:AN15)),0)</f>
        <v>0</v>
      </c>
      <c r="AO25" s="13">
        <f>IF(AO12=$L$8,-($C$20+SUM($D$15:AO15)),0)</f>
        <v>0</v>
      </c>
      <c r="AP25" s="13">
        <f>IF(AP12=$L$8,-($C$20+SUM($D$15:AP15)),0)</f>
        <v>0</v>
      </c>
      <c r="AQ25" s="13">
        <f>IF(AQ12=$L$8,-($C$20+SUM($D$15:AQ15)),0)</f>
        <v>0</v>
      </c>
      <c r="AR25" s="13">
        <f>IF(AR12=$L$8,-($C$20+SUM($D$15:AR15)),0)</f>
        <v>0</v>
      </c>
      <c r="AS25" s="13">
        <f>IF(AS12=$L$8,-($C$20+SUM($D$15:AS15)),0)</f>
        <v>0</v>
      </c>
      <c r="AT25" s="13">
        <f>IF(AT12=$L$8,-($C$20+SUM($D$15:AT15)),0)</f>
        <v>0</v>
      </c>
      <c r="AU25" s="13">
        <f>IF(AU12=$L$8,-($C$20+SUM($D$15:AU15)),0)</f>
        <v>0</v>
      </c>
      <c r="AV25" s="13">
        <f>IF(AV12=$L$8,-($C$20+SUM($D$15:AV15)),0)</f>
        <v>0</v>
      </c>
      <c r="AW25" s="13">
        <f>IF(AW12=$L$8,-($C$20+SUM($D$15:AW15)),0)</f>
        <v>0</v>
      </c>
      <c r="AX25" s="13">
        <f>IF(AX12=$L$8,-($C$20+SUM($D$15:AX15)),0)</f>
        <v>0</v>
      </c>
      <c r="AY25" s="13">
        <f>IF(AY12=$L$8,-($C$20+SUM($D$15:AY15)),0)</f>
        <v>0</v>
      </c>
      <c r="AZ25" s="13">
        <f>IF(AZ12=$L$8,-($C$20+SUM($D$15:AZ15)),0)</f>
        <v>0</v>
      </c>
      <c r="BA25" s="13">
        <f>IF(BA12=$L$8,-($C$20+SUM($D$15:BA15)),0)</f>
        <v>0</v>
      </c>
      <c r="BB25" s="13">
        <f>IF(BB12=$L$8,-($C$20+SUM($D$15:BB15)),0)</f>
        <v>0</v>
      </c>
      <c r="BC25" s="13">
        <f>IF(BC12=$L$8,-($C$20+SUM($D$15:BC15)),0)</f>
        <v>0</v>
      </c>
      <c r="BD25" s="13">
        <f>IF(BD12=$L$8,-($C$20+SUM($D$15:BD15)),0)</f>
        <v>0</v>
      </c>
      <c r="BE25" s="13">
        <f>IF(BE12=$L$8,-($C$20+SUM($D$15:BE15)),0)</f>
        <v>0</v>
      </c>
      <c r="BF25" s="13">
        <f>IF(BF12=$L$8,-($C$20+SUM($D$15:BF15)),0)</f>
        <v>0</v>
      </c>
      <c r="BG25" s="13">
        <f>IF(BG12=$L$8,-($C$20+SUM($D$15:BG15)),0)</f>
        <v>0</v>
      </c>
      <c r="BH25" s="13">
        <f>IF(BH12=$L$8,-($C$20+SUM($D$15:BH15)),0)</f>
        <v>0</v>
      </c>
      <c r="BI25" s="13">
        <f>IF(BI12=$L$8,-($C$20+SUM($D$15:BI15)),0)</f>
        <v>0</v>
      </c>
      <c r="BJ25" s="13">
        <f>IF(BJ12=$L$8,-($C$20+SUM($D$15:BJ15)),0)</f>
        <v>0</v>
      </c>
      <c r="BK25" s="13">
        <f>IF(BK12=$L$8,-($C$20+SUM($D$15:BK15)),0)</f>
        <v>-5855025.6190385837</v>
      </c>
      <c r="BL25" s="13">
        <f>IF(BL12=$L$8,-($C$20+SUM($D$15:BL15)),0)</f>
        <v>0</v>
      </c>
      <c r="BM25" s="13">
        <f>IF(BM12=$L$8,-($C$20+SUM($D$15:BM15)),0)</f>
        <v>0</v>
      </c>
      <c r="BN25" s="13">
        <f>IF(BN12=$L$8,-($C$20+SUM($D$15:BN15)),0)</f>
        <v>0</v>
      </c>
      <c r="BO25" s="13">
        <f>IF(BO12=$L$8,-($C$20+SUM($D$15:BO15)),0)</f>
        <v>0</v>
      </c>
      <c r="BP25" s="13">
        <f>IF(BP12=$L$8,-($C$20+SUM($D$15:BP15)),0)</f>
        <v>0</v>
      </c>
      <c r="BQ25" s="13">
        <f>IF(BQ12=$L$8,-($C$20+SUM($D$15:BQ15)),0)</f>
        <v>0</v>
      </c>
      <c r="BR25" s="13">
        <f>IF(BR12=$L$8,-($C$20+SUM($D$15:BR15)),0)</f>
        <v>0</v>
      </c>
      <c r="BS25" s="13">
        <f>IF(BS12=$L$8,-($C$20+SUM($D$15:BS15)),0)</f>
        <v>0</v>
      </c>
      <c r="BT25" s="13">
        <f>IF(BT12=$L$8,-($C$20+SUM($D$15:BT15)),0)</f>
        <v>0</v>
      </c>
      <c r="BU25" s="13">
        <f>IF(BU12=$L$8,-($C$20+SUM($D$15:BU15)),0)</f>
        <v>0</v>
      </c>
      <c r="BV25" s="13">
        <f>IF(BV12=$L$8,-($C$20+SUM($D$15:BV15)),0)</f>
        <v>0</v>
      </c>
      <c r="BW25" s="13">
        <f>IF(BW12=$L$8,-($C$20+SUM($D$15:BW15)),0)</f>
        <v>0</v>
      </c>
      <c r="BX25" s="13">
        <f>IF(BX12=$L$8,-($C$20+SUM($D$15:BX15)),0)</f>
        <v>0</v>
      </c>
      <c r="BY25" s="13">
        <f>IF(BY12=$L$8,-($C$20+SUM($D$15:BY15)),0)</f>
        <v>0</v>
      </c>
      <c r="BZ25" s="13">
        <f>IF(BZ12=$L$8,-($C$20+SUM($D$15:BZ15)),0)</f>
        <v>0</v>
      </c>
      <c r="CA25" s="13">
        <f>IF(CA12=$L$8,-($C$20+SUM($D$15:CA15)),0)</f>
        <v>0</v>
      </c>
      <c r="CB25" s="13">
        <f>IF(CB12=$L$8,-($C$20+SUM($D$15:CB15)),0)</f>
        <v>0</v>
      </c>
      <c r="CC25" s="13">
        <f>IF(CC12=$L$8,-($C$20+SUM($D$15:CC15)),0)</f>
        <v>0</v>
      </c>
      <c r="CD25" s="13">
        <f>IF(CD12=$L$8,-($C$20+SUM($D$15:CD15)),0)</f>
        <v>0</v>
      </c>
      <c r="CE25" s="13">
        <f>IF(CE12=$L$8,-($C$20+SUM($D$15:CE15)),0)</f>
        <v>0</v>
      </c>
      <c r="CF25" s="13">
        <f>IF(CF12=$L$8,-($C$20+SUM($D$15:CF15)),0)</f>
        <v>0</v>
      </c>
      <c r="CG25" s="13">
        <f>IF(CG12=$L$8,-($C$20+SUM($D$15:CG15)),0)</f>
        <v>0</v>
      </c>
      <c r="CH25" s="13">
        <f>IF(CH12=$L$8,-($C$20+SUM($D$15:CH15)),0)</f>
        <v>0</v>
      </c>
      <c r="CI25" s="13">
        <f>IF(CI12=$L$8,-($C$20+SUM($D$15:CI15)),0)</f>
        <v>0</v>
      </c>
      <c r="CJ25" s="13">
        <f>IF(CJ12=$L$8,-($C$20+SUM($D$15:CJ15)),0)</f>
        <v>0</v>
      </c>
      <c r="CK25" s="13">
        <f>IF(CK12=$L$8,-($C$20+SUM($D$15:CK15)),0)</f>
        <v>0</v>
      </c>
      <c r="CL25" s="13">
        <f>IF(CL12=$L$8,-($C$20+SUM($D$15:CL15)),0)</f>
        <v>0</v>
      </c>
      <c r="CM25" s="13">
        <f>IF(CM12=$L$8,-($C$20+SUM($D$15:CM15)),0)</f>
        <v>0</v>
      </c>
      <c r="CN25" s="13">
        <f>IF(CN12=$L$8,-($C$20+SUM($D$15:CN15)),0)</f>
        <v>0</v>
      </c>
      <c r="CO25" s="13">
        <f>IF(CO12=$L$8,-($C$20+SUM($D$15:CO15)),0)</f>
        <v>0</v>
      </c>
      <c r="CP25" s="13">
        <f>IF(CP12=$L$8,-($C$20+SUM($D$15:CP15)),0)</f>
        <v>0</v>
      </c>
      <c r="CQ25" s="13">
        <f>IF(CQ12=$L$8,-($C$20+SUM($D$15:CQ15)),0)</f>
        <v>0</v>
      </c>
      <c r="CR25" s="13">
        <f>IF(CR12=$L$8,-($C$20+SUM($D$15:CR15)),0)</f>
        <v>0</v>
      </c>
      <c r="CS25" s="13">
        <f>IF(CS12=$L$8,-($C$20+SUM($D$15:CS15)),0)</f>
        <v>0</v>
      </c>
      <c r="CT25" s="13">
        <f>IF(CT12=$L$8,-($C$20+SUM($D$15:CT15)),0)</f>
        <v>0</v>
      </c>
      <c r="CU25" s="13">
        <f>IF(CU12=$L$8,-($C$20+SUM($D$15:CU15)),0)</f>
        <v>0</v>
      </c>
      <c r="CV25" s="13">
        <f>IF(CV12=$L$8,-($C$20+SUM($D$15:CV15)),0)</f>
        <v>0</v>
      </c>
      <c r="CW25" s="13">
        <f>IF(CW12=$L$8,-($C$20+SUM($D$15:CW15)),0)</f>
        <v>0</v>
      </c>
      <c r="CX25" s="13">
        <f>IF(CX12=$L$8,-($C$20+SUM($D$15:CX15)),0)</f>
        <v>0</v>
      </c>
      <c r="CY25" s="13">
        <f>IF(CY12=$L$8,-($C$20+SUM($D$15:CY15)),0)</f>
        <v>0</v>
      </c>
      <c r="CZ25" s="13">
        <f>IF(CZ12=$L$8,-($C$20+SUM($D$15:CZ15)),0)</f>
        <v>0</v>
      </c>
      <c r="DA25" s="13">
        <f>IF(DA12=$L$8,-($C$20+SUM($D$15:DA15)),0)</f>
        <v>0</v>
      </c>
      <c r="DB25" s="13">
        <f>IF(DB12=$L$8,-($C$20+SUM($D$15:DB15)),0)</f>
        <v>0</v>
      </c>
      <c r="DC25" s="13">
        <f>IF(DC12=$L$8,-($C$20+SUM($D$15:DC15)),0)</f>
        <v>0</v>
      </c>
      <c r="DD25" s="13">
        <f>IF(DD12=$L$8,-($C$20+SUM($D$15:DD15)),0)</f>
        <v>0</v>
      </c>
      <c r="DE25" s="13">
        <f>IF(DE12=$L$8,-($C$20+SUM($D$15:DE15)),0)</f>
        <v>0</v>
      </c>
      <c r="DF25" s="13">
        <f>IF(DF12=$L$8,-($C$20+SUM($D$15:DF15)),0)</f>
        <v>0</v>
      </c>
      <c r="DG25" s="13">
        <f>IF(DG12=$L$8,-($C$20+SUM($D$15:DG15)),0)</f>
        <v>0</v>
      </c>
      <c r="DH25" s="13">
        <f>IF(DH12=$L$8,-($C$20+SUM($D$15:DH15)),0)</f>
        <v>0</v>
      </c>
      <c r="DI25" s="13">
        <f>IF(DI12=$L$8,-($C$20+SUM($D$15:DI15)),0)</f>
        <v>0</v>
      </c>
      <c r="DJ25" s="13">
        <f>IF(DJ12=$L$8,-($C$20+SUM($D$15:DJ15)),0)</f>
        <v>0</v>
      </c>
      <c r="DK25" s="13">
        <f>IF(DK12=$L$8,-($C$20+SUM($D$15:DK15)),0)</f>
        <v>0</v>
      </c>
      <c r="DL25" s="13">
        <f>IF(DL12=$L$8,-($C$20+SUM($D$15:DL15)),0)</f>
        <v>0</v>
      </c>
      <c r="DM25" s="13">
        <f>IF(DM12=$L$8,-($C$20+SUM($D$15:DM15)),0)</f>
        <v>0</v>
      </c>
      <c r="DN25" s="13">
        <f>IF(DN12=$L$8,-($C$20+SUM($D$15:DN15)),0)</f>
        <v>0</v>
      </c>
      <c r="DO25" s="13">
        <f>IF(DO12=$L$8,-($C$20+SUM($D$15:DO15)),0)</f>
        <v>0</v>
      </c>
      <c r="DP25" s="13">
        <f>IF(DP12=$L$8,-($C$20+SUM($D$15:DP15)),0)</f>
        <v>0</v>
      </c>
      <c r="DQ25" s="13">
        <f>IF(DQ12=$L$8,-($C$20+SUM($D$15:DQ15)),0)</f>
        <v>0</v>
      </c>
      <c r="DR25" s="13">
        <f>IF(DR12=$L$8,-($C$20+SUM($D$15:DR15)),0)</f>
        <v>0</v>
      </c>
      <c r="DS25" s="13">
        <f>IF(DS12=$L$8,-($C$20+SUM($D$15:DS15)),0)</f>
        <v>0</v>
      </c>
      <c r="DT25" s="13">
        <f>IF(DT12=$L$8,-($C$20+SUM($D$15:DT15)),0)</f>
        <v>0</v>
      </c>
      <c r="DU25" s="13">
        <f>IF(DU12=$L$8,-($C$20+SUM($D$15:DU15)),0)</f>
        <v>0</v>
      </c>
      <c r="DV25" s="13">
        <f>IF(DV12=$L$8,-($C$20+SUM($D$15:DV15)),0)</f>
        <v>0</v>
      </c>
      <c r="DW25" s="13">
        <f>IF(DW12=$L$8,-($C$20+SUM($D$15:DW15)),0)</f>
        <v>0</v>
      </c>
      <c r="DX25" s="13">
        <f>IF(DX12=$L$8,-($C$20+SUM($D$15:DX15)),0)</f>
        <v>0</v>
      </c>
      <c r="DY25" s="13">
        <f>IF(DY12=$L$8,-($C$20+SUM($D$15:DY15)),0)</f>
        <v>0</v>
      </c>
      <c r="DZ25" s="13">
        <f>IF(DZ12=$L$8,-($C$20+SUM($D$15:DZ15)),0)</f>
        <v>0</v>
      </c>
      <c r="EA25" s="13">
        <f>IF(EA12=$L$8,-($C$20+SUM($D$15:EA15)),0)</f>
        <v>0</v>
      </c>
      <c r="EB25" s="13">
        <f>IF(EB12=$L$8,-($C$20+SUM($D$15:EB15)),0)</f>
        <v>0</v>
      </c>
      <c r="EC25" s="13">
        <f>IF(EC12=$L$8,-($C$20+SUM($D$15:EC15)),0)</f>
        <v>0</v>
      </c>
      <c r="ED25" s="13">
        <f>IF(ED12=$L$8,-($C$20+SUM($D$15:ED15)),0)</f>
        <v>0</v>
      </c>
      <c r="EE25" s="29">
        <f>IF(EE12=$L$8,-($C$20+SUM($D$15:EE15)),0)</f>
        <v>0</v>
      </c>
    </row>
    <row r="26" spans="2:135" x14ac:dyDescent="0.35">
      <c r="B26" s="35" t="s">
        <v>45</v>
      </c>
      <c r="C26" s="14">
        <f>IF(C12&lt;=$L$8,SUM(C14:C25),0)</f>
        <v>-3682500</v>
      </c>
      <c r="D26" s="14">
        <f t="shared" ref="D26:BO26" si="23">IF(D12&lt;=$L$8,SUM(D14:D25),0)</f>
        <v>15730.819881145031</v>
      </c>
      <c r="E26" s="14">
        <f t="shared" si="23"/>
        <v>15917.550554562255</v>
      </c>
      <c r="F26" s="14">
        <f t="shared" si="23"/>
        <v>16105.041991857161</v>
      </c>
      <c r="G26" s="14">
        <f t="shared" si="23"/>
        <v>16293.297292476007</v>
      </c>
      <c r="H26" s="14">
        <f t="shared" si="23"/>
        <v>16482.319568492479</v>
      </c>
      <c r="I26" s="14">
        <f t="shared" si="23"/>
        <v>16672.111944659322</v>
      </c>
      <c r="J26" s="14">
        <f t="shared" si="23"/>
        <v>16862.677558459865</v>
      </c>
      <c r="K26" s="14">
        <f t="shared" si="23"/>
        <v>17054.019560159933</v>
      </c>
      <c r="L26" s="14">
        <f t="shared" si="23"/>
        <v>17246.141112859939</v>
      </c>
      <c r="M26" s="14">
        <f t="shared" si="23"/>
        <v>17439.045392547145</v>
      </c>
      <c r="N26" s="14">
        <f t="shared" si="23"/>
        <v>17632.7355881482</v>
      </c>
      <c r="O26" s="14">
        <f t="shared" si="23"/>
        <v>17827.214901581803</v>
      </c>
      <c r="P26" s="14">
        <f t="shared" si="23"/>
        <v>18022.486547811706</v>
      </c>
      <c r="Q26" s="14">
        <f t="shared" si="23"/>
        <v>18218.553754899785</v>
      </c>
      <c r="R26" s="14">
        <f t="shared" si="23"/>
        <v>18415.419764059439</v>
      </c>
      <c r="S26" s="14">
        <f t="shared" si="23"/>
        <v>18613.08782970922</v>
      </c>
      <c r="T26" s="14">
        <f t="shared" si="23"/>
        <v>18811.561219526528</v>
      </c>
      <c r="U26" s="14">
        <f t="shared" si="23"/>
        <v>19010.843214501707</v>
      </c>
      <c r="V26" s="14">
        <f t="shared" si="23"/>
        <v>19210.937108992272</v>
      </c>
      <c r="W26" s="14">
        <f t="shared" si="23"/>
        <v>19411.846210777341</v>
      </c>
      <c r="X26" s="14">
        <f t="shared" si="23"/>
        <v>19613.573841112353</v>
      </c>
      <c r="Y26" s="14">
        <f t="shared" si="23"/>
        <v>19816.123334783915</v>
      </c>
      <c r="Z26" s="14">
        <f t="shared" si="23"/>
        <v>20019.498040165028</v>
      </c>
      <c r="AA26" s="14">
        <f t="shared" si="23"/>
        <v>20223.701319270313</v>
      </c>
      <c r="AB26" s="14">
        <f t="shared" si="23"/>
        <v>20428.73654781171</v>
      </c>
      <c r="AC26" s="14">
        <f t="shared" si="23"/>
        <v>20634.607115254177</v>
      </c>
      <c r="AD26" s="14">
        <f t="shared" si="23"/>
        <v>20841.316424871839</v>
      </c>
      <c r="AE26" s="14">
        <f t="shared" si="23"/>
        <v>21048.867893804101</v>
      </c>
      <c r="AF26" s="14">
        <f t="shared" si="23"/>
        <v>21257.264953112273</v>
      </c>
      <c r="AG26" s="14">
        <f t="shared" si="23"/>
        <v>21466.511047836208</v>
      </c>
      <c r="AH26" s="14">
        <f t="shared" si="23"/>
        <v>21676.609637051304</v>
      </c>
      <c r="AI26" s="14">
        <f t="shared" si="23"/>
        <v>21887.564193925631</v>
      </c>
      <c r="AJ26" s="14">
        <f t="shared" si="23"/>
        <v>22099.378205777379</v>
      </c>
      <c r="AK26" s="14">
        <f t="shared" si="23"/>
        <v>22312.055174132529</v>
      </c>
      <c r="AL26" s="14">
        <f t="shared" si="23"/>
        <v>22525.598614782692</v>
      </c>
      <c r="AM26" s="14">
        <f t="shared" si="23"/>
        <v>22740.012057843251</v>
      </c>
      <c r="AN26" s="14">
        <f t="shared" si="23"/>
        <v>22955.299047811703</v>
      </c>
      <c r="AO26" s="14">
        <f t="shared" si="23"/>
        <v>23171.463143626308</v>
      </c>
      <c r="AP26" s="14">
        <f t="shared" si="23"/>
        <v>23388.507918724848</v>
      </c>
      <c r="AQ26" s="14">
        <f t="shared" si="23"/>
        <v>23606.436961103718</v>
      </c>
      <c r="AR26" s="14">
        <f t="shared" si="23"/>
        <v>23825.253873377296</v>
      </c>
      <c r="AS26" s="14">
        <f t="shared" si="23"/>
        <v>24044.962272837438</v>
      </c>
      <c r="AT26" s="14">
        <f t="shared" si="23"/>
        <v>24265.565791513287</v>
      </c>
      <c r="AU26" s="14">
        <f t="shared" si="23"/>
        <v>24487.068076231335</v>
      </c>
      <c r="AV26" s="14">
        <f t="shared" si="23"/>
        <v>24709.472788675666</v>
      </c>
      <c r="AW26" s="14">
        <f t="shared" si="23"/>
        <v>24932.783605448578</v>
      </c>
      <c r="AX26" s="14">
        <f t="shared" si="23"/>
        <v>25157.004218131249</v>
      </c>
      <c r="AY26" s="14">
        <f t="shared" si="23"/>
        <v>25382.138333344825</v>
      </c>
      <c r="AZ26" s="14">
        <f t="shared" si="23"/>
        <v>25608.189672811699</v>
      </c>
      <c r="BA26" s="14">
        <f t="shared" si="23"/>
        <v>25835.161973417045</v>
      </c>
      <c r="BB26" s="14">
        <f t="shared" si="23"/>
        <v>26063.058987270502</v>
      </c>
      <c r="BC26" s="14">
        <f t="shared" si="23"/>
        <v>26291.884481768328</v>
      </c>
      <c r="BD26" s="14">
        <f t="shared" si="23"/>
        <v>26521.642239655586</v>
      </c>
      <c r="BE26" s="14">
        <f t="shared" si="23"/>
        <v>26752.336059088724</v>
      </c>
      <c r="BF26" s="14">
        <f t="shared" si="23"/>
        <v>26983.969753698369</v>
      </c>
      <c r="BG26" s="14">
        <f t="shared" si="23"/>
        <v>27216.547152652307</v>
      </c>
      <c r="BH26" s="14">
        <f t="shared" si="23"/>
        <v>27450.072100718877</v>
      </c>
      <c r="BI26" s="14">
        <f t="shared" si="23"/>
        <v>27684.548458330421</v>
      </c>
      <c r="BJ26" s="14">
        <f t="shared" si="23"/>
        <v>27919.980101647227</v>
      </c>
      <c r="BK26" s="14">
        <f t="shared" si="23"/>
        <v>5898824.5369925108</v>
      </c>
      <c r="BL26" s="14">
        <f t="shared" si="23"/>
        <v>0</v>
      </c>
      <c r="BM26" s="14">
        <f t="shared" si="23"/>
        <v>0</v>
      </c>
      <c r="BN26" s="14">
        <f t="shared" si="23"/>
        <v>0</v>
      </c>
      <c r="BO26" s="14">
        <f t="shared" si="23"/>
        <v>0</v>
      </c>
      <c r="BP26" s="14">
        <f t="shared" ref="BP26:EA26" si="24">IF(BP12&lt;=$L$8,SUM(BP14:BP25),0)</f>
        <v>0</v>
      </c>
      <c r="BQ26" s="14">
        <f t="shared" si="24"/>
        <v>0</v>
      </c>
      <c r="BR26" s="14">
        <f t="shared" si="24"/>
        <v>0</v>
      </c>
      <c r="BS26" s="14">
        <f t="shared" si="24"/>
        <v>0</v>
      </c>
      <c r="BT26" s="14">
        <f t="shared" si="24"/>
        <v>0</v>
      </c>
      <c r="BU26" s="14">
        <f t="shared" si="24"/>
        <v>0</v>
      </c>
      <c r="BV26" s="14">
        <f t="shared" si="24"/>
        <v>0</v>
      </c>
      <c r="BW26" s="14">
        <f t="shared" si="24"/>
        <v>0</v>
      </c>
      <c r="BX26" s="14">
        <f t="shared" si="24"/>
        <v>0</v>
      </c>
      <c r="BY26" s="14">
        <f t="shared" si="24"/>
        <v>0</v>
      </c>
      <c r="BZ26" s="14">
        <f t="shared" si="24"/>
        <v>0</v>
      </c>
      <c r="CA26" s="14">
        <f t="shared" si="24"/>
        <v>0</v>
      </c>
      <c r="CB26" s="14">
        <f t="shared" si="24"/>
        <v>0</v>
      </c>
      <c r="CC26" s="14">
        <f t="shared" si="24"/>
        <v>0</v>
      </c>
      <c r="CD26" s="14">
        <f t="shared" si="24"/>
        <v>0</v>
      </c>
      <c r="CE26" s="14">
        <f t="shared" si="24"/>
        <v>0</v>
      </c>
      <c r="CF26" s="14">
        <f t="shared" si="24"/>
        <v>0</v>
      </c>
      <c r="CG26" s="14">
        <f t="shared" si="24"/>
        <v>0</v>
      </c>
      <c r="CH26" s="14">
        <f t="shared" si="24"/>
        <v>0</v>
      </c>
      <c r="CI26" s="14">
        <f t="shared" si="24"/>
        <v>0</v>
      </c>
      <c r="CJ26" s="14">
        <f t="shared" si="24"/>
        <v>0</v>
      </c>
      <c r="CK26" s="14">
        <f t="shared" si="24"/>
        <v>0</v>
      </c>
      <c r="CL26" s="14">
        <f t="shared" si="24"/>
        <v>0</v>
      </c>
      <c r="CM26" s="14">
        <f t="shared" si="24"/>
        <v>0</v>
      </c>
      <c r="CN26" s="14">
        <f t="shared" si="24"/>
        <v>0</v>
      </c>
      <c r="CO26" s="14">
        <f t="shared" si="24"/>
        <v>0</v>
      </c>
      <c r="CP26" s="14">
        <f t="shared" si="24"/>
        <v>0</v>
      </c>
      <c r="CQ26" s="14">
        <f t="shared" si="24"/>
        <v>0</v>
      </c>
      <c r="CR26" s="14">
        <f t="shared" si="24"/>
        <v>0</v>
      </c>
      <c r="CS26" s="14">
        <f t="shared" si="24"/>
        <v>0</v>
      </c>
      <c r="CT26" s="14">
        <f t="shared" si="24"/>
        <v>0</v>
      </c>
      <c r="CU26" s="14">
        <f t="shared" si="24"/>
        <v>0</v>
      </c>
      <c r="CV26" s="14">
        <f t="shared" si="24"/>
        <v>0</v>
      </c>
      <c r="CW26" s="14">
        <f t="shared" si="24"/>
        <v>0</v>
      </c>
      <c r="CX26" s="14">
        <f t="shared" si="24"/>
        <v>0</v>
      </c>
      <c r="CY26" s="14">
        <f t="shared" si="24"/>
        <v>0</v>
      </c>
      <c r="CZ26" s="14">
        <f t="shared" si="24"/>
        <v>0</v>
      </c>
      <c r="DA26" s="14">
        <f t="shared" si="24"/>
        <v>0</v>
      </c>
      <c r="DB26" s="14">
        <f t="shared" si="24"/>
        <v>0</v>
      </c>
      <c r="DC26" s="14">
        <f t="shared" si="24"/>
        <v>0</v>
      </c>
      <c r="DD26" s="14">
        <f t="shared" si="24"/>
        <v>0</v>
      </c>
      <c r="DE26" s="14">
        <f t="shared" si="24"/>
        <v>0</v>
      </c>
      <c r="DF26" s="14">
        <f t="shared" si="24"/>
        <v>0</v>
      </c>
      <c r="DG26" s="14">
        <f t="shared" si="24"/>
        <v>0</v>
      </c>
      <c r="DH26" s="14">
        <f t="shared" si="24"/>
        <v>0</v>
      </c>
      <c r="DI26" s="14">
        <f t="shared" si="24"/>
        <v>0</v>
      </c>
      <c r="DJ26" s="14">
        <f t="shared" si="24"/>
        <v>0</v>
      </c>
      <c r="DK26" s="14">
        <f t="shared" si="24"/>
        <v>0</v>
      </c>
      <c r="DL26" s="14">
        <f t="shared" si="24"/>
        <v>0</v>
      </c>
      <c r="DM26" s="14">
        <f t="shared" si="24"/>
        <v>0</v>
      </c>
      <c r="DN26" s="14">
        <f t="shared" si="24"/>
        <v>0</v>
      </c>
      <c r="DO26" s="14">
        <f t="shared" si="24"/>
        <v>0</v>
      </c>
      <c r="DP26" s="14">
        <f t="shared" si="24"/>
        <v>0</v>
      </c>
      <c r="DQ26" s="14">
        <f t="shared" si="24"/>
        <v>0</v>
      </c>
      <c r="DR26" s="14">
        <f t="shared" si="24"/>
        <v>0</v>
      </c>
      <c r="DS26" s="14">
        <f t="shared" si="24"/>
        <v>0</v>
      </c>
      <c r="DT26" s="14">
        <f t="shared" si="24"/>
        <v>0</v>
      </c>
      <c r="DU26" s="14">
        <f t="shared" si="24"/>
        <v>0</v>
      </c>
      <c r="DV26" s="14">
        <f t="shared" si="24"/>
        <v>0</v>
      </c>
      <c r="DW26" s="14">
        <f t="shared" si="24"/>
        <v>0</v>
      </c>
      <c r="DX26" s="14">
        <f t="shared" si="24"/>
        <v>0</v>
      </c>
      <c r="DY26" s="14">
        <f t="shared" si="24"/>
        <v>0</v>
      </c>
      <c r="DZ26" s="14">
        <f t="shared" si="24"/>
        <v>0</v>
      </c>
      <c r="EA26" s="14">
        <f t="shared" si="24"/>
        <v>0</v>
      </c>
      <c r="EB26" s="14">
        <f t="shared" ref="EB26:EE26" si="25">IF(EB12&lt;=$L$8,SUM(EB14:EB25),0)</f>
        <v>0</v>
      </c>
      <c r="EC26" s="14">
        <f t="shared" si="25"/>
        <v>0</v>
      </c>
      <c r="ED26" s="14">
        <f t="shared" si="25"/>
        <v>0</v>
      </c>
      <c r="EE26" s="15">
        <f t="shared" si="25"/>
        <v>0</v>
      </c>
    </row>
    <row r="27" spans="2:135" x14ac:dyDescent="0.35"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  <c r="BM27" s="12"/>
      <c r="BN27" s="12"/>
      <c r="BO27" s="12"/>
      <c r="BP27" s="12"/>
      <c r="BQ27" s="12"/>
      <c r="BR27" s="12"/>
      <c r="BS27" s="12"/>
      <c r="BT27" s="12"/>
      <c r="BU27" s="12"/>
      <c r="BV27" s="12"/>
      <c r="BW27" s="12"/>
      <c r="BX27" s="12"/>
      <c r="BY27" s="12"/>
      <c r="BZ27" s="12"/>
      <c r="CA27" s="12"/>
      <c r="CB27" s="12"/>
      <c r="CC27" s="12"/>
      <c r="CD27" s="12"/>
      <c r="CE27" s="12"/>
      <c r="CF27" s="12"/>
      <c r="CG27" s="12"/>
      <c r="CH27" s="12"/>
      <c r="CI27" s="12"/>
      <c r="CJ27" s="12"/>
      <c r="CK27" s="12"/>
      <c r="CL27" s="12"/>
      <c r="CM27" s="12"/>
      <c r="CN27" s="12"/>
      <c r="CO27" s="12"/>
      <c r="CP27" s="12"/>
      <c r="CQ27" s="12"/>
      <c r="CR27" s="12"/>
      <c r="CS27" s="12"/>
      <c r="CT27" s="12"/>
      <c r="CU27" s="12"/>
      <c r="CV27" s="12"/>
      <c r="CW27" s="12"/>
      <c r="CX27" s="12"/>
      <c r="CY27" s="12"/>
      <c r="CZ27" s="12"/>
      <c r="DA27" s="12"/>
      <c r="DB27" s="12"/>
      <c r="DC27" s="12"/>
      <c r="DD27" s="12"/>
      <c r="DE27" s="12"/>
      <c r="DF27" s="12"/>
      <c r="DG27" s="12"/>
      <c r="DH27" s="12"/>
      <c r="DI27" s="12"/>
      <c r="DJ27" s="12"/>
      <c r="DK27" s="12"/>
      <c r="DL27" s="12"/>
      <c r="DM27" s="12"/>
      <c r="DN27" s="12"/>
      <c r="DO27" s="12"/>
      <c r="DP27" s="12"/>
      <c r="DQ27" s="12"/>
      <c r="DR27" s="12"/>
      <c r="DS27" s="12"/>
      <c r="DT27" s="12"/>
      <c r="DU27" s="12"/>
      <c r="DV27" s="12"/>
      <c r="DW27" s="12"/>
      <c r="DX27" s="12"/>
      <c r="DY27" s="12"/>
      <c r="DZ27" s="12"/>
      <c r="EA27" s="12"/>
      <c r="EB27" s="12"/>
      <c r="EC27" s="12"/>
      <c r="ED27" s="12"/>
      <c r="EE27" s="12"/>
    </row>
    <row r="28" spans="2:135" x14ac:dyDescent="0.35">
      <c r="B28" s="36" t="str">
        <f>B3</f>
        <v>Preferred Return</v>
      </c>
      <c r="C28" s="10">
        <f>C13</f>
        <v>44377</v>
      </c>
      <c r="D28" s="10">
        <f t="shared" ref="D28:BO28" si="26">D13</f>
        <v>44408</v>
      </c>
      <c r="E28" s="10">
        <f t="shared" si="26"/>
        <v>44439</v>
      </c>
      <c r="F28" s="10">
        <f t="shared" si="26"/>
        <v>44469</v>
      </c>
      <c r="G28" s="10">
        <f t="shared" si="26"/>
        <v>44500</v>
      </c>
      <c r="H28" s="10">
        <f t="shared" si="26"/>
        <v>44530</v>
      </c>
      <c r="I28" s="10">
        <f t="shared" si="26"/>
        <v>44561</v>
      </c>
      <c r="J28" s="10">
        <f t="shared" si="26"/>
        <v>44592</v>
      </c>
      <c r="K28" s="10">
        <f t="shared" si="26"/>
        <v>44620</v>
      </c>
      <c r="L28" s="10">
        <f t="shared" si="26"/>
        <v>44651</v>
      </c>
      <c r="M28" s="10">
        <f t="shared" si="26"/>
        <v>44681</v>
      </c>
      <c r="N28" s="10">
        <f t="shared" si="26"/>
        <v>44712</v>
      </c>
      <c r="O28" s="10">
        <f t="shared" si="26"/>
        <v>44742</v>
      </c>
      <c r="P28" s="10">
        <f t="shared" si="26"/>
        <v>44773</v>
      </c>
      <c r="Q28" s="10">
        <f t="shared" si="26"/>
        <v>44804</v>
      </c>
      <c r="R28" s="10">
        <f t="shared" si="26"/>
        <v>44834</v>
      </c>
      <c r="S28" s="10">
        <f t="shared" si="26"/>
        <v>44865</v>
      </c>
      <c r="T28" s="10">
        <f t="shared" si="26"/>
        <v>44895</v>
      </c>
      <c r="U28" s="10">
        <f t="shared" si="26"/>
        <v>44926</v>
      </c>
      <c r="V28" s="10">
        <f t="shared" si="26"/>
        <v>44957</v>
      </c>
      <c r="W28" s="10">
        <f t="shared" si="26"/>
        <v>44985</v>
      </c>
      <c r="X28" s="10">
        <f t="shared" si="26"/>
        <v>45016</v>
      </c>
      <c r="Y28" s="10">
        <f t="shared" si="26"/>
        <v>45046</v>
      </c>
      <c r="Z28" s="10">
        <f t="shared" si="26"/>
        <v>45077</v>
      </c>
      <c r="AA28" s="10">
        <f t="shared" si="26"/>
        <v>45107</v>
      </c>
      <c r="AB28" s="10">
        <f t="shared" si="26"/>
        <v>45138</v>
      </c>
      <c r="AC28" s="10">
        <f t="shared" si="26"/>
        <v>45169</v>
      </c>
      <c r="AD28" s="10">
        <f t="shared" si="26"/>
        <v>45199</v>
      </c>
      <c r="AE28" s="10">
        <f t="shared" si="26"/>
        <v>45230</v>
      </c>
      <c r="AF28" s="10">
        <f t="shared" si="26"/>
        <v>45260</v>
      </c>
      <c r="AG28" s="10">
        <f t="shared" si="26"/>
        <v>45291</v>
      </c>
      <c r="AH28" s="10">
        <f t="shared" si="26"/>
        <v>45322</v>
      </c>
      <c r="AI28" s="10">
        <f t="shared" si="26"/>
        <v>45351</v>
      </c>
      <c r="AJ28" s="10">
        <f t="shared" si="26"/>
        <v>45382</v>
      </c>
      <c r="AK28" s="10">
        <f t="shared" si="26"/>
        <v>45412</v>
      </c>
      <c r="AL28" s="10">
        <f t="shared" si="26"/>
        <v>45443</v>
      </c>
      <c r="AM28" s="10">
        <f t="shared" si="26"/>
        <v>45473</v>
      </c>
      <c r="AN28" s="10">
        <f t="shared" si="26"/>
        <v>45504</v>
      </c>
      <c r="AO28" s="10">
        <f t="shared" si="26"/>
        <v>45535</v>
      </c>
      <c r="AP28" s="10">
        <f t="shared" si="26"/>
        <v>45565</v>
      </c>
      <c r="AQ28" s="10">
        <f t="shared" si="26"/>
        <v>45596</v>
      </c>
      <c r="AR28" s="10">
        <f t="shared" si="26"/>
        <v>45626</v>
      </c>
      <c r="AS28" s="10">
        <f t="shared" si="26"/>
        <v>45657</v>
      </c>
      <c r="AT28" s="10">
        <f t="shared" si="26"/>
        <v>45688</v>
      </c>
      <c r="AU28" s="10">
        <f t="shared" si="26"/>
        <v>45716</v>
      </c>
      <c r="AV28" s="10">
        <f t="shared" si="26"/>
        <v>45747</v>
      </c>
      <c r="AW28" s="10">
        <f t="shared" si="26"/>
        <v>45777</v>
      </c>
      <c r="AX28" s="10">
        <f t="shared" si="26"/>
        <v>45808</v>
      </c>
      <c r="AY28" s="10">
        <f t="shared" si="26"/>
        <v>45838</v>
      </c>
      <c r="AZ28" s="10">
        <f t="shared" si="26"/>
        <v>45869</v>
      </c>
      <c r="BA28" s="10">
        <f t="shared" si="26"/>
        <v>45900</v>
      </c>
      <c r="BB28" s="10">
        <f t="shared" si="26"/>
        <v>45930</v>
      </c>
      <c r="BC28" s="10">
        <f t="shared" si="26"/>
        <v>45961</v>
      </c>
      <c r="BD28" s="10">
        <f t="shared" si="26"/>
        <v>45991</v>
      </c>
      <c r="BE28" s="10">
        <f t="shared" si="26"/>
        <v>46022</v>
      </c>
      <c r="BF28" s="10">
        <f t="shared" si="26"/>
        <v>46053</v>
      </c>
      <c r="BG28" s="10">
        <f t="shared" si="26"/>
        <v>46081</v>
      </c>
      <c r="BH28" s="10">
        <f t="shared" si="26"/>
        <v>46112</v>
      </c>
      <c r="BI28" s="10">
        <f t="shared" si="26"/>
        <v>46142</v>
      </c>
      <c r="BJ28" s="10">
        <f t="shared" si="26"/>
        <v>46173</v>
      </c>
      <c r="BK28" s="10">
        <f t="shared" si="26"/>
        <v>46203</v>
      </c>
      <c r="BL28" s="10">
        <f t="shared" si="26"/>
        <v>46234</v>
      </c>
      <c r="BM28" s="10">
        <f t="shared" si="26"/>
        <v>46265</v>
      </c>
      <c r="BN28" s="10">
        <f t="shared" si="26"/>
        <v>46295</v>
      </c>
      <c r="BO28" s="10">
        <f t="shared" si="26"/>
        <v>46326</v>
      </c>
      <c r="BP28" s="10">
        <f t="shared" ref="BP28:EA28" si="27">BP13</f>
        <v>46356</v>
      </c>
      <c r="BQ28" s="10">
        <f t="shared" si="27"/>
        <v>46387</v>
      </c>
      <c r="BR28" s="10">
        <f t="shared" si="27"/>
        <v>46418</v>
      </c>
      <c r="BS28" s="10">
        <f t="shared" si="27"/>
        <v>46446</v>
      </c>
      <c r="BT28" s="10">
        <f t="shared" si="27"/>
        <v>46477</v>
      </c>
      <c r="BU28" s="10">
        <f t="shared" si="27"/>
        <v>46507</v>
      </c>
      <c r="BV28" s="10">
        <f t="shared" si="27"/>
        <v>46538</v>
      </c>
      <c r="BW28" s="10">
        <f t="shared" si="27"/>
        <v>46568</v>
      </c>
      <c r="BX28" s="10">
        <f t="shared" si="27"/>
        <v>46599</v>
      </c>
      <c r="BY28" s="10">
        <f t="shared" si="27"/>
        <v>46630</v>
      </c>
      <c r="BZ28" s="10">
        <f t="shared" si="27"/>
        <v>46660</v>
      </c>
      <c r="CA28" s="10">
        <f t="shared" si="27"/>
        <v>46691</v>
      </c>
      <c r="CB28" s="10">
        <f t="shared" si="27"/>
        <v>46721</v>
      </c>
      <c r="CC28" s="10">
        <f t="shared" si="27"/>
        <v>46752</v>
      </c>
      <c r="CD28" s="10">
        <f t="shared" si="27"/>
        <v>46783</v>
      </c>
      <c r="CE28" s="10">
        <f t="shared" si="27"/>
        <v>46812</v>
      </c>
      <c r="CF28" s="10">
        <f t="shared" si="27"/>
        <v>46843</v>
      </c>
      <c r="CG28" s="10">
        <f t="shared" si="27"/>
        <v>46873</v>
      </c>
      <c r="CH28" s="10">
        <f t="shared" si="27"/>
        <v>46904</v>
      </c>
      <c r="CI28" s="10">
        <f t="shared" si="27"/>
        <v>46934</v>
      </c>
      <c r="CJ28" s="10">
        <f t="shared" si="27"/>
        <v>46965</v>
      </c>
      <c r="CK28" s="10">
        <f t="shared" si="27"/>
        <v>46996</v>
      </c>
      <c r="CL28" s="10">
        <f t="shared" si="27"/>
        <v>47026</v>
      </c>
      <c r="CM28" s="10">
        <f t="shared" si="27"/>
        <v>47057</v>
      </c>
      <c r="CN28" s="10">
        <f t="shared" si="27"/>
        <v>47087</v>
      </c>
      <c r="CO28" s="10">
        <f t="shared" si="27"/>
        <v>47118</v>
      </c>
      <c r="CP28" s="10">
        <f t="shared" si="27"/>
        <v>47149</v>
      </c>
      <c r="CQ28" s="10">
        <f t="shared" si="27"/>
        <v>47177</v>
      </c>
      <c r="CR28" s="10">
        <f t="shared" si="27"/>
        <v>47208</v>
      </c>
      <c r="CS28" s="10">
        <f t="shared" si="27"/>
        <v>47238</v>
      </c>
      <c r="CT28" s="10">
        <f t="shared" si="27"/>
        <v>47269</v>
      </c>
      <c r="CU28" s="10">
        <f t="shared" si="27"/>
        <v>47299</v>
      </c>
      <c r="CV28" s="10">
        <f t="shared" si="27"/>
        <v>47330</v>
      </c>
      <c r="CW28" s="10">
        <f t="shared" si="27"/>
        <v>47361</v>
      </c>
      <c r="CX28" s="10">
        <f t="shared" si="27"/>
        <v>47391</v>
      </c>
      <c r="CY28" s="10">
        <f t="shared" si="27"/>
        <v>47422</v>
      </c>
      <c r="CZ28" s="10">
        <f t="shared" si="27"/>
        <v>47452</v>
      </c>
      <c r="DA28" s="10">
        <f t="shared" si="27"/>
        <v>47483</v>
      </c>
      <c r="DB28" s="10">
        <f t="shared" si="27"/>
        <v>47514</v>
      </c>
      <c r="DC28" s="10">
        <f t="shared" si="27"/>
        <v>47542</v>
      </c>
      <c r="DD28" s="10">
        <f t="shared" si="27"/>
        <v>47573</v>
      </c>
      <c r="DE28" s="10">
        <f t="shared" si="27"/>
        <v>47603</v>
      </c>
      <c r="DF28" s="10">
        <f t="shared" si="27"/>
        <v>47634</v>
      </c>
      <c r="DG28" s="10">
        <f t="shared" si="27"/>
        <v>47664</v>
      </c>
      <c r="DH28" s="10">
        <f t="shared" si="27"/>
        <v>47695</v>
      </c>
      <c r="DI28" s="10">
        <f t="shared" si="27"/>
        <v>47726</v>
      </c>
      <c r="DJ28" s="10">
        <f t="shared" si="27"/>
        <v>47756</v>
      </c>
      <c r="DK28" s="10">
        <f t="shared" si="27"/>
        <v>47787</v>
      </c>
      <c r="DL28" s="10">
        <f t="shared" si="27"/>
        <v>47817</v>
      </c>
      <c r="DM28" s="10">
        <f t="shared" si="27"/>
        <v>47848</v>
      </c>
      <c r="DN28" s="10">
        <f t="shared" si="27"/>
        <v>47879</v>
      </c>
      <c r="DO28" s="10">
        <f t="shared" si="27"/>
        <v>47907</v>
      </c>
      <c r="DP28" s="10">
        <f t="shared" si="27"/>
        <v>47938</v>
      </c>
      <c r="DQ28" s="10">
        <f t="shared" si="27"/>
        <v>47968</v>
      </c>
      <c r="DR28" s="10">
        <f t="shared" si="27"/>
        <v>47999</v>
      </c>
      <c r="DS28" s="10">
        <f t="shared" si="27"/>
        <v>48029</v>
      </c>
      <c r="DT28" s="10">
        <f t="shared" si="27"/>
        <v>48060</v>
      </c>
      <c r="DU28" s="10">
        <f t="shared" si="27"/>
        <v>48091</v>
      </c>
      <c r="DV28" s="10">
        <f t="shared" si="27"/>
        <v>48121</v>
      </c>
      <c r="DW28" s="10">
        <f t="shared" si="27"/>
        <v>48152</v>
      </c>
      <c r="DX28" s="10">
        <f t="shared" si="27"/>
        <v>48182</v>
      </c>
      <c r="DY28" s="10">
        <f t="shared" si="27"/>
        <v>48213</v>
      </c>
      <c r="DZ28" s="10">
        <f t="shared" si="27"/>
        <v>48244</v>
      </c>
      <c r="EA28" s="10">
        <f t="shared" si="27"/>
        <v>48273</v>
      </c>
      <c r="EB28" s="10">
        <f t="shared" ref="EB28:EE28" si="28">EB13</f>
        <v>48304</v>
      </c>
      <c r="EC28" s="10">
        <f t="shared" si="28"/>
        <v>48334</v>
      </c>
      <c r="ED28" s="10">
        <f t="shared" si="28"/>
        <v>48365</v>
      </c>
      <c r="EE28" s="11">
        <f t="shared" si="28"/>
        <v>48395</v>
      </c>
    </row>
    <row r="29" spans="2:135" x14ac:dyDescent="0.35">
      <c r="B29" s="33" t="s">
        <v>46</v>
      </c>
      <c r="C29" s="28">
        <v>0</v>
      </c>
      <c r="D29" s="13">
        <f>IF(D12&gt;$L$8,0,C32)</f>
        <v>0</v>
      </c>
      <c r="E29" s="13">
        <f>IF(E12&gt;$L$8,0,D33)</f>
        <v>0</v>
      </c>
      <c r="F29" s="13">
        <f t="shared" ref="F29:BQ29" si="29">IF(F12&gt;$L$8,0,E33)</f>
        <v>0</v>
      </c>
      <c r="G29" s="13">
        <f t="shared" si="29"/>
        <v>0</v>
      </c>
      <c r="H29" s="13">
        <f t="shared" si="29"/>
        <v>0</v>
      </c>
      <c r="I29" s="13">
        <f t="shared" si="29"/>
        <v>0</v>
      </c>
      <c r="J29" s="13">
        <f t="shared" si="29"/>
        <v>0</v>
      </c>
      <c r="K29" s="13">
        <f t="shared" si="29"/>
        <v>0</v>
      </c>
      <c r="L29" s="13">
        <f t="shared" si="29"/>
        <v>0</v>
      </c>
      <c r="M29" s="13">
        <f t="shared" si="29"/>
        <v>0</v>
      </c>
      <c r="N29" s="13">
        <f t="shared" si="29"/>
        <v>0</v>
      </c>
      <c r="O29" s="13">
        <f t="shared" si="29"/>
        <v>0</v>
      </c>
      <c r="P29" s="13">
        <f t="shared" si="29"/>
        <v>0</v>
      </c>
      <c r="Q29" s="13">
        <f t="shared" si="29"/>
        <v>0</v>
      </c>
      <c r="R29" s="13">
        <f t="shared" si="29"/>
        <v>0</v>
      </c>
      <c r="S29" s="13">
        <f t="shared" si="29"/>
        <v>0</v>
      </c>
      <c r="T29" s="13">
        <f t="shared" si="29"/>
        <v>0</v>
      </c>
      <c r="U29" s="13">
        <f t="shared" si="29"/>
        <v>0</v>
      </c>
      <c r="V29" s="13">
        <f t="shared" si="29"/>
        <v>0</v>
      </c>
      <c r="W29" s="13">
        <f t="shared" si="29"/>
        <v>0</v>
      </c>
      <c r="X29" s="13">
        <f t="shared" si="29"/>
        <v>0</v>
      </c>
      <c r="Y29" s="13">
        <f t="shared" si="29"/>
        <v>0</v>
      </c>
      <c r="Z29" s="13">
        <f t="shared" si="29"/>
        <v>0</v>
      </c>
      <c r="AA29" s="13">
        <f t="shared" si="29"/>
        <v>0</v>
      </c>
      <c r="AB29" s="13">
        <f t="shared" si="29"/>
        <v>0</v>
      </c>
      <c r="AC29" s="13">
        <f t="shared" si="29"/>
        <v>0</v>
      </c>
      <c r="AD29" s="13">
        <f t="shared" si="29"/>
        <v>0</v>
      </c>
      <c r="AE29" s="13">
        <f t="shared" si="29"/>
        <v>0</v>
      </c>
      <c r="AF29" s="13">
        <f t="shared" si="29"/>
        <v>0</v>
      </c>
      <c r="AG29" s="13">
        <f t="shared" si="29"/>
        <v>0</v>
      </c>
      <c r="AH29" s="13">
        <f t="shared" si="29"/>
        <v>0</v>
      </c>
      <c r="AI29" s="13">
        <f t="shared" si="29"/>
        <v>0</v>
      </c>
      <c r="AJ29" s="13">
        <f t="shared" si="29"/>
        <v>0</v>
      </c>
      <c r="AK29" s="13">
        <f t="shared" si="29"/>
        <v>0</v>
      </c>
      <c r="AL29" s="13">
        <f t="shared" si="29"/>
        <v>0</v>
      </c>
      <c r="AM29" s="13">
        <f t="shared" si="29"/>
        <v>0</v>
      </c>
      <c r="AN29" s="13">
        <f t="shared" si="29"/>
        <v>0</v>
      </c>
      <c r="AO29" s="13">
        <f t="shared" si="29"/>
        <v>0</v>
      </c>
      <c r="AP29" s="13">
        <f t="shared" si="29"/>
        <v>0</v>
      </c>
      <c r="AQ29" s="13">
        <f t="shared" si="29"/>
        <v>0</v>
      </c>
      <c r="AR29" s="13">
        <f t="shared" si="29"/>
        <v>0</v>
      </c>
      <c r="AS29" s="13">
        <f t="shared" si="29"/>
        <v>0</v>
      </c>
      <c r="AT29" s="13">
        <f t="shared" si="29"/>
        <v>0</v>
      </c>
      <c r="AU29" s="13">
        <f t="shared" si="29"/>
        <v>0</v>
      </c>
      <c r="AV29" s="13">
        <f t="shared" si="29"/>
        <v>0</v>
      </c>
      <c r="AW29" s="13">
        <f t="shared" si="29"/>
        <v>0</v>
      </c>
      <c r="AX29" s="13">
        <f t="shared" si="29"/>
        <v>0</v>
      </c>
      <c r="AY29" s="13">
        <f t="shared" si="29"/>
        <v>0</v>
      </c>
      <c r="AZ29" s="13">
        <f t="shared" si="29"/>
        <v>0</v>
      </c>
      <c r="BA29" s="13">
        <f t="shared" si="29"/>
        <v>0</v>
      </c>
      <c r="BB29" s="13">
        <f t="shared" si="29"/>
        <v>0</v>
      </c>
      <c r="BC29" s="13">
        <f t="shared" si="29"/>
        <v>0</v>
      </c>
      <c r="BD29" s="13">
        <f t="shared" si="29"/>
        <v>0</v>
      </c>
      <c r="BE29" s="13">
        <f t="shared" si="29"/>
        <v>0</v>
      </c>
      <c r="BF29" s="13">
        <f t="shared" si="29"/>
        <v>0</v>
      </c>
      <c r="BG29" s="13">
        <f t="shared" si="29"/>
        <v>0</v>
      </c>
      <c r="BH29" s="13">
        <f t="shared" si="29"/>
        <v>0</v>
      </c>
      <c r="BI29" s="13">
        <f t="shared" si="29"/>
        <v>0</v>
      </c>
      <c r="BJ29" s="13">
        <f t="shared" si="29"/>
        <v>0</v>
      </c>
      <c r="BK29" s="13">
        <f t="shared" si="29"/>
        <v>0</v>
      </c>
      <c r="BL29" s="13">
        <f t="shared" si="29"/>
        <v>0</v>
      </c>
      <c r="BM29" s="13">
        <f t="shared" si="29"/>
        <v>0</v>
      </c>
      <c r="BN29" s="13">
        <f t="shared" si="29"/>
        <v>0</v>
      </c>
      <c r="BO29" s="13">
        <f t="shared" si="29"/>
        <v>0</v>
      </c>
      <c r="BP29" s="13">
        <f t="shared" si="29"/>
        <v>0</v>
      </c>
      <c r="BQ29" s="13">
        <f t="shared" si="29"/>
        <v>0</v>
      </c>
      <c r="BR29" s="13">
        <f t="shared" ref="BR29:EC29" si="30">IF(BR12&gt;$L$8,0,BQ33)</f>
        <v>0</v>
      </c>
      <c r="BS29" s="13">
        <f t="shared" si="30"/>
        <v>0</v>
      </c>
      <c r="BT29" s="13">
        <f t="shared" si="30"/>
        <v>0</v>
      </c>
      <c r="BU29" s="13">
        <f t="shared" si="30"/>
        <v>0</v>
      </c>
      <c r="BV29" s="13">
        <f t="shared" si="30"/>
        <v>0</v>
      </c>
      <c r="BW29" s="13">
        <f t="shared" si="30"/>
        <v>0</v>
      </c>
      <c r="BX29" s="13">
        <f t="shared" si="30"/>
        <v>0</v>
      </c>
      <c r="BY29" s="13">
        <f t="shared" si="30"/>
        <v>0</v>
      </c>
      <c r="BZ29" s="13">
        <f t="shared" si="30"/>
        <v>0</v>
      </c>
      <c r="CA29" s="13">
        <f t="shared" si="30"/>
        <v>0</v>
      </c>
      <c r="CB29" s="13">
        <f t="shared" si="30"/>
        <v>0</v>
      </c>
      <c r="CC29" s="13">
        <f t="shared" si="30"/>
        <v>0</v>
      </c>
      <c r="CD29" s="13">
        <f t="shared" si="30"/>
        <v>0</v>
      </c>
      <c r="CE29" s="13">
        <f t="shared" si="30"/>
        <v>0</v>
      </c>
      <c r="CF29" s="13">
        <f t="shared" si="30"/>
        <v>0</v>
      </c>
      <c r="CG29" s="13">
        <f t="shared" si="30"/>
        <v>0</v>
      </c>
      <c r="CH29" s="13">
        <f t="shared" si="30"/>
        <v>0</v>
      </c>
      <c r="CI29" s="13">
        <f t="shared" si="30"/>
        <v>0</v>
      </c>
      <c r="CJ29" s="13">
        <f t="shared" si="30"/>
        <v>0</v>
      </c>
      <c r="CK29" s="13">
        <f t="shared" si="30"/>
        <v>0</v>
      </c>
      <c r="CL29" s="13">
        <f t="shared" si="30"/>
        <v>0</v>
      </c>
      <c r="CM29" s="13">
        <f t="shared" si="30"/>
        <v>0</v>
      </c>
      <c r="CN29" s="13">
        <f t="shared" si="30"/>
        <v>0</v>
      </c>
      <c r="CO29" s="13">
        <f t="shared" si="30"/>
        <v>0</v>
      </c>
      <c r="CP29" s="13">
        <f t="shared" si="30"/>
        <v>0</v>
      </c>
      <c r="CQ29" s="13">
        <f t="shared" si="30"/>
        <v>0</v>
      </c>
      <c r="CR29" s="13">
        <f t="shared" si="30"/>
        <v>0</v>
      </c>
      <c r="CS29" s="13">
        <f t="shared" si="30"/>
        <v>0</v>
      </c>
      <c r="CT29" s="13">
        <f t="shared" si="30"/>
        <v>0</v>
      </c>
      <c r="CU29" s="13">
        <f t="shared" si="30"/>
        <v>0</v>
      </c>
      <c r="CV29" s="13">
        <f t="shared" si="30"/>
        <v>0</v>
      </c>
      <c r="CW29" s="13">
        <f t="shared" si="30"/>
        <v>0</v>
      </c>
      <c r="CX29" s="13">
        <f t="shared" si="30"/>
        <v>0</v>
      </c>
      <c r="CY29" s="13">
        <f t="shared" si="30"/>
        <v>0</v>
      </c>
      <c r="CZ29" s="13">
        <f t="shared" si="30"/>
        <v>0</v>
      </c>
      <c r="DA29" s="13">
        <f t="shared" si="30"/>
        <v>0</v>
      </c>
      <c r="DB29" s="13">
        <f t="shared" si="30"/>
        <v>0</v>
      </c>
      <c r="DC29" s="13">
        <f t="shared" si="30"/>
        <v>0</v>
      </c>
      <c r="DD29" s="13">
        <f t="shared" si="30"/>
        <v>0</v>
      </c>
      <c r="DE29" s="13">
        <f t="shared" si="30"/>
        <v>0</v>
      </c>
      <c r="DF29" s="13">
        <f t="shared" si="30"/>
        <v>0</v>
      </c>
      <c r="DG29" s="13">
        <f t="shared" si="30"/>
        <v>0</v>
      </c>
      <c r="DH29" s="13">
        <f t="shared" si="30"/>
        <v>0</v>
      </c>
      <c r="DI29" s="13">
        <f t="shared" si="30"/>
        <v>0</v>
      </c>
      <c r="DJ29" s="13">
        <f t="shared" si="30"/>
        <v>0</v>
      </c>
      <c r="DK29" s="13">
        <f t="shared" si="30"/>
        <v>0</v>
      </c>
      <c r="DL29" s="13">
        <f t="shared" si="30"/>
        <v>0</v>
      </c>
      <c r="DM29" s="13">
        <f t="shared" si="30"/>
        <v>0</v>
      </c>
      <c r="DN29" s="13">
        <f t="shared" si="30"/>
        <v>0</v>
      </c>
      <c r="DO29" s="13">
        <f t="shared" si="30"/>
        <v>0</v>
      </c>
      <c r="DP29" s="13">
        <f t="shared" si="30"/>
        <v>0</v>
      </c>
      <c r="DQ29" s="13">
        <f t="shared" si="30"/>
        <v>0</v>
      </c>
      <c r="DR29" s="13">
        <f t="shared" si="30"/>
        <v>0</v>
      </c>
      <c r="DS29" s="13">
        <f t="shared" si="30"/>
        <v>0</v>
      </c>
      <c r="DT29" s="13">
        <f t="shared" si="30"/>
        <v>0</v>
      </c>
      <c r="DU29" s="13">
        <f t="shared" si="30"/>
        <v>0</v>
      </c>
      <c r="DV29" s="13">
        <f t="shared" si="30"/>
        <v>0</v>
      </c>
      <c r="DW29" s="13">
        <f t="shared" si="30"/>
        <v>0</v>
      </c>
      <c r="DX29" s="13">
        <f t="shared" si="30"/>
        <v>0</v>
      </c>
      <c r="DY29" s="13">
        <f t="shared" si="30"/>
        <v>0</v>
      </c>
      <c r="DZ29" s="13">
        <f t="shared" si="30"/>
        <v>0</v>
      </c>
      <c r="EA29" s="13">
        <f t="shared" si="30"/>
        <v>0</v>
      </c>
      <c r="EB29" s="13">
        <f t="shared" si="30"/>
        <v>0</v>
      </c>
      <c r="EC29" s="13">
        <f t="shared" si="30"/>
        <v>0</v>
      </c>
      <c r="ED29" s="13">
        <f t="shared" ref="ED29:EE29" si="31">IF(ED12&gt;$L$8,0,EC33)</f>
        <v>0</v>
      </c>
      <c r="EE29" s="29">
        <f t="shared" si="31"/>
        <v>0</v>
      </c>
    </row>
    <row r="30" spans="2:135" x14ac:dyDescent="0.35">
      <c r="B30" s="34" t="s">
        <v>47</v>
      </c>
      <c r="C30" s="28">
        <v>0</v>
      </c>
      <c r="D30" s="13">
        <f>D29*(1+$C$3)^((D28-C28)/365)-D29</f>
        <v>0</v>
      </c>
      <c r="E30" s="13">
        <f>E29*(1+$C$3)^((E28-D28)/365)-E29</f>
        <v>0</v>
      </c>
      <c r="F30" s="13">
        <f t="shared" ref="F30:BQ30" si="32">F29*(1+$C$3)^((F28-E28)/365)-F29</f>
        <v>0</v>
      </c>
      <c r="G30" s="13">
        <f t="shared" si="32"/>
        <v>0</v>
      </c>
      <c r="H30" s="13">
        <f t="shared" si="32"/>
        <v>0</v>
      </c>
      <c r="I30" s="13">
        <f t="shared" si="32"/>
        <v>0</v>
      </c>
      <c r="J30" s="13">
        <f t="shared" si="32"/>
        <v>0</v>
      </c>
      <c r="K30" s="13">
        <f t="shared" si="32"/>
        <v>0</v>
      </c>
      <c r="L30" s="13">
        <f t="shared" si="32"/>
        <v>0</v>
      </c>
      <c r="M30" s="13">
        <f t="shared" si="32"/>
        <v>0</v>
      </c>
      <c r="N30" s="13">
        <f t="shared" si="32"/>
        <v>0</v>
      </c>
      <c r="O30" s="13">
        <f t="shared" si="32"/>
        <v>0</v>
      </c>
      <c r="P30" s="13">
        <f t="shared" si="32"/>
        <v>0</v>
      </c>
      <c r="Q30" s="13">
        <f t="shared" si="32"/>
        <v>0</v>
      </c>
      <c r="R30" s="13">
        <f t="shared" si="32"/>
        <v>0</v>
      </c>
      <c r="S30" s="13">
        <f t="shared" si="32"/>
        <v>0</v>
      </c>
      <c r="T30" s="13">
        <f t="shared" si="32"/>
        <v>0</v>
      </c>
      <c r="U30" s="13">
        <f t="shared" si="32"/>
        <v>0</v>
      </c>
      <c r="V30" s="13">
        <f t="shared" si="32"/>
        <v>0</v>
      </c>
      <c r="W30" s="13">
        <f t="shared" si="32"/>
        <v>0</v>
      </c>
      <c r="X30" s="13">
        <f t="shared" si="32"/>
        <v>0</v>
      </c>
      <c r="Y30" s="13">
        <f t="shared" si="32"/>
        <v>0</v>
      </c>
      <c r="Z30" s="13">
        <f t="shared" si="32"/>
        <v>0</v>
      </c>
      <c r="AA30" s="13">
        <f t="shared" si="32"/>
        <v>0</v>
      </c>
      <c r="AB30" s="13">
        <f t="shared" si="32"/>
        <v>0</v>
      </c>
      <c r="AC30" s="13">
        <f t="shared" si="32"/>
        <v>0</v>
      </c>
      <c r="AD30" s="13">
        <f t="shared" si="32"/>
        <v>0</v>
      </c>
      <c r="AE30" s="13">
        <f t="shared" si="32"/>
        <v>0</v>
      </c>
      <c r="AF30" s="13">
        <f t="shared" si="32"/>
        <v>0</v>
      </c>
      <c r="AG30" s="13">
        <f t="shared" si="32"/>
        <v>0</v>
      </c>
      <c r="AH30" s="13">
        <f t="shared" si="32"/>
        <v>0</v>
      </c>
      <c r="AI30" s="13">
        <f t="shared" si="32"/>
        <v>0</v>
      </c>
      <c r="AJ30" s="13">
        <f t="shared" si="32"/>
        <v>0</v>
      </c>
      <c r="AK30" s="13">
        <f t="shared" si="32"/>
        <v>0</v>
      </c>
      <c r="AL30" s="13">
        <f t="shared" si="32"/>
        <v>0</v>
      </c>
      <c r="AM30" s="13">
        <f t="shared" si="32"/>
        <v>0</v>
      </c>
      <c r="AN30" s="13">
        <f t="shared" si="32"/>
        <v>0</v>
      </c>
      <c r="AO30" s="13">
        <f t="shared" si="32"/>
        <v>0</v>
      </c>
      <c r="AP30" s="13">
        <f t="shared" si="32"/>
        <v>0</v>
      </c>
      <c r="AQ30" s="13">
        <f t="shared" si="32"/>
        <v>0</v>
      </c>
      <c r="AR30" s="13">
        <f t="shared" si="32"/>
        <v>0</v>
      </c>
      <c r="AS30" s="13">
        <f t="shared" si="32"/>
        <v>0</v>
      </c>
      <c r="AT30" s="13">
        <f t="shared" si="32"/>
        <v>0</v>
      </c>
      <c r="AU30" s="13">
        <f t="shared" si="32"/>
        <v>0</v>
      </c>
      <c r="AV30" s="13">
        <f t="shared" si="32"/>
        <v>0</v>
      </c>
      <c r="AW30" s="13">
        <f t="shared" si="32"/>
        <v>0</v>
      </c>
      <c r="AX30" s="13">
        <f t="shared" si="32"/>
        <v>0</v>
      </c>
      <c r="AY30" s="13">
        <f t="shared" si="32"/>
        <v>0</v>
      </c>
      <c r="AZ30" s="13">
        <f t="shared" si="32"/>
        <v>0</v>
      </c>
      <c r="BA30" s="13">
        <f t="shared" si="32"/>
        <v>0</v>
      </c>
      <c r="BB30" s="13">
        <f t="shared" si="32"/>
        <v>0</v>
      </c>
      <c r="BC30" s="13">
        <f t="shared" si="32"/>
        <v>0</v>
      </c>
      <c r="BD30" s="13">
        <f t="shared" si="32"/>
        <v>0</v>
      </c>
      <c r="BE30" s="13">
        <f t="shared" si="32"/>
        <v>0</v>
      </c>
      <c r="BF30" s="13">
        <f t="shared" si="32"/>
        <v>0</v>
      </c>
      <c r="BG30" s="13">
        <f t="shared" si="32"/>
        <v>0</v>
      </c>
      <c r="BH30" s="13">
        <f t="shared" si="32"/>
        <v>0</v>
      </c>
      <c r="BI30" s="13">
        <f t="shared" si="32"/>
        <v>0</v>
      </c>
      <c r="BJ30" s="13">
        <f t="shared" si="32"/>
        <v>0</v>
      </c>
      <c r="BK30" s="13">
        <f t="shared" si="32"/>
        <v>0</v>
      </c>
      <c r="BL30" s="13">
        <f t="shared" si="32"/>
        <v>0</v>
      </c>
      <c r="BM30" s="13">
        <f t="shared" si="32"/>
        <v>0</v>
      </c>
      <c r="BN30" s="13">
        <f t="shared" si="32"/>
        <v>0</v>
      </c>
      <c r="BO30" s="13">
        <f t="shared" si="32"/>
        <v>0</v>
      </c>
      <c r="BP30" s="13">
        <f t="shared" si="32"/>
        <v>0</v>
      </c>
      <c r="BQ30" s="13">
        <f t="shared" si="32"/>
        <v>0</v>
      </c>
      <c r="BR30" s="13">
        <f t="shared" ref="BR30:EC30" si="33">BR29*(1+$C$3)^((BR28-BQ28)/365)-BR29</f>
        <v>0</v>
      </c>
      <c r="BS30" s="13">
        <f t="shared" si="33"/>
        <v>0</v>
      </c>
      <c r="BT30" s="13">
        <f t="shared" si="33"/>
        <v>0</v>
      </c>
      <c r="BU30" s="13">
        <f t="shared" si="33"/>
        <v>0</v>
      </c>
      <c r="BV30" s="13">
        <f t="shared" si="33"/>
        <v>0</v>
      </c>
      <c r="BW30" s="13">
        <f t="shared" si="33"/>
        <v>0</v>
      </c>
      <c r="BX30" s="13">
        <f t="shared" si="33"/>
        <v>0</v>
      </c>
      <c r="BY30" s="13">
        <f t="shared" si="33"/>
        <v>0</v>
      </c>
      <c r="BZ30" s="13">
        <f t="shared" si="33"/>
        <v>0</v>
      </c>
      <c r="CA30" s="13">
        <f t="shared" si="33"/>
        <v>0</v>
      </c>
      <c r="CB30" s="13">
        <f t="shared" si="33"/>
        <v>0</v>
      </c>
      <c r="CC30" s="13">
        <f t="shared" si="33"/>
        <v>0</v>
      </c>
      <c r="CD30" s="13">
        <f t="shared" si="33"/>
        <v>0</v>
      </c>
      <c r="CE30" s="13">
        <f t="shared" si="33"/>
        <v>0</v>
      </c>
      <c r="CF30" s="13">
        <f t="shared" si="33"/>
        <v>0</v>
      </c>
      <c r="CG30" s="13">
        <f t="shared" si="33"/>
        <v>0</v>
      </c>
      <c r="CH30" s="13">
        <f t="shared" si="33"/>
        <v>0</v>
      </c>
      <c r="CI30" s="13">
        <f t="shared" si="33"/>
        <v>0</v>
      </c>
      <c r="CJ30" s="13">
        <f t="shared" si="33"/>
        <v>0</v>
      </c>
      <c r="CK30" s="13">
        <f t="shared" si="33"/>
        <v>0</v>
      </c>
      <c r="CL30" s="13">
        <f t="shared" si="33"/>
        <v>0</v>
      </c>
      <c r="CM30" s="13">
        <f t="shared" si="33"/>
        <v>0</v>
      </c>
      <c r="CN30" s="13">
        <f t="shared" si="33"/>
        <v>0</v>
      </c>
      <c r="CO30" s="13">
        <f t="shared" si="33"/>
        <v>0</v>
      </c>
      <c r="CP30" s="13">
        <f t="shared" si="33"/>
        <v>0</v>
      </c>
      <c r="CQ30" s="13">
        <f t="shared" si="33"/>
        <v>0</v>
      </c>
      <c r="CR30" s="13">
        <f t="shared" si="33"/>
        <v>0</v>
      </c>
      <c r="CS30" s="13">
        <f t="shared" si="33"/>
        <v>0</v>
      </c>
      <c r="CT30" s="13">
        <f t="shared" si="33"/>
        <v>0</v>
      </c>
      <c r="CU30" s="13">
        <f t="shared" si="33"/>
        <v>0</v>
      </c>
      <c r="CV30" s="13">
        <f t="shared" si="33"/>
        <v>0</v>
      </c>
      <c r="CW30" s="13">
        <f t="shared" si="33"/>
        <v>0</v>
      </c>
      <c r="CX30" s="13">
        <f t="shared" si="33"/>
        <v>0</v>
      </c>
      <c r="CY30" s="13">
        <f t="shared" si="33"/>
        <v>0</v>
      </c>
      <c r="CZ30" s="13">
        <f t="shared" si="33"/>
        <v>0</v>
      </c>
      <c r="DA30" s="13">
        <f t="shared" si="33"/>
        <v>0</v>
      </c>
      <c r="DB30" s="13">
        <f t="shared" si="33"/>
        <v>0</v>
      </c>
      <c r="DC30" s="13">
        <f t="shared" si="33"/>
        <v>0</v>
      </c>
      <c r="DD30" s="13">
        <f t="shared" si="33"/>
        <v>0</v>
      </c>
      <c r="DE30" s="13">
        <f t="shared" si="33"/>
        <v>0</v>
      </c>
      <c r="DF30" s="13">
        <f t="shared" si="33"/>
        <v>0</v>
      </c>
      <c r="DG30" s="13">
        <f t="shared" si="33"/>
        <v>0</v>
      </c>
      <c r="DH30" s="13">
        <f t="shared" si="33"/>
        <v>0</v>
      </c>
      <c r="DI30" s="13">
        <f t="shared" si="33"/>
        <v>0</v>
      </c>
      <c r="DJ30" s="13">
        <f t="shared" si="33"/>
        <v>0</v>
      </c>
      <c r="DK30" s="13">
        <f t="shared" si="33"/>
        <v>0</v>
      </c>
      <c r="DL30" s="13">
        <f t="shared" si="33"/>
        <v>0</v>
      </c>
      <c r="DM30" s="13">
        <f t="shared" si="33"/>
        <v>0</v>
      </c>
      <c r="DN30" s="13">
        <f t="shared" si="33"/>
        <v>0</v>
      </c>
      <c r="DO30" s="13">
        <f t="shared" si="33"/>
        <v>0</v>
      </c>
      <c r="DP30" s="13">
        <f t="shared" si="33"/>
        <v>0</v>
      </c>
      <c r="DQ30" s="13">
        <f t="shared" si="33"/>
        <v>0</v>
      </c>
      <c r="DR30" s="13">
        <f t="shared" si="33"/>
        <v>0</v>
      </c>
      <c r="DS30" s="13">
        <f t="shared" si="33"/>
        <v>0</v>
      </c>
      <c r="DT30" s="13">
        <f t="shared" si="33"/>
        <v>0</v>
      </c>
      <c r="DU30" s="13">
        <f t="shared" si="33"/>
        <v>0</v>
      </c>
      <c r="DV30" s="13">
        <f t="shared" si="33"/>
        <v>0</v>
      </c>
      <c r="DW30" s="13">
        <f t="shared" si="33"/>
        <v>0</v>
      </c>
      <c r="DX30" s="13">
        <f t="shared" si="33"/>
        <v>0</v>
      </c>
      <c r="DY30" s="13">
        <f t="shared" si="33"/>
        <v>0</v>
      </c>
      <c r="DZ30" s="13">
        <f t="shared" si="33"/>
        <v>0</v>
      </c>
      <c r="EA30" s="13">
        <f t="shared" si="33"/>
        <v>0</v>
      </c>
      <c r="EB30" s="13">
        <f t="shared" si="33"/>
        <v>0</v>
      </c>
      <c r="EC30" s="13">
        <f t="shared" si="33"/>
        <v>0</v>
      </c>
      <c r="ED30" s="13">
        <f t="shared" ref="ED30:EE30" si="34">ED29*(1+$C$3)^((ED28-EC28)/365)-ED29</f>
        <v>0</v>
      </c>
      <c r="EE30" s="29">
        <f t="shared" si="34"/>
        <v>0</v>
      </c>
    </row>
    <row r="31" spans="2:135" x14ac:dyDescent="0.35">
      <c r="B31" s="34" t="s">
        <v>48</v>
      </c>
      <c r="C31" s="13">
        <f>IF(C26&lt;0, C26*$C$10,0)</f>
        <v>-3498375</v>
      </c>
      <c r="D31" s="13">
        <f>IF(D26&lt;0, D26*$C$10,0)</f>
        <v>0</v>
      </c>
      <c r="E31" s="13">
        <f>IF(E26&lt;0, E26*$C$10,0)</f>
        <v>0</v>
      </c>
      <c r="F31" s="13">
        <f t="shared" ref="F31:BQ31" si="35">IF(F26&lt;0, F26*$C$10,0)</f>
        <v>0</v>
      </c>
      <c r="G31" s="13">
        <f t="shared" si="35"/>
        <v>0</v>
      </c>
      <c r="H31" s="13">
        <f t="shared" si="35"/>
        <v>0</v>
      </c>
      <c r="I31" s="13">
        <f t="shared" si="35"/>
        <v>0</v>
      </c>
      <c r="J31" s="13">
        <f t="shared" si="35"/>
        <v>0</v>
      </c>
      <c r="K31" s="13">
        <f t="shared" si="35"/>
        <v>0</v>
      </c>
      <c r="L31" s="13">
        <f t="shared" si="35"/>
        <v>0</v>
      </c>
      <c r="M31" s="13">
        <f t="shared" si="35"/>
        <v>0</v>
      </c>
      <c r="N31" s="13">
        <f t="shared" si="35"/>
        <v>0</v>
      </c>
      <c r="O31" s="13">
        <f t="shared" si="35"/>
        <v>0</v>
      </c>
      <c r="P31" s="13">
        <f t="shared" si="35"/>
        <v>0</v>
      </c>
      <c r="Q31" s="13">
        <f t="shared" si="35"/>
        <v>0</v>
      </c>
      <c r="R31" s="13">
        <f t="shared" si="35"/>
        <v>0</v>
      </c>
      <c r="S31" s="13">
        <f t="shared" si="35"/>
        <v>0</v>
      </c>
      <c r="T31" s="13">
        <f t="shared" si="35"/>
        <v>0</v>
      </c>
      <c r="U31" s="13">
        <f t="shared" si="35"/>
        <v>0</v>
      </c>
      <c r="V31" s="13">
        <f t="shared" si="35"/>
        <v>0</v>
      </c>
      <c r="W31" s="13">
        <f t="shared" si="35"/>
        <v>0</v>
      </c>
      <c r="X31" s="13">
        <f t="shared" si="35"/>
        <v>0</v>
      </c>
      <c r="Y31" s="13">
        <f t="shared" si="35"/>
        <v>0</v>
      </c>
      <c r="Z31" s="13">
        <f t="shared" si="35"/>
        <v>0</v>
      </c>
      <c r="AA31" s="13">
        <f t="shared" si="35"/>
        <v>0</v>
      </c>
      <c r="AB31" s="13">
        <f t="shared" si="35"/>
        <v>0</v>
      </c>
      <c r="AC31" s="13">
        <f t="shared" si="35"/>
        <v>0</v>
      </c>
      <c r="AD31" s="13">
        <f t="shared" si="35"/>
        <v>0</v>
      </c>
      <c r="AE31" s="13">
        <f t="shared" si="35"/>
        <v>0</v>
      </c>
      <c r="AF31" s="13">
        <f t="shared" si="35"/>
        <v>0</v>
      </c>
      <c r="AG31" s="13">
        <f t="shared" si="35"/>
        <v>0</v>
      </c>
      <c r="AH31" s="13">
        <f t="shared" si="35"/>
        <v>0</v>
      </c>
      <c r="AI31" s="13">
        <f t="shared" si="35"/>
        <v>0</v>
      </c>
      <c r="AJ31" s="13">
        <f t="shared" si="35"/>
        <v>0</v>
      </c>
      <c r="AK31" s="13">
        <f t="shared" si="35"/>
        <v>0</v>
      </c>
      <c r="AL31" s="13">
        <f t="shared" si="35"/>
        <v>0</v>
      </c>
      <c r="AM31" s="13">
        <f t="shared" si="35"/>
        <v>0</v>
      </c>
      <c r="AN31" s="13">
        <f t="shared" si="35"/>
        <v>0</v>
      </c>
      <c r="AO31" s="13">
        <f t="shared" si="35"/>
        <v>0</v>
      </c>
      <c r="AP31" s="13">
        <f t="shared" si="35"/>
        <v>0</v>
      </c>
      <c r="AQ31" s="13">
        <f t="shared" si="35"/>
        <v>0</v>
      </c>
      <c r="AR31" s="13">
        <f t="shared" si="35"/>
        <v>0</v>
      </c>
      <c r="AS31" s="13">
        <f t="shared" si="35"/>
        <v>0</v>
      </c>
      <c r="AT31" s="13">
        <f t="shared" si="35"/>
        <v>0</v>
      </c>
      <c r="AU31" s="13">
        <f t="shared" si="35"/>
        <v>0</v>
      </c>
      <c r="AV31" s="13">
        <f t="shared" si="35"/>
        <v>0</v>
      </c>
      <c r="AW31" s="13">
        <f t="shared" si="35"/>
        <v>0</v>
      </c>
      <c r="AX31" s="13">
        <f t="shared" si="35"/>
        <v>0</v>
      </c>
      <c r="AY31" s="13">
        <f t="shared" si="35"/>
        <v>0</v>
      </c>
      <c r="AZ31" s="13">
        <f t="shared" si="35"/>
        <v>0</v>
      </c>
      <c r="BA31" s="13">
        <f t="shared" si="35"/>
        <v>0</v>
      </c>
      <c r="BB31" s="13">
        <f t="shared" si="35"/>
        <v>0</v>
      </c>
      <c r="BC31" s="13">
        <f t="shared" si="35"/>
        <v>0</v>
      </c>
      <c r="BD31" s="13">
        <f t="shared" si="35"/>
        <v>0</v>
      </c>
      <c r="BE31" s="13">
        <f t="shared" si="35"/>
        <v>0</v>
      </c>
      <c r="BF31" s="13">
        <f t="shared" si="35"/>
        <v>0</v>
      </c>
      <c r="BG31" s="13">
        <f t="shared" si="35"/>
        <v>0</v>
      </c>
      <c r="BH31" s="13">
        <f t="shared" si="35"/>
        <v>0</v>
      </c>
      <c r="BI31" s="13">
        <f t="shared" si="35"/>
        <v>0</v>
      </c>
      <c r="BJ31" s="13">
        <f t="shared" si="35"/>
        <v>0</v>
      </c>
      <c r="BK31" s="13">
        <f t="shared" si="35"/>
        <v>0</v>
      </c>
      <c r="BL31" s="13">
        <f t="shared" si="35"/>
        <v>0</v>
      </c>
      <c r="BM31" s="13">
        <f t="shared" si="35"/>
        <v>0</v>
      </c>
      <c r="BN31" s="13">
        <f t="shared" si="35"/>
        <v>0</v>
      </c>
      <c r="BO31" s="13">
        <f t="shared" si="35"/>
        <v>0</v>
      </c>
      <c r="BP31" s="13">
        <f t="shared" si="35"/>
        <v>0</v>
      </c>
      <c r="BQ31" s="13">
        <f t="shared" si="35"/>
        <v>0</v>
      </c>
      <c r="BR31" s="13">
        <f t="shared" ref="BR31:EC31" si="36">IF(BR26&lt;0, BR26*$C$10,0)</f>
        <v>0</v>
      </c>
      <c r="BS31" s="13">
        <f t="shared" si="36"/>
        <v>0</v>
      </c>
      <c r="BT31" s="13">
        <f t="shared" si="36"/>
        <v>0</v>
      </c>
      <c r="BU31" s="13">
        <f t="shared" si="36"/>
        <v>0</v>
      </c>
      <c r="BV31" s="13">
        <f t="shared" si="36"/>
        <v>0</v>
      </c>
      <c r="BW31" s="13">
        <f t="shared" si="36"/>
        <v>0</v>
      </c>
      <c r="BX31" s="13">
        <f t="shared" si="36"/>
        <v>0</v>
      </c>
      <c r="BY31" s="13">
        <f t="shared" si="36"/>
        <v>0</v>
      </c>
      <c r="BZ31" s="13">
        <f t="shared" si="36"/>
        <v>0</v>
      </c>
      <c r="CA31" s="13">
        <f t="shared" si="36"/>
        <v>0</v>
      </c>
      <c r="CB31" s="13">
        <f t="shared" si="36"/>
        <v>0</v>
      </c>
      <c r="CC31" s="13">
        <f t="shared" si="36"/>
        <v>0</v>
      </c>
      <c r="CD31" s="13">
        <f t="shared" si="36"/>
        <v>0</v>
      </c>
      <c r="CE31" s="13">
        <f t="shared" si="36"/>
        <v>0</v>
      </c>
      <c r="CF31" s="13">
        <f t="shared" si="36"/>
        <v>0</v>
      </c>
      <c r="CG31" s="13">
        <f t="shared" si="36"/>
        <v>0</v>
      </c>
      <c r="CH31" s="13">
        <f t="shared" si="36"/>
        <v>0</v>
      </c>
      <c r="CI31" s="13">
        <f t="shared" si="36"/>
        <v>0</v>
      </c>
      <c r="CJ31" s="13">
        <f t="shared" si="36"/>
        <v>0</v>
      </c>
      <c r="CK31" s="13">
        <f t="shared" si="36"/>
        <v>0</v>
      </c>
      <c r="CL31" s="13">
        <f t="shared" si="36"/>
        <v>0</v>
      </c>
      <c r="CM31" s="13">
        <f t="shared" si="36"/>
        <v>0</v>
      </c>
      <c r="CN31" s="13">
        <f t="shared" si="36"/>
        <v>0</v>
      </c>
      <c r="CO31" s="13">
        <f t="shared" si="36"/>
        <v>0</v>
      </c>
      <c r="CP31" s="13">
        <f t="shared" si="36"/>
        <v>0</v>
      </c>
      <c r="CQ31" s="13">
        <f t="shared" si="36"/>
        <v>0</v>
      </c>
      <c r="CR31" s="13">
        <f t="shared" si="36"/>
        <v>0</v>
      </c>
      <c r="CS31" s="13">
        <f t="shared" si="36"/>
        <v>0</v>
      </c>
      <c r="CT31" s="13">
        <f t="shared" si="36"/>
        <v>0</v>
      </c>
      <c r="CU31" s="13">
        <f t="shared" si="36"/>
        <v>0</v>
      </c>
      <c r="CV31" s="13">
        <f t="shared" si="36"/>
        <v>0</v>
      </c>
      <c r="CW31" s="13">
        <f t="shared" si="36"/>
        <v>0</v>
      </c>
      <c r="CX31" s="13">
        <f t="shared" si="36"/>
        <v>0</v>
      </c>
      <c r="CY31" s="13">
        <f t="shared" si="36"/>
        <v>0</v>
      </c>
      <c r="CZ31" s="13">
        <f t="shared" si="36"/>
        <v>0</v>
      </c>
      <c r="DA31" s="13">
        <f t="shared" si="36"/>
        <v>0</v>
      </c>
      <c r="DB31" s="13">
        <f t="shared" si="36"/>
        <v>0</v>
      </c>
      <c r="DC31" s="13">
        <f t="shared" si="36"/>
        <v>0</v>
      </c>
      <c r="DD31" s="13">
        <f t="shared" si="36"/>
        <v>0</v>
      </c>
      <c r="DE31" s="13">
        <f t="shared" si="36"/>
        <v>0</v>
      </c>
      <c r="DF31" s="13">
        <f t="shared" si="36"/>
        <v>0</v>
      </c>
      <c r="DG31" s="13">
        <f t="shared" si="36"/>
        <v>0</v>
      </c>
      <c r="DH31" s="13">
        <f t="shared" si="36"/>
        <v>0</v>
      </c>
      <c r="DI31" s="13">
        <f t="shared" si="36"/>
        <v>0</v>
      </c>
      <c r="DJ31" s="13">
        <f t="shared" si="36"/>
        <v>0</v>
      </c>
      <c r="DK31" s="13">
        <f t="shared" si="36"/>
        <v>0</v>
      </c>
      <c r="DL31" s="13">
        <f t="shared" si="36"/>
        <v>0</v>
      </c>
      <c r="DM31" s="13">
        <f t="shared" si="36"/>
        <v>0</v>
      </c>
      <c r="DN31" s="13">
        <f t="shared" si="36"/>
        <v>0</v>
      </c>
      <c r="DO31" s="13">
        <f t="shared" si="36"/>
        <v>0</v>
      </c>
      <c r="DP31" s="13">
        <f t="shared" si="36"/>
        <v>0</v>
      </c>
      <c r="DQ31" s="13">
        <f t="shared" si="36"/>
        <v>0</v>
      </c>
      <c r="DR31" s="13">
        <f t="shared" si="36"/>
        <v>0</v>
      </c>
      <c r="DS31" s="13">
        <f t="shared" si="36"/>
        <v>0</v>
      </c>
      <c r="DT31" s="13">
        <f t="shared" si="36"/>
        <v>0</v>
      </c>
      <c r="DU31" s="13">
        <f t="shared" si="36"/>
        <v>0</v>
      </c>
      <c r="DV31" s="13">
        <f t="shared" si="36"/>
        <v>0</v>
      </c>
      <c r="DW31" s="13">
        <f t="shared" si="36"/>
        <v>0</v>
      </c>
      <c r="DX31" s="13">
        <f t="shared" si="36"/>
        <v>0</v>
      </c>
      <c r="DY31" s="13">
        <f t="shared" si="36"/>
        <v>0</v>
      </c>
      <c r="DZ31" s="13">
        <f t="shared" si="36"/>
        <v>0</v>
      </c>
      <c r="EA31" s="13">
        <f t="shared" si="36"/>
        <v>0</v>
      </c>
      <c r="EB31" s="13">
        <f t="shared" si="36"/>
        <v>0</v>
      </c>
      <c r="EC31" s="13">
        <f t="shared" si="36"/>
        <v>0</v>
      </c>
      <c r="ED31" s="13">
        <f t="shared" ref="ED31:EE31" si="37">IF(ED26&lt;0, ED26*$C$10,0)</f>
        <v>0</v>
      </c>
      <c r="EE31" s="29">
        <f t="shared" si="37"/>
        <v>0</v>
      </c>
    </row>
    <row r="32" spans="2:135" x14ac:dyDescent="0.35">
      <c r="B32" s="34" t="s">
        <v>49</v>
      </c>
      <c r="C32" s="28">
        <v>0</v>
      </c>
      <c r="D32" s="37">
        <f>MIN(SUM(D29:D30),MAX(D26,0)*$F$3)</f>
        <v>0</v>
      </c>
      <c r="E32" s="37">
        <f>MIN(SUM(E29:E30),MAX(E26,0)*$F$3)</f>
        <v>0</v>
      </c>
      <c r="F32" s="37">
        <f t="shared" ref="F32:BQ32" si="38">MIN(SUM(F29:F30),MAX(F26,0)*$F$3)</f>
        <v>0</v>
      </c>
      <c r="G32" s="37">
        <f t="shared" si="38"/>
        <v>0</v>
      </c>
      <c r="H32" s="37">
        <f t="shared" si="38"/>
        <v>0</v>
      </c>
      <c r="I32" s="37">
        <f t="shared" si="38"/>
        <v>0</v>
      </c>
      <c r="J32" s="37">
        <f t="shared" si="38"/>
        <v>0</v>
      </c>
      <c r="K32" s="37">
        <f t="shared" si="38"/>
        <v>0</v>
      </c>
      <c r="L32" s="37">
        <f t="shared" si="38"/>
        <v>0</v>
      </c>
      <c r="M32" s="37">
        <f t="shared" si="38"/>
        <v>0</v>
      </c>
      <c r="N32" s="37">
        <f t="shared" si="38"/>
        <v>0</v>
      </c>
      <c r="O32" s="37">
        <f t="shared" si="38"/>
        <v>0</v>
      </c>
      <c r="P32" s="37">
        <f t="shared" si="38"/>
        <v>0</v>
      </c>
      <c r="Q32" s="37">
        <f t="shared" si="38"/>
        <v>0</v>
      </c>
      <c r="R32" s="37">
        <f t="shared" si="38"/>
        <v>0</v>
      </c>
      <c r="S32" s="37">
        <f t="shared" si="38"/>
        <v>0</v>
      </c>
      <c r="T32" s="37">
        <f t="shared" si="38"/>
        <v>0</v>
      </c>
      <c r="U32" s="37">
        <f t="shared" si="38"/>
        <v>0</v>
      </c>
      <c r="V32" s="37">
        <f t="shared" si="38"/>
        <v>0</v>
      </c>
      <c r="W32" s="37">
        <f t="shared" si="38"/>
        <v>0</v>
      </c>
      <c r="X32" s="37">
        <f t="shared" si="38"/>
        <v>0</v>
      </c>
      <c r="Y32" s="37">
        <f t="shared" si="38"/>
        <v>0</v>
      </c>
      <c r="Z32" s="37">
        <f t="shared" si="38"/>
        <v>0</v>
      </c>
      <c r="AA32" s="37">
        <f t="shared" si="38"/>
        <v>0</v>
      </c>
      <c r="AB32" s="37">
        <f t="shared" si="38"/>
        <v>0</v>
      </c>
      <c r="AC32" s="37">
        <f t="shared" si="38"/>
        <v>0</v>
      </c>
      <c r="AD32" s="37">
        <f t="shared" si="38"/>
        <v>0</v>
      </c>
      <c r="AE32" s="37">
        <f t="shared" si="38"/>
        <v>0</v>
      </c>
      <c r="AF32" s="37">
        <f t="shared" si="38"/>
        <v>0</v>
      </c>
      <c r="AG32" s="37">
        <f t="shared" si="38"/>
        <v>0</v>
      </c>
      <c r="AH32" s="37">
        <f t="shared" si="38"/>
        <v>0</v>
      </c>
      <c r="AI32" s="37">
        <f t="shared" si="38"/>
        <v>0</v>
      </c>
      <c r="AJ32" s="37">
        <f t="shared" si="38"/>
        <v>0</v>
      </c>
      <c r="AK32" s="37">
        <f t="shared" si="38"/>
        <v>0</v>
      </c>
      <c r="AL32" s="37">
        <f t="shared" si="38"/>
        <v>0</v>
      </c>
      <c r="AM32" s="37">
        <f t="shared" si="38"/>
        <v>0</v>
      </c>
      <c r="AN32" s="37">
        <f t="shared" si="38"/>
        <v>0</v>
      </c>
      <c r="AO32" s="37">
        <f t="shared" si="38"/>
        <v>0</v>
      </c>
      <c r="AP32" s="37">
        <f t="shared" si="38"/>
        <v>0</v>
      </c>
      <c r="AQ32" s="37">
        <f t="shared" si="38"/>
        <v>0</v>
      </c>
      <c r="AR32" s="37">
        <f t="shared" si="38"/>
        <v>0</v>
      </c>
      <c r="AS32" s="37">
        <f t="shared" si="38"/>
        <v>0</v>
      </c>
      <c r="AT32" s="37">
        <f t="shared" si="38"/>
        <v>0</v>
      </c>
      <c r="AU32" s="37">
        <f t="shared" si="38"/>
        <v>0</v>
      </c>
      <c r="AV32" s="37">
        <f t="shared" si="38"/>
        <v>0</v>
      </c>
      <c r="AW32" s="37">
        <f t="shared" si="38"/>
        <v>0</v>
      </c>
      <c r="AX32" s="37">
        <f t="shared" si="38"/>
        <v>0</v>
      </c>
      <c r="AY32" s="37">
        <f t="shared" si="38"/>
        <v>0</v>
      </c>
      <c r="AZ32" s="37">
        <f t="shared" si="38"/>
        <v>0</v>
      </c>
      <c r="BA32" s="37">
        <f t="shared" si="38"/>
        <v>0</v>
      </c>
      <c r="BB32" s="37">
        <f t="shared" si="38"/>
        <v>0</v>
      </c>
      <c r="BC32" s="37">
        <f t="shared" si="38"/>
        <v>0</v>
      </c>
      <c r="BD32" s="37">
        <f t="shared" si="38"/>
        <v>0</v>
      </c>
      <c r="BE32" s="37">
        <f t="shared" si="38"/>
        <v>0</v>
      </c>
      <c r="BF32" s="37">
        <f t="shared" si="38"/>
        <v>0</v>
      </c>
      <c r="BG32" s="37">
        <f t="shared" si="38"/>
        <v>0</v>
      </c>
      <c r="BH32" s="37">
        <f t="shared" si="38"/>
        <v>0</v>
      </c>
      <c r="BI32" s="37">
        <f t="shared" si="38"/>
        <v>0</v>
      </c>
      <c r="BJ32" s="37">
        <f t="shared" si="38"/>
        <v>0</v>
      </c>
      <c r="BK32" s="37">
        <f>MIN(SUM(BK29:BK30),MAX(BK26,0)*$F$3)</f>
        <v>0</v>
      </c>
      <c r="BL32" s="37">
        <f t="shared" si="38"/>
        <v>0</v>
      </c>
      <c r="BM32" s="37">
        <f t="shared" si="38"/>
        <v>0</v>
      </c>
      <c r="BN32" s="37">
        <f t="shared" si="38"/>
        <v>0</v>
      </c>
      <c r="BO32" s="37">
        <f t="shared" si="38"/>
        <v>0</v>
      </c>
      <c r="BP32" s="37">
        <f t="shared" si="38"/>
        <v>0</v>
      </c>
      <c r="BQ32" s="37">
        <f t="shared" si="38"/>
        <v>0</v>
      </c>
      <c r="BR32" s="37">
        <f t="shared" ref="BR32:EC32" si="39">MIN(SUM(BR29:BR30),MAX(BR26,0)*$F$3)</f>
        <v>0</v>
      </c>
      <c r="BS32" s="37">
        <f t="shared" si="39"/>
        <v>0</v>
      </c>
      <c r="BT32" s="37">
        <f t="shared" si="39"/>
        <v>0</v>
      </c>
      <c r="BU32" s="37">
        <f t="shared" si="39"/>
        <v>0</v>
      </c>
      <c r="BV32" s="37">
        <f t="shared" si="39"/>
        <v>0</v>
      </c>
      <c r="BW32" s="37">
        <f t="shared" si="39"/>
        <v>0</v>
      </c>
      <c r="BX32" s="37">
        <f t="shared" si="39"/>
        <v>0</v>
      </c>
      <c r="BY32" s="37">
        <f t="shared" si="39"/>
        <v>0</v>
      </c>
      <c r="BZ32" s="37">
        <f t="shared" si="39"/>
        <v>0</v>
      </c>
      <c r="CA32" s="37">
        <f t="shared" si="39"/>
        <v>0</v>
      </c>
      <c r="CB32" s="37">
        <f t="shared" si="39"/>
        <v>0</v>
      </c>
      <c r="CC32" s="37">
        <f t="shared" si="39"/>
        <v>0</v>
      </c>
      <c r="CD32" s="37">
        <f t="shared" si="39"/>
        <v>0</v>
      </c>
      <c r="CE32" s="37">
        <f t="shared" si="39"/>
        <v>0</v>
      </c>
      <c r="CF32" s="37">
        <f t="shared" si="39"/>
        <v>0</v>
      </c>
      <c r="CG32" s="37">
        <f t="shared" si="39"/>
        <v>0</v>
      </c>
      <c r="CH32" s="37">
        <f t="shared" si="39"/>
        <v>0</v>
      </c>
      <c r="CI32" s="37">
        <f t="shared" si="39"/>
        <v>0</v>
      </c>
      <c r="CJ32" s="37">
        <f t="shared" si="39"/>
        <v>0</v>
      </c>
      <c r="CK32" s="37">
        <f t="shared" si="39"/>
        <v>0</v>
      </c>
      <c r="CL32" s="37">
        <f t="shared" si="39"/>
        <v>0</v>
      </c>
      <c r="CM32" s="37">
        <f t="shared" si="39"/>
        <v>0</v>
      </c>
      <c r="CN32" s="37">
        <f t="shared" si="39"/>
        <v>0</v>
      </c>
      <c r="CO32" s="37">
        <f t="shared" si="39"/>
        <v>0</v>
      </c>
      <c r="CP32" s="37">
        <f t="shared" si="39"/>
        <v>0</v>
      </c>
      <c r="CQ32" s="37">
        <f t="shared" si="39"/>
        <v>0</v>
      </c>
      <c r="CR32" s="37">
        <f t="shared" si="39"/>
        <v>0</v>
      </c>
      <c r="CS32" s="37">
        <f t="shared" si="39"/>
        <v>0</v>
      </c>
      <c r="CT32" s="37">
        <f t="shared" si="39"/>
        <v>0</v>
      </c>
      <c r="CU32" s="37">
        <f t="shared" si="39"/>
        <v>0</v>
      </c>
      <c r="CV32" s="37">
        <f t="shared" si="39"/>
        <v>0</v>
      </c>
      <c r="CW32" s="37">
        <f t="shared" si="39"/>
        <v>0</v>
      </c>
      <c r="CX32" s="37">
        <f t="shared" si="39"/>
        <v>0</v>
      </c>
      <c r="CY32" s="37">
        <f t="shared" si="39"/>
        <v>0</v>
      </c>
      <c r="CZ32" s="37">
        <f t="shared" si="39"/>
        <v>0</v>
      </c>
      <c r="DA32" s="37">
        <f t="shared" si="39"/>
        <v>0</v>
      </c>
      <c r="DB32" s="37">
        <f t="shared" si="39"/>
        <v>0</v>
      </c>
      <c r="DC32" s="37">
        <f t="shared" si="39"/>
        <v>0</v>
      </c>
      <c r="DD32" s="37">
        <f t="shared" si="39"/>
        <v>0</v>
      </c>
      <c r="DE32" s="37">
        <f t="shared" si="39"/>
        <v>0</v>
      </c>
      <c r="DF32" s="37">
        <f t="shared" si="39"/>
        <v>0</v>
      </c>
      <c r="DG32" s="37">
        <f t="shared" si="39"/>
        <v>0</v>
      </c>
      <c r="DH32" s="37">
        <f t="shared" si="39"/>
        <v>0</v>
      </c>
      <c r="DI32" s="37">
        <f t="shared" si="39"/>
        <v>0</v>
      </c>
      <c r="DJ32" s="37">
        <f t="shared" si="39"/>
        <v>0</v>
      </c>
      <c r="DK32" s="37">
        <f t="shared" si="39"/>
        <v>0</v>
      </c>
      <c r="DL32" s="37">
        <f t="shared" si="39"/>
        <v>0</v>
      </c>
      <c r="DM32" s="37">
        <f t="shared" si="39"/>
        <v>0</v>
      </c>
      <c r="DN32" s="37">
        <f t="shared" si="39"/>
        <v>0</v>
      </c>
      <c r="DO32" s="37">
        <f t="shared" si="39"/>
        <v>0</v>
      </c>
      <c r="DP32" s="37">
        <f t="shared" si="39"/>
        <v>0</v>
      </c>
      <c r="DQ32" s="37">
        <f t="shared" si="39"/>
        <v>0</v>
      </c>
      <c r="DR32" s="37">
        <f t="shared" si="39"/>
        <v>0</v>
      </c>
      <c r="DS32" s="37">
        <f t="shared" si="39"/>
        <v>0</v>
      </c>
      <c r="DT32" s="37">
        <f t="shared" si="39"/>
        <v>0</v>
      </c>
      <c r="DU32" s="37">
        <f t="shared" si="39"/>
        <v>0</v>
      </c>
      <c r="DV32" s="37">
        <f t="shared" si="39"/>
        <v>0</v>
      </c>
      <c r="DW32" s="37">
        <f t="shared" si="39"/>
        <v>0</v>
      </c>
      <c r="DX32" s="37">
        <f t="shared" si="39"/>
        <v>0</v>
      </c>
      <c r="DY32" s="37">
        <f t="shared" si="39"/>
        <v>0</v>
      </c>
      <c r="DZ32" s="37">
        <f t="shared" si="39"/>
        <v>0</v>
      </c>
      <c r="EA32" s="37">
        <f t="shared" si="39"/>
        <v>0</v>
      </c>
      <c r="EB32" s="37">
        <f t="shared" si="39"/>
        <v>0</v>
      </c>
      <c r="EC32" s="37">
        <f t="shared" si="39"/>
        <v>0</v>
      </c>
      <c r="ED32" s="37">
        <f t="shared" ref="ED32:EE32" si="40">MIN(SUM(ED29:ED30),MAX(ED26,0)*$F$3)</f>
        <v>0</v>
      </c>
      <c r="EE32" s="38">
        <f t="shared" si="40"/>
        <v>0</v>
      </c>
    </row>
    <row r="33" spans="1:135" x14ac:dyDescent="0.35">
      <c r="A33" s="47" t="s">
        <v>55</v>
      </c>
      <c r="B33" s="34" t="s">
        <v>50</v>
      </c>
      <c r="C33" s="13">
        <f>C29+C30-C31-C32</f>
        <v>3498375</v>
      </c>
      <c r="D33" s="13">
        <f>D29+D30-D31-D32</f>
        <v>0</v>
      </c>
      <c r="E33" s="13">
        <f>E29+E30-E31-E32</f>
        <v>0</v>
      </c>
      <c r="F33" s="13">
        <f t="shared" ref="F33:BQ33" si="41">F29+F30-F31-F32</f>
        <v>0</v>
      </c>
      <c r="G33" s="13">
        <f t="shared" si="41"/>
        <v>0</v>
      </c>
      <c r="H33" s="13">
        <f t="shared" si="41"/>
        <v>0</v>
      </c>
      <c r="I33" s="13">
        <f t="shared" si="41"/>
        <v>0</v>
      </c>
      <c r="J33" s="13">
        <f t="shared" si="41"/>
        <v>0</v>
      </c>
      <c r="K33" s="13">
        <f t="shared" si="41"/>
        <v>0</v>
      </c>
      <c r="L33" s="13">
        <f t="shared" si="41"/>
        <v>0</v>
      </c>
      <c r="M33" s="13">
        <f t="shared" si="41"/>
        <v>0</v>
      </c>
      <c r="N33" s="13">
        <f t="shared" si="41"/>
        <v>0</v>
      </c>
      <c r="O33" s="13">
        <f t="shared" si="41"/>
        <v>0</v>
      </c>
      <c r="P33" s="13">
        <f t="shared" si="41"/>
        <v>0</v>
      </c>
      <c r="Q33" s="13">
        <f t="shared" si="41"/>
        <v>0</v>
      </c>
      <c r="R33" s="13">
        <f t="shared" si="41"/>
        <v>0</v>
      </c>
      <c r="S33" s="13">
        <f t="shared" si="41"/>
        <v>0</v>
      </c>
      <c r="T33" s="13">
        <f t="shared" si="41"/>
        <v>0</v>
      </c>
      <c r="U33" s="13">
        <f t="shared" si="41"/>
        <v>0</v>
      </c>
      <c r="V33" s="13">
        <f t="shared" si="41"/>
        <v>0</v>
      </c>
      <c r="W33" s="13">
        <f t="shared" si="41"/>
        <v>0</v>
      </c>
      <c r="X33" s="13">
        <f t="shared" si="41"/>
        <v>0</v>
      </c>
      <c r="Y33" s="13">
        <f t="shared" si="41"/>
        <v>0</v>
      </c>
      <c r="Z33" s="13">
        <f t="shared" si="41"/>
        <v>0</v>
      </c>
      <c r="AA33" s="13">
        <f t="shared" si="41"/>
        <v>0</v>
      </c>
      <c r="AB33" s="13">
        <f t="shared" si="41"/>
        <v>0</v>
      </c>
      <c r="AC33" s="13">
        <f t="shared" si="41"/>
        <v>0</v>
      </c>
      <c r="AD33" s="13">
        <f t="shared" si="41"/>
        <v>0</v>
      </c>
      <c r="AE33" s="13">
        <f t="shared" si="41"/>
        <v>0</v>
      </c>
      <c r="AF33" s="13">
        <f t="shared" si="41"/>
        <v>0</v>
      </c>
      <c r="AG33" s="13">
        <f t="shared" si="41"/>
        <v>0</v>
      </c>
      <c r="AH33" s="13">
        <f t="shared" si="41"/>
        <v>0</v>
      </c>
      <c r="AI33" s="13">
        <f t="shared" si="41"/>
        <v>0</v>
      </c>
      <c r="AJ33" s="13">
        <f t="shared" si="41"/>
        <v>0</v>
      </c>
      <c r="AK33" s="13">
        <f t="shared" si="41"/>
        <v>0</v>
      </c>
      <c r="AL33" s="13">
        <f t="shared" si="41"/>
        <v>0</v>
      </c>
      <c r="AM33" s="13">
        <f t="shared" si="41"/>
        <v>0</v>
      </c>
      <c r="AN33" s="13">
        <f t="shared" si="41"/>
        <v>0</v>
      </c>
      <c r="AO33" s="13">
        <f t="shared" si="41"/>
        <v>0</v>
      </c>
      <c r="AP33" s="13">
        <f t="shared" si="41"/>
        <v>0</v>
      </c>
      <c r="AQ33" s="13">
        <f t="shared" si="41"/>
        <v>0</v>
      </c>
      <c r="AR33" s="13">
        <f t="shared" si="41"/>
        <v>0</v>
      </c>
      <c r="AS33" s="13">
        <f t="shared" si="41"/>
        <v>0</v>
      </c>
      <c r="AT33" s="13">
        <f t="shared" si="41"/>
        <v>0</v>
      </c>
      <c r="AU33" s="13">
        <f t="shared" si="41"/>
        <v>0</v>
      </c>
      <c r="AV33" s="13">
        <f t="shared" si="41"/>
        <v>0</v>
      </c>
      <c r="AW33" s="13">
        <f t="shared" si="41"/>
        <v>0</v>
      </c>
      <c r="AX33" s="13">
        <f t="shared" si="41"/>
        <v>0</v>
      </c>
      <c r="AY33" s="13">
        <f t="shared" si="41"/>
        <v>0</v>
      </c>
      <c r="AZ33" s="13">
        <f t="shared" si="41"/>
        <v>0</v>
      </c>
      <c r="BA33" s="13">
        <f t="shared" si="41"/>
        <v>0</v>
      </c>
      <c r="BB33" s="13">
        <f t="shared" si="41"/>
        <v>0</v>
      </c>
      <c r="BC33" s="13">
        <f t="shared" si="41"/>
        <v>0</v>
      </c>
      <c r="BD33" s="13">
        <f t="shared" si="41"/>
        <v>0</v>
      </c>
      <c r="BE33" s="13">
        <f t="shared" si="41"/>
        <v>0</v>
      </c>
      <c r="BF33" s="13">
        <f t="shared" si="41"/>
        <v>0</v>
      </c>
      <c r="BG33" s="13">
        <f t="shared" si="41"/>
        <v>0</v>
      </c>
      <c r="BH33" s="13">
        <f t="shared" si="41"/>
        <v>0</v>
      </c>
      <c r="BI33" s="13">
        <f t="shared" si="41"/>
        <v>0</v>
      </c>
      <c r="BJ33" s="13">
        <f t="shared" si="41"/>
        <v>0</v>
      </c>
      <c r="BK33" s="13">
        <f t="shared" si="41"/>
        <v>0</v>
      </c>
      <c r="BL33" s="13">
        <f t="shared" si="41"/>
        <v>0</v>
      </c>
      <c r="BM33" s="13">
        <f t="shared" si="41"/>
        <v>0</v>
      </c>
      <c r="BN33" s="13">
        <f t="shared" si="41"/>
        <v>0</v>
      </c>
      <c r="BO33" s="13">
        <f t="shared" si="41"/>
        <v>0</v>
      </c>
      <c r="BP33" s="13">
        <f t="shared" si="41"/>
        <v>0</v>
      </c>
      <c r="BQ33" s="13">
        <f t="shared" si="41"/>
        <v>0</v>
      </c>
      <c r="BR33" s="13">
        <f t="shared" ref="BR33:EC33" si="42">BR29+BR30-BR31-BR32</f>
        <v>0</v>
      </c>
      <c r="BS33" s="13">
        <f t="shared" si="42"/>
        <v>0</v>
      </c>
      <c r="BT33" s="13">
        <f t="shared" si="42"/>
        <v>0</v>
      </c>
      <c r="BU33" s="13">
        <f t="shared" si="42"/>
        <v>0</v>
      </c>
      <c r="BV33" s="13">
        <f t="shared" si="42"/>
        <v>0</v>
      </c>
      <c r="BW33" s="13">
        <f t="shared" si="42"/>
        <v>0</v>
      </c>
      <c r="BX33" s="13">
        <f t="shared" si="42"/>
        <v>0</v>
      </c>
      <c r="BY33" s="13">
        <f t="shared" si="42"/>
        <v>0</v>
      </c>
      <c r="BZ33" s="13">
        <f t="shared" si="42"/>
        <v>0</v>
      </c>
      <c r="CA33" s="13">
        <f t="shared" si="42"/>
        <v>0</v>
      </c>
      <c r="CB33" s="13">
        <f t="shared" si="42"/>
        <v>0</v>
      </c>
      <c r="CC33" s="13">
        <f t="shared" si="42"/>
        <v>0</v>
      </c>
      <c r="CD33" s="13">
        <f t="shared" si="42"/>
        <v>0</v>
      </c>
      <c r="CE33" s="13">
        <f t="shared" si="42"/>
        <v>0</v>
      </c>
      <c r="CF33" s="13">
        <f t="shared" si="42"/>
        <v>0</v>
      </c>
      <c r="CG33" s="13">
        <f t="shared" si="42"/>
        <v>0</v>
      </c>
      <c r="CH33" s="13">
        <f t="shared" si="42"/>
        <v>0</v>
      </c>
      <c r="CI33" s="13">
        <f t="shared" si="42"/>
        <v>0</v>
      </c>
      <c r="CJ33" s="13">
        <f t="shared" si="42"/>
        <v>0</v>
      </c>
      <c r="CK33" s="13">
        <f t="shared" si="42"/>
        <v>0</v>
      </c>
      <c r="CL33" s="13">
        <f t="shared" si="42"/>
        <v>0</v>
      </c>
      <c r="CM33" s="13">
        <f t="shared" si="42"/>
        <v>0</v>
      </c>
      <c r="CN33" s="13">
        <f t="shared" si="42"/>
        <v>0</v>
      </c>
      <c r="CO33" s="13">
        <f t="shared" si="42"/>
        <v>0</v>
      </c>
      <c r="CP33" s="13">
        <f t="shared" si="42"/>
        <v>0</v>
      </c>
      <c r="CQ33" s="13">
        <f t="shared" si="42"/>
        <v>0</v>
      </c>
      <c r="CR33" s="13">
        <f t="shared" si="42"/>
        <v>0</v>
      </c>
      <c r="CS33" s="13">
        <f t="shared" si="42"/>
        <v>0</v>
      </c>
      <c r="CT33" s="13">
        <f t="shared" si="42"/>
        <v>0</v>
      </c>
      <c r="CU33" s="13">
        <f t="shared" si="42"/>
        <v>0</v>
      </c>
      <c r="CV33" s="13">
        <f t="shared" si="42"/>
        <v>0</v>
      </c>
      <c r="CW33" s="13">
        <f t="shared" si="42"/>
        <v>0</v>
      </c>
      <c r="CX33" s="13">
        <f t="shared" si="42"/>
        <v>0</v>
      </c>
      <c r="CY33" s="13">
        <f t="shared" si="42"/>
        <v>0</v>
      </c>
      <c r="CZ33" s="13">
        <f t="shared" si="42"/>
        <v>0</v>
      </c>
      <c r="DA33" s="13">
        <f t="shared" si="42"/>
        <v>0</v>
      </c>
      <c r="DB33" s="13">
        <f t="shared" si="42"/>
        <v>0</v>
      </c>
      <c r="DC33" s="13">
        <f t="shared" si="42"/>
        <v>0</v>
      </c>
      <c r="DD33" s="13">
        <f t="shared" si="42"/>
        <v>0</v>
      </c>
      <c r="DE33" s="13">
        <f t="shared" si="42"/>
        <v>0</v>
      </c>
      <c r="DF33" s="13">
        <f t="shared" si="42"/>
        <v>0</v>
      </c>
      <c r="DG33" s="13">
        <f t="shared" si="42"/>
        <v>0</v>
      </c>
      <c r="DH33" s="13">
        <f t="shared" si="42"/>
        <v>0</v>
      </c>
      <c r="DI33" s="13">
        <f t="shared" si="42"/>
        <v>0</v>
      </c>
      <c r="DJ33" s="13">
        <f t="shared" si="42"/>
        <v>0</v>
      </c>
      <c r="DK33" s="13">
        <f t="shared" si="42"/>
        <v>0</v>
      </c>
      <c r="DL33" s="13">
        <f t="shared" si="42"/>
        <v>0</v>
      </c>
      <c r="DM33" s="13">
        <f t="shared" si="42"/>
        <v>0</v>
      </c>
      <c r="DN33" s="13">
        <f t="shared" si="42"/>
        <v>0</v>
      </c>
      <c r="DO33" s="13">
        <f t="shared" si="42"/>
        <v>0</v>
      </c>
      <c r="DP33" s="13">
        <f t="shared" si="42"/>
        <v>0</v>
      </c>
      <c r="DQ33" s="13">
        <f t="shared" si="42"/>
        <v>0</v>
      </c>
      <c r="DR33" s="13">
        <f t="shared" si="42"/>
        <v>0</v>
      </c>
      <c r="DS33" s="13">
        <f t="shared" si="42"/>
        <v>0</v>
      </c>
      <c r="DT33" s="13">
        <f t="shared" si="42"/>
        <v>0</v>
      </c>
      <c r="DU33" s="13">
        <f t="shared" si="42"/>
        <v>0</v>
      </c>
      <c r="DV33" s="13">
        <f t="shared" si="42"/>
        <v>0</v>
      </c>
      <c r="DW33" s="13">
        <f t="shared" si="42"/>
        <v>0</v>
      </c>
      <c r="DX33" s="13">
        <f t="shared" si="42"/>
        <v>0</v>
      </c>
      <c r="DY33" s="13">
        <f t="shared" si="42"/>
        <v>0</v>
      </c>
      <c r="DZ33" s="13">
        <f t="shared" si="42"/>
        <v>0</v>
      </c>
      <c r="EA33" s="13">
        <f t="shared" si="42"/>
        <v>0</v>
      </c>
      <c r="EB33" s="13">
        <f t="shared" si="42"/>
        <v>0</v>
      </c>
      <c r="EC33" s="13">
        <f t="shared" si="42"/>
        <v>0</v>
      </c>
      <c r="ED33" s="13">
        <f t="shared" ref="ED33:EE33" si="43">ED29+ED30-ED31-ED32</f>
        <v>0</v>
      </c>
      <c r="EE33" s="29">
        <f t="shared" si="43"/>
        <v>0</v>
      </c>
    </row>
    <row r="34" spans="1:135" x14ac:dyDescent="0.35">
      <c r="A34" s="48" t="e">
        <f>XIRR(C34:EE34,$C$13:$EE$13)</f>
        <v>#NUM!</v>
      </c>
      <c r="B34" s="41" t="s">
        <v>51</v>
      </c>
      <c r="C34" s="42">
        <f>SUM(C31:C32)</f>
        <v>-3498375</v>
      </c>
      <c r="D34" s="43">
        <f>SUM(D31:D32)</f>
        <v>0</v>
      </c>
      <c r="E34" s="43">
        <f>SUM(E31:E32)</f>
        <v>0</v>
      </c>
      <c r="F34" s="43">
        <f t="shared" ref="F34:BQ34" si="44">SUM(F31:F32)</f>
        <v>0</v>
      </c>
      <c r="G34" s="43">
        <f t="shared" si="44"/>
        <v>0</v>
      </c>
      <c r="H34" s="43">
        <f t="shared" si="44"/>
        <v>0</v>
      </c>
      <c r="I34" s="43">
        <f t="shared" si="44"/>
        <v>0</v>
      </c>
      <c r="J34" s="43">
        <f t="shared" si="44"/>
        <v>0</v>
      </c>
      <c r="K34" s="43">
        <f t="shared" si="44"/>
        <v>0</v>
      </c>
      <c r="L34" s="43">
        <f t="shared" si="44"/>
        <v>0</v>
      </c>
      <c r="M34" s="43">
        <f t="shared" si="44"/>
        <v>0</v>
      </c>
      <c r="N34" s="43">
        <f t="shared" si="44"/>
        <v>0</v>
      </c>
      <c r="O34" s="43">
        <f t="shared" si="44"/>
        <v>0</v>
      </c>
      <c r="P34" s="43">
        <f t="shared" si="44"/>
        <v>0</v>
      </c>
      <c r="Q34" s="43">
        <f t="shared" si="44"/>
        <v>0</v>
      </c>
      <c r="R34" s="43">
        <f t="shared" si="44"/>
        <v>0</v>
      </c>
      <c r="S34" s="43">
        <f t="shared" si="44"/>
        <v>0</v>
      </c>
      <c r="T34" s="43">
        <f t="shared" si="44"/>
        <v>0</v>
      </c>
      <c r="U34" s="43">
        <f t="shared" si="44"/>
        <v>0</v>
      </c>
      <c r="V34" s="43">
        <f t="shared" si="44"/>
        <v>0</v>
      </c>
      <c r="W34" s="43">
        <f t="shared" si="44"/>
        <v>0</v>
      </c>
      <c r="X34" s="43">
        <f t="shared" si="44"/>
        <v>0</v>
      </c>
      <c r="Y34" s="43">
        <f t="shared" si="44"/>
        <v>0</v>
      </c>
      <c r="Z34" s="43">
        <f t="shared" si="44"/>
        <v>0</v>
      </c>
      <c r="AA34" s="43">
        <f t="shared" si="44"/>
        <v>0</v>
      </c>
      <c r="AB34" s="43">
        <f t="shared" si="44"/>
        <v>0</v>
      </c>
      <c r="AC34" s="43">
        <f t="shared" si="44"/>
        <v>0</v>
      </c>
      <c r="AD34" s="43">
        <f t="shared" si="44"/>
        <v>0</v>
      </c>
      <c r="AE34" s="43">
        <f t="shared" si="44"/>
        <v>0</v>
      </c>
      <c r="AF34" s="43">
        <f t="shared" si="44"/>
        <v>0</v>
      </c>
      <c r="AG34" s="43">
        <f t="shared" si="44"/>
        <v>0</v>
      </c>
      <c r="AH34" s="43">
        <f t="shared" si="44"/>
        <v>0</v>
      </c>
      <c r="AI34" s="43">
        <f t="shared" si="44"/>
        <v>0</v>
      </c>
      <c r="AJ34" s="43">
        <f t="shared" si="44"/>
        <v>0</v>
      </c>
      <c r="AK34" s="43">
        <f t="shared" si="44"/>
        <v>0</v>
      </c>
      <c r="AL34" s="43">
        <f t="shared" si="44"/>
        <v>0</v>
      </c>
      <c r="AM34" s="43">
        <f t="shared" si="44"/>
        <v>0</v>
      </c>
      <c r="AN34" s="43">
        <f t="shared" si="44"/>
        <v>0</v>
      </c>
      <c r="AO34" s="43">
        <f t="shared" si="44"/>
        <v>0</v>
      </c>
      <c r="AP34" s="43">
        <f t="shared" si="44"/>
        <v>0</v>
      </c>
      <c r="AQ34" s="43">
        <f t="shared" si="44"/>
        <v>0</v>
      </c>
      <c r="AR34" s="43">
        <f t="shared" si="44"/>
        <v>0</v>
      </c>
      <c r="AS34" s="43">
        <f t="shared" si="44"/>
        <v>0</v>
      </c>
      <c r="AT34" s="43">
        <f t="shared" si="44"/>
        <v>0</v>
      </c>
      <c r="AU34" s="43">
        <f t="shared" si="44"/>
        <v>0</v>
      </c>
      <c r="AV34" s="43">
        <f t="shared" si="44"/>
        <v>0</v>
      </c>
      <c r="AW34" s="43">
        <f t="shared" si="44"/>
        <v>0</v>
      </c>
      <c r="AX34" s="43">
        <f t="shared" si="44"/>
        <v>0</v>
      </c>
      <c r="AY34" s="43">
        <f t="shared" si="44"/>
        <v>0</v>
      </c>
      <c r="AZ34" s="43">
        <f t="shared" si="44"/>
        <v>0</v>
      </c>
      <c r="BA34" s="43">
        <f t="shared" si="44"/>
        <v>0</v>
      </c>
      <c r="BB34" s="43">
        <f t="shared" si="44"/>
        <v>0</v>
      </c>
      <c r="BC34" s="43">
        <f t="shared" si="44"/>
        <v>0</v>
      </c>
      <c r="BD34" s="43">
        <f t="shared" si="44"/>
        <v>0</v>
      </c>
      <c r="BE34" s="43">
        <f t="shared" si="44"/>
        <v>0</v>
      </c>
      <c r="BF34" s="43">
        <f t="shared" si="44"/>
        <v>0</v>
      </c>
      <c r="BG34" s="43">
        <f t="shared" si="44"/>
        <v>0</v>
      </c>
      <c r="BH34" s="43">
        <f t="shared" si="44"/>
        <v>0</v>
      </c>
      <c r="BI34" s="43">
        <f t="shared" si="44"/>
        <v>0</v>
      </c>
      <c r="BJ34" s="43">
        <f t="shared" si="44"/>
        <v>0</v>
      </c>
      <c r="BK34" s="43">
        <f t="shared" si="44"/>
        <v>0</v>
      </c>
      <c r="BL34" s="43">
        <f t="shared" si="44"/>
        <v>0</v>
      </c>
      <c r="BM34" s="43">
        <f t="shared" si="44"/>
        <v>0</v>
      </c>
      <c r="BN34" s="43">
        <f t="shared" si="44"/>
        <v>0</v>
      </c>
      <c r="BO34" s="43">
        <f t="shared" si="44"/>
        <v>0</v>
      </c>
      <c r="BP34" s="43">
        <f t="shared" si="44"/>
        <v>0</v>
      </c>
      <c r="BQ34" s="43">
        <f t="shared" si="44"/>
        <v>0</v>
      </c>
      <c r="BR34" s="43">
        <f t="shared" ref="BR34:EC34" si="45">SUM(BR31:BR32)</f>
        <v>0</v>
      </c>
      <c r="BS34" s="43">
        <f t="shared" si="45"/>
        <v>0</v>
      </c>
      <c r="BT34" s="43">
        <f t="shared" si="45"/>
        <v>0</v>
      </c>
      <c r="BU34" s="43">
        <f t="shared" si="45"/>
        <v>0</v>
      </c>
      <c r="BV34" s="43">
        <f t="shared" si="45"/>
        <v>0</v>
      </c>
      <c r="BW34" s="43">
        <f t="shared" si="45"/>
        <v>0</v>
      </c>
      <c r="BX34" s="43">
        <f t="shared" si="45"/>
        <v>0</v>
      </c>
      <c r="BY34" s="43">
        <f t="shared" si="45"/>
        <v>0</v>
      </c>
      <c r="BZ34" s="43">
        <f t="shared" si="45"/>
        <v>0</v>
      </c>
      <c r="CA34" s="43">
        <f t="shared" si="45"/>
        <v>0</v>
      </c>
      <c r="CB34" s="43">
        <f t="shared" si="45"/>
        <v>0</v>
      </c>
      <c r="CC34" s="43">
        <f t="shared" si="45"/>
        <v>0</v>
      </c>
      <c r="CD34" s="43">
        <f t="shared" si="45"/>
        <v>0</v>
      </c>
      <c r="CE34" s="43">
        <f t="shared" si="45"/>
        <v>0</v>
      </c>
      <c r="CF34" s="43">
        <f t="shared" si="45"/>
        <v>0</v>
      </c>
      <c r="CG34" s="43">
        <f t="shared" si="45"/>
        <v>0</v>
      </c>
      <c r="CH34" s="43">
        <f t="shared" si="45"/>
        <v>0</v>
      </c>
      <c r="CI34" s="43">
        <f t="shared" si="45"/>
        <v>0</v>
      </c>
      <c r="CJ34" s="43">
        <f t="shared" si="45"/>
        <v>0</v>
      </c>
      <c r="CK34" s="43">
        <f t="shared" si="45"/>
        <v>0</v>
      </c>
      <c r="CL34" s="43">
        <f t="shared" si="45"/>
        <v>0</v>
      </c>
      <c r="CM34" s="43">
        <f t="shared" si="45"/>
        <v>0</v>
      </c>
      <c r="CN34" s="43">
        <f t="shared" si="45"/>
        <v>0</v>
      </c>
      <c r="CO34" s="43">
        <f t="shared" si="45"/>
        <v>0</v>
      </c>
      <c r="CP34" s="43">
        <f t="shared" si="45"/>
        <v>0</v>
      </c>
      <c r="CQ34" s="43">
        <f t="shared" si="45"/>
        <v>0</v>
      </c>
      <c r="CR34" s="43">
        <f t="shared" si="45"/>
        <v>0</v>
      </c>
      <c r="CS34" s="43">
        <f t="shared" si="45"/>
        <v>0</v>
      </c>
      <c r="CT34" s="43">
        <f t="shared" si="45"/>
        <v>0</v>
      </c>
      <c r="CU34" s="43">
        <f t="shared" si="45"/>
        <v>0</v>
      </c>
      <c r="CV34" s="43">
        <f t="shared" si="45"/>
        <v>0</v>
      </c>
      <c r="CW34" s="43">
        <f t="shared" si="45"/>
        <v>0</v>
      </c>
      <c r="CX34" s="43">
        <f t="shared" si="45"/>
        <v>0</v>
      </c>
      <c r="CY34" s="43">
        <f t="shared" si="45"/>
        <v>0</v>
      </c>
      <c r="CZ34" s="43">
        <f t="shared" si="45"/>
        <v>0</v>
      </c>
      <c r="DA34" s="43">
        <f t="shared" si="45"/>
        <v>0</v>
      </c>
      <c r="DB34" s="43">
        <f t="shared" si="45"/>
        <v>0</v>
      </c>
      <c r="DC34" s="43">
        <f t="shared" si="45"/>
        <v>0</v>
      </c>
      <c r="DD34" s="43">
        <f t="shared" si="45"/>
        <v>0</v>
      </c>
      <c r="DE34" s="43">
        <f t="shared" si="45"/>
        <v>0</v>
      </c>
      <c r="DF34" s="43">
        <f t="shared" si="45"/>
        <v>0</v>
      </c>
      <c r="DG34" s="43">
        <f t="shared" si="45"/>
        <v>0</v>
      </c>
      <c r="DH34" s="43">
        <f t="shared" si="45"/>
        <v>0</v>
      </c>
      <c r="DI34" s="43">
        <f t="shared" si="45"/>
        <v>0</v>
      </c>
      <c r="DJ34" s="43">
        <f t="shared" si="45"/>
        <v>0</v>
      </c>
      <c r="DK34" s="43">
        <f t="shared" si="45"/>
        <v>0</v>
      </c>
      <c r="DL34" s="43">
        <f t="shared" si="45"/>
        <v>0</v>
      </c>
      <c r="DM34" s="43">
        <f t="shared" si="45"/>
        <v>0</v>
      </c>
      <c r="DN34" s="43">
        <f t="shared" si="45"/>
        <v>0</v>
      </c>
      <c r="DO34" s="43">
        <f t="shared" si="45"/>
        <v>0</v>
      </c>
      <c r="DP34" s="43">
        <f t="shared" si="45"/>
        <v>0</v>
      </c>
      <c r="DQ34" s="43">
        <f t="shared" si="45"/>
        <v>0</v>
      </c>
      <c r="DR34" s="43">
        <f t="shared" si="45"/>
        <v>0</v>
      </c>
      <c r="DS34" s="43">
        <f t="shared" si="45"/>
        <v>0</v>
      </c>
      <c r="DT34" s="43">
        <f t="shared" si="45"/>
        <v>0</v>
      </c>
      <c r="DU34" s="43">
        <f t="shared" si="45"/>
        <v>0</v>
      </c>
      <c r="DV34" s="43">
        <f t="shared" si="45"/>
        <v>0</v>
      </c>
      <c r="DW34" s="43">
        <f t="shared" si="45"/>
        <v>0</v>
      </c>
      <c r="DX34" s="43">
        <f t="shared" si="45"/>
        <v>0</v>
      </c>
      <c r="DY34" s="43">
        <f t="shared" si="45"/>
        <v>0</v>
      </c>
      <c r="DZ34" s="43">
        <f t="shared" si="45"/>
        <v>0</v>
      </c>
      <c r="EA34" s="43">
        <f t="shared" si="45"/>
        <v>0</v>
      </c>
      <c r="EB34" s="43">
        <f t="shared" si="45"/>
        <v>0</v>
      </c>
      <c r="EC34" s="43">
        <f t="shared" si="45"/>
        <v>0</v>
      </c>
      <c r="ED34" s="43">
        <f t="shared" ref="ED34:EE34" si="46">SUM(ED31:ED32)</f>
        <v>0</v>
      </c>
      <c r="EE34" s="44">
        <f t="shared" si="46"/>
        <v>0</v>
      </c>
    </row>
    <row r="35" spans="1:135" x14ac:dyDescent="0.35">
      <c r="B35" s="34" t="s">
        <v>52</v>
      </c>
      <c r="C35" s="13">
        <f>IF(C26&lt;0, C26*$C$9,0)</f>
        <v>-184125</v>
      </c>
      <c r="D35" s="13">
        <f>IF(D26&lt;0, D26*$C$9,0)</f>
        <v>0</v>
      </c>
      <c r="E35" s="37">
        <f t="shared" ref="E35:BP35" si="47">IF(E26&lt;0, E26*$C$9,0)</f>
        <v>0</v>
      </c>
      <c r="F35" s="37">
        <f t="shared" si="47"/>
        <v>0</v>
      </c>
      <c r="G35" s="37">
        <f t="shared" si="47"/>
        <v>0</v>
      </c>
      <c r="H35" s="37">
        <f t="shared" si="47"/>
        <v>0</v>
      </c>
      <c r="I35" s="37">
        <f t="shared" si="47"/>
        <v>0</v>
      </c>
      <c r="J35" s="37">
        <f t="shared" si="47"/>
        <v>0</v>
      </c>
      <c r="K35" s="37">
        <f t="shared" si="47"/>
        <v>0</v>
      </c>
      <c r="L35" s="37">
        <f t="shared" si="47"/>
        <v>0</v>
      </c>
      <c r="M35" s="37">
        <f t="shared" si="47"/>
        <v>0</v>
      </c>
      <c r="N35" s="37">
        <f t="shared" si="47"/>
        <v>0</v>
      </c>
      <c r="O35" s="37">
        <f t="shared" si="47"/>
        <v>0</v>
      </c>
      <c r="P35" s="37">
        <f t="shared" si="47"/>
        <v>0</v>
      </c>
      <c r="Q35" s="37">
        <f t="shared" si="47"/>
        <v>0</v>
      </c>
      <c r="R35" s="37">
        <f t="shared" si="47"/>
        <v>0</v>
      </c>
      <c r="S35" s="37">
        <f t="shared" si="47"/>
        <v>0</v>
      </c>
      <c r="T35" s="37">
        <f t="shared" si="47"/>
        <v>0</v>
      </c>
      <c r="U35" s="37">
        <f t="shared" si="47"/>
        <v>0</v>
      </c>
      <c r="V35" s="37">
        <f t="shared" si="47"/>
        <v>0</v>
      </c>
      <c r="W35" s="37">
        <f t="shared" si="47"/>
        <v>0</v>
      </c>
      <c r="X35" s="37">
        <f t="shared" si="47"/>
        <v>0</v>
      </c>
      <c r="Y35" s="37">
        <f t="shared" si="47"/>
        <v>0</v>
      </c>
      <c r="Z35" s="37">
        <f t="shared" si="47"/>
        <v>0</v>
      </c>
      <c r="AA35" s="37">
        <f t="shared" si="47"/>
        <v>0</v>
      </c>
      <c r="AB35" s="37">
        <f t="shared" si="47"/>
        <v>0</v>
      </c>
      <c r="AC35" s="37">
        <f t="shared" si="47"/>
        <v>0</v>
      </c>
      <c r="AD35" s="37">
        <f t="shared" si="47"/>
        <v>0</v>
      </c>
      <c r="AE35" s="37">
        <f t="shared" si="47"/>
        <v>0</v>
      </c>
      <c r="AF35" s="37">
        <f t="shared" si="47"/>
        <v>0</v>
      </c>
      <c r="AG35" s="37">
        <f t="shared" si="47"/>
        <v>0</v>
      </c>
      <c r="AH35" s="37">
        <f t="shared" si="47"/>
        <v>0</v>
      </c>
      <c r="AI35" s="37">
        <f t="shared" si="47"/>
        <v>0</v>
      </c>
      <c r="AJ35" s="37">
        <f t="shared" si="47"/>
        <v>0</v>
      </c>
      <c r="AK35" s="37">
        <f t="shared" si="47"/>
        <v>0</v>
      </c>
      <c r="AL35" s="37">
        <f t="shared" si="47"/>
        <v>0</v>
      </c>
      <c r="AM35" s="37">
        <f t="shared" si="47"/>
        <v>0</v>
      </c>
      <c r="AN35" s="37">
        <f t="shared" si="47"/>
        <v>0</v>
      </c>
      <c r="AO35" s="37">
        <f t="shared" si="47"/>
        <v>0</v>
      </c>
      <c r="AP35" s="37">
        <f t="shared" si="47"/>
        <v>0</v>
      </c>
      <c r="AQ35" s="37">
        <f t="shared" si="47"/>
        <v>0</v>
      </c>
      <c r="AR35" s="37">
        <f t="shared" si="47"/>
        <v>0</v>
      </c>
      <c r="AS35" s="37">
        <f t="shared" si="47"/>
        <v>0</v>
      </c>
      <c r="AT35" s="37">
        <f t="shared" si="47"/>
        <v>0</v>
      </c>
      <c r="AU35" s="37">
        <f t="shared" si="47"/>
        <v>0</v>
      </c>
      <c r="AV35" s="37">
        <f t="shared" si="47"/>
        <v>0</v>
      </c>
      <c r="AW35" s="37">
        <f t="shared" si="47"/>
        <v>0</v>
      </c>
      <c r="AX35" s="37">
        <f t="shared" si="47"/>
        <v>0</v>
      </c>
      <c r="AY35" s="37">
        <f t="shared" si="47"/>
        <v>0</v>
      </c>
      <c r="AZ35" s="37">
        <f t="shared" si="47"/>
        <v>0</v>
      </c>
      <c r="BA35" s="37">
        <f t="shared" si="47"/>
        <v>0</v>
      </c>
      <c r="BB35" s="37">
        <f t="shared" si="47"/>
        <v>0</v>
      </c>
      <c r="BC35" s="37">
        <f t="shared" si="47"/>
        <v>0</v>
      </c>
      <c r="BD35" s="37">
        <f t="shared" si="47"/>
        <v>0</v>
      </c>
      <c r="BE35" s="37">
        <f t="shared" si="47"/>
        <v>0</v>
      </c>
      <c r="BF35" s="37">
        <f t="shared" si="47"/>
        <v>0</v>
      </c>
      <c r="BG35" s="37">
        <f t="shared" si="47"/>
        <v>0</v>
      </c>
      <c r="BH35" s="37">
        <f t="shared" si="47"/>
        <v>0</v>
      </c>
      <c r="BI35" s="37">
        <f t="shared" si="47"/>
        <v>0</v>
      </c>
      <c r="BJ35" s="37">
        <f t="shared" si="47"/>
        <v>0</v>
      </c>
      <c r="BK35" s="37">
        <f t="shared" si="47"/>
        <v>0</v>
      </c>
      <c r="BL35" s="37">
        <f t="shared" si="47"/>
        <v>0</v>
      </c>
      <c r="BM35" s="37">
        <f t="shared" si="47"/>
        <v>0</v>
      </c>
      <c r="BN35" s="37">
        <f t="shared" si="47"/>
        <v>0</v>
      </c>
      <c r="BO35" s="37">
        <f t="shared" si="47"/>
        <v>0</v>
      </c>
      <c r="BP35" s="37">
        <f t="shared" si="47"/>
        <v>0</v>
      </c>
      <c r="BQ35" s="37">
        <f t="shared" ref="BQ35:EB35" si="48">IF(BQ26&lt;0, BQ26*$C$9,0)</f>
        <v>0</v>
      </c>
      <c r="BR35" s="37">
        <f t="shared" si="48"/>
        <v>0</v>
      </c>
      <c r="BS35" s="37">
        <f t="shared" si="48"/>
        <v>0</v>
      </c>
      <c r="BT35" s="37">
        <f t="shared" si="48"/>
        <v>0</v>
      </c>
      <c r="BU35" s="37">
        <f t="shared" si="48"/>
        <v>0</v>
      </c>
      <c r="BV35" s="37">
        <f t="shared" si="48"/>
        <v>0</v>
      </c>
      <c r="BW35" s="37">
        <f t="shared" si="48"/>
        <v>0</v>
      </c>
      <c r="BX35" s="37">
        <f t="shared" si="48"/>
        <v>0</v>
      </c>
      <c r="BY35" s="37">
        <f t="shared" si="48"/>
        <v>0</v>
      </c>
      <c r="BZ35" s="37">
        <f t="shared" si="48"/>
        <v>0</v>
      </c>
      <c r="CA35" s="37">
        <f t="shared" si="48"/>
        <v>0</v>
      </c>
      <c r="CB35" s="37">
        <f t="shared" si="48"/>
        <v>0</v>
      </c>
      <c r="CC35" s="37">
        <f t="shared" si="48"/>
        <v>0</v>
      </c>
      <c r="CD35" s="37">
        <f t="shared" si="48"/>
        <v>0</v>
      </c>
      <c r="CE35" s="37">
        <f t="shared" si="48"/>
        <v>0</v>
      </c>
      <c r="CF35" s="37">
        <f t="shared" si="48"/>
        <v>0</v>
      </c>
      <c r="CG35" s="37">
        <f t="shared" si="48"/>
        <v>0</v>
      </c>
      <c r="CH35" s="37">
        <f t="shared" si="48"/>
        <v>0</v>
      </c>
      <c r="CI35" s="37">
        <f t="shared" si="48"/>
        <v>0</v>
      </c>
      <c r="CJ35" s="37">
        <f t="shared" si="48"/>
        <v>0</v>
      </c>
      <c r="CK35" s="37">
        <f t="shared" si="48"/>
        <v>0</v>
      </c>
      <c r="CL35" s="37">
        <f t="shared" si="48"/>
        <v>0</v>
      </c>
      <c r="CM35" s="37">
        <f t="shared" si="48"/>
        <v>0</v>
      </c>
      <c r="CN35" s="37">
        <f t="shared" si="48"/>
        <v>0</v>
      </c>
      <c r="CO35" s="37">
        <f t="shared" si="48"/>
        <v>0</v>
      </c>
      <c r="CP35" s="37">
        <f t="shared" si="48"/>
        <v>0</v>
      </c>
      <c r="CQ35" s="37">
        <f t="shared" si="48"/>
        <v>0</v>
      </c>
      <c r="CR35" s="37">
        <f t="shared" si="48"/>
        <v>0</v>
      </c>
      <c r="CS35" s="37">
        <f t="shared" si="48"/>
        <v>0</v>
      </c>
      <c r="CT35" s="37">
        <f t="shared" si="48"/>
        <v>0</v>
      </c>
      <c r="CU35" s="37">
        <f t="shared" si="48"/>
        <v>0</v>
      </c>
      <c r="CV35" s="37">
        <f t="shared" si="48"/>
        <v>0</v>
      </c>
      <c r="CW35" s="37">
        <f t="shared" si="48"/>
        <v>0</v>
      </c>
      <c r="CX35" s="37">
        <f t="shared" si="48"/>
        <v>0</v>
      </c>
      <c r="CY35" s="37">
        <f t="shared" si="48"/>
        <v>0</v>
      </c>
      <c r="CZ35" s="37">
        <f t="shared" si="48"/>
        <v>0</v>
      </c>
      <c r="DA35" s="37">
        <f t="shared" si="48"/>
        <v>0</v>
      </c>
      <c r="DB35" s="37">
        <f t="shared" si="48"/>
        <v>0</v>
      </c>
      <c r="DC35" s="37">
        <f t="shared" si="48"/>
        <v>0</v>
      </c>
      <c r="DD35" s="37">
        <f t="shared" si="48"/>
        <v>0</v>
      </c>
      <c r="DE35" s="37">
        <f t="shared" si="48"/>
        <v>0</v>
      </c>
      <c r="DF35" s="37">
        <f t="shared" si="48"/>
        <v>0</v>
      </c>
      <c r="DG35" s="37">
        <f t="shared" si="48"/>
        <v>0</v>
      </c>
      <c r="DH35" s="37">
        <f t="shared" si="48"/>
        <v>0</v>
      </c>
      <c r="DI35" s="37">
        <f t="shared" si="48"/>
        <v>0</v>
      </c>
      <c r="DJ35" s="37">
        <f t="shared" si="48"/>
        <v>0</v>
      </c>
      <c r="DK35" s="37">
        <f t="shared" si="48"/>
        <v>0</v>
      </c>
      <c r="DL35" s="37">
        <f t="shared" si="48"/>
        <v>0</v>
      </c>
      <c r="DM35" s="37">
        <f t="shared" si="48"/>
        <v>0</v>
      </c>
      <c r="DN35" s="37">
        <f t="shared" si="48"/>
        <v>0</v>
      </c>
      <c r="DO35" s="37">
        <f t="shared" si="48"/>
        <v>0</v>
      </c>
      <c r="DP35" s="37">
        <f t="shared" si="48"/>
        <v>0</v>
      </c>
      <c r="DQ35" s="37">
        <f t="shared" si="48"/>
        <v>0</v>
      </c>
      <c r="DR35" s="37">
        <f t="shared" si="48"/>
        <v>0</v>
      </c>
      <c r="DS35" s="37">
        <f t="shared" si="48"/>
        <v>0</v>
      </c>
      <c r="DT35" s="37">
        <f t="shared" si="48"/>
        <v>0</v>
      </c>
      <c r="DU35" s="37">
        <f t="shared" si="48"/>
        <v>0</v>
      </c>
      <c r="DV35" s="37">
        <f t="shared" si="48"/>
        <v>0</v>
      </c>
      <c r="DW35" s="37">
        <f t="shared" si="48"/>
        <v>0</v>
      </c>
      <c r="DX35" s="37">
        <f t="shared" si="48"/>
        <v>0</v>
      </c>
      <c r="DY35" s="37">
        <f t="shared" si="48"/>
        <v>0</v>
      </c>
      <c r="DZ35" s="37">
        <f t="shared" si="48"/>
        <v>0</v>
      </c>
      <c r="EA35" s="37">
        <f t="shared" si="48"/>
        <v>0</v>
      </c>
      <c r="EB35" s="37">
        <f t="shared" si="48"/>
        <v>0</v>
      </c>
      <c r="EC35" s="37">
        <f t="shared" ref="EC35:EE35" si="49">IF(EC26&lt;0, EC26*$C$9,0)</f>
        <v>0</v>
      </c>
      <c r="ED35" s="37">
        <f t="shared" si="49"/>
        <v>0</v>
      </c>
      <c r="EE35" s="45">
        <f t="shared" si="49"/>
        <v>0</v>
      </c>
    </row>
    <row r="36" spans="1:135" x14ac:dyDescent="0.35">
      <c r="A36" s="47" t="s">
        <v>55</v>
      </c>
      <c r="B36" s="34" t="s">
        <v>53</v>
      </c>
      <c r="C36" s="28">
        <v>0</v>
      </c>
      <c r="D36" s="13">
        <f>(D34/$F$3)*$E$3</f>
        <v>0</v>
      </c>
      <c r="E36" s="37">
        <f t="shared" ref="E36:BP36" si="50">(E34/$F$3)*$E$3</f>
        <v>0</v>
      </c>
      <c r="F36" s="37">
        <f t="shared" si="50"/>
        <v>0</v>
      </c>
      <c r="G36" s="37">
        <f t="shared" si="50"/>
        <v>0</v>
      </c>
      <c r="H36" s="37">
        <f t="shared" si="50"/>
        <v>0</v>
      </c>
      <c r="I36" s="37">
        <f t="shared" si="50"/>
        <v>0</v>
      </c>
      <c r="J36" s="37">
        <f t="shared" si="50"/>
        <v>0</v>
      </c>
      <c r="K36" s="37">
        <f t="shared" si="50"/>
        <v>0</v>
      </c>
      <c r="L36" s="37">
        <f t="shared" si="50"/>
        <v>0</v>
      </c>
      <c r="M36" s="37">
        <f t="shared" si="50"/>
        <v>0</v>
      </c>
      <c r="N36" s="37">
        <f t="shared" si="50"/>
        <v>0</v>
      </c>
      <c r="O36" s="37">
        <f t="shared" si="50"/>
        <v>0</v>
      </c>
      <c r="P36" s="37">
        <f t="shared" si="50"/>
        <v>0</v>
      </c>
      <c r="Q36" s="37">
        <f t="shared" si="50"/>
        <v>0</v>
      </c>
      <c r="R36" s="37">
        <f t="shared" si="50"/>
        <v>0</v>
      </c>
      <c r="S36" s="37">
        <f t="shared" si="50"/>
        <v>0</v>
      </c>
      <c r="T36" s="37">
        <f t="shared" si="50"/>
        <v>0</v>
      </c>
      <c r="U36" s="37">
        <f t="shared" si="50"/>
        <v>0</v>
      </c>
      <c r="V36" s="37">
        <f t="shared" si="50"/>
        <v>0</v>
      </c>
      <c r="W36" s="37">
        <f t="shared" si="50"/>
        <v>0</v>
      </c>
      <c r="X36" s="37">
        <f t="shared" si="50"/>
        <v>0</v>
      </c>
      <c r="Y36" s="37">
        <f t="shared" si="50"/>
        <v>0</v>
      </c>
      <c r="Z36" s="37">
        <f t="shared" si="50"/>
        <v>0</v>
      </c>
      <c r="AA36" s="37">
        <f t="shared" si="50"/>
        <v>0</v>
      </c>
      <c r="AB36" s="37">
        <f t="shared" si="50"/>
        <v>0</v>
      </c>
      <c r="AC36" s="37">
        <f t="shared" si="50"/>
        <v>0</v>
      </c>
      <c r="AD36" s="37">
        <f t="shared" si="50"/>
        <v>0</v>
      </c>
      <c r="AE36" s="37">
        <f t="shared" si="50"/>
        <v>0</v>
      </c>
      <c r="AF36" s="37">
        <f t="shared" si="50"/>
        <v>0</v>
      </c>
      <c r="AG36" s="37">
        <f t="shared" si="50"/>
        <v>0</v>
      </c>
      <c r="AH36" s="37">
        <f t="shared" si="50"/>
        <v>0</v>
      </c>
      <c r="AI36" s="37">
        <f t="shared" si="50"/>
        <v>0</v>
      </c>
      <c r="AJ36" s="37">
        <f t="shared" si="50"/>
        <v>0</v>
      </c>
      <c r="AK36" s="37">
        <f t="shared" si="50"/>
        <v>0</v>
      </c>
      <c r="AL36" s="37">
        <f t="shared" si="50"/>
        <v>0</v>
      </c>
      <c r="AM36" s="37">
        <f t="shared" si="50"/>
        <v>0</v>
      </c>
      <c r="AN36" s="37">
        <f t="shared" si="50"/>
        <v>0</v>
      </c>
      <c r="AO36" s="37">
        <f t="shared" si="50"/>
        <v>0</v>
      </c>
      <c r="AP36" s="37">
        <f t="shared" si="50"/>
        <v>0</v>
      </c>
      <c r="AQ36" s="37">
        <f t="shared" si="50"/>
        <v>0</v>
      </c>
      <c r="AR36" s="37">
        <f t="shared" si="50"/>
        <v>0</v>
      </c>
      <c r="AS36" s="37">
        <f t="shared" si="50"/>
        <v>0</v>
      </c>
      <c r="AT36" s="37">
        <f t="shared" si="50"/>
        <v>0</v>
      </c>
      <c r="AU36" s="37">
        <f t="shared" si="50"/>
        <v>0</v>
      </c>
      <c r="AV36" s="37">
        <f t="shared" si="50"/>
        <v>0</v>
      </c>
      <c r="AW36" s="37">
        <f t="shared" si="50"/>
        <v>0</v>
      </c>
      <c r="AX36" s="37">
        <f t="shared" si="50"/>
        <v>0</v>
      </c>
      <c r="AY36" s="37">
        <f t="shared" si="50"/>
        <v>0</v>
      </c>
      <c r="AZ36" s="37">
        <f t="shared" si="50"/>
        <v>0</v>
      </c>
      <c r="BA36" s="37">
        <f t="shared" si="50"/>
        <v>0</v>
      </c>
      <c r="BB36" s="37">
        <f t="shared" si="50"/>
        <v>0</v>
      </c>
      <c r="BC36" s="37">
        <f t="shared" si="50"/>
        <v>0</v>
      </c>
      <c r="BD36" s="37">
        <f t="shared" si="50"/>
        <v>0</v>
      </c>
      <c r="BE36" s="37">
        <f t="shared" si="50"/>
        <v>0</v>
      </c>
      <c r="BF36" s="37">
        <f t="shared" si="50"/>
        <v>0</v>
      </c>
      <c r="BG36" s="37">
        <f t="shared" si="50"/>
        <v>0</v>
      </c>
      <c r="BH36" s="37">
        <f t="shared" si="50"/>
        <v>0</v>
      </c>
      <c r="BI36" s="37">
        <f t="shared" si="50"/>
        <v>0</v>
      </c>
      <c r="BJ36" s="37">
        <f t="shared" si="50"/>
        <v>0</v>
      </c>
      <c r="BK36" s="37">
        <f t="shared" si="50"/>
        <v>0</v>
      </c>
      <c r="BL36" s="37">
        <f t="shared" si="50"/>
        <v>0</v>
      </c>
      <c r="BM36" s="37">
        <f t="shared" si="50"/>
        <v>0</v>
      </c>
      <c r="BN36" s="37">
        <f t="shared" si="50"/>
        <v>0</v>
      </c>
      <c r="BO36" s="37">
        <f t="shared" si="50"/>
        <v>0</v>
      </c>
      <c r="BP36" s="37">
        <f t="shared" si="50"/>
        <v>0</v>
      </c>
      <c r="BQ36" s="37">
        <f t="shared" ref="BQ36:EB36" si="51">(BQ34/$F$3)*$E$3</f>
        <v>0</v>
      </c>
      <c r="BR36" s="37">
        <f t="shared" si="51"/>
        <v>0</v>
      </c>
      <c r="BS36" s="37">
        <f t="shared" si="51"/>
        <v>0</v>
      </c>
      <c r="BT36" s="37">
        <f t="shared" si="51"/>
        <v>0</v>
      </c>
      <c r="BU36" s="37">
        <f t="shared" si="51"/>
        <v>0</v>
      </c>
      <c r="BV36" s="37">
        <f t="shared" si="51"/>
        <v>0</v>
      </c>
      <c r="BW36" s="37">
        <f t="shared" si="51"/>
        <v>0</v>
      </c>
      <c r="BX36" s="37">
        <f t="shared" si="51"/>
        <v>0</v>
      </c>
      <c r="BY36" s="37">
        <f t="shared" si="51"/>
        <v>0</v>
      </c>
      <c r="BZ36" s="37">
        <f t="shared" si="51"/>
        <v>0</v>
      </c>
      <c r="CA36" s="37">
        <f t="shared" si="51"/>
        <v>0</v>
      </c>
      <c r="CB36" s="37">
        <f t="shared" si="51"/>
        <v>0</v>
      </c>
      <c r="CC36" s="37">
        <f t="shared" si="51"/>
        <v>0</v>
      </c>
      <c r="CD36" s="37">
        <f t="shared" si="51"/>
        <v>0</v>
      </c>
      <c r="CE36" s="37">
        <f t="shared" si="51"/>
        <v>0</v>
      </c>
      <c r="CF36" s="37">
        <f t="shared" si="51"/>
        <v>0</v>
      </c>
      <c r="CG36" s="37">
        <f t="shared" si="51"/>
        <v>0</v>
      </c>
      <c r="CH36" s="37">
        <f t="shared" si="51"/>
        <v>0</v>
      </c>
      <c r="CI36" s="37">
        <f t="shared" si="51"/>
        <v>0</v>
      </c>
      <c r="CJ36" s="37">
        <f t="shared" si="51"/>
        <v>0</v>
      </c>
      <c r="CK36" s="37">
        <f t="shared" si="51"/>
        <v>0</v>
      </c>
      <c r="CL36" s="37">
        <f t="shared" si="51"/>
        <v>0</v>
      </c>
      <c r="CM36" s="37">
        <f t="shared" si="51"/>
        <v>0</v>
      </c>
      <c r="CN36" s="37">
        <f t="shared" si="51"/>
        <v>0</v>
      </c>
      <c r="CO36" s="37">
        <f t="shared" si="51"/>
        <v>0</v>
      </c>
      <c r="CP36" s="37">
        <f t="shared" si="51"/>
        <v>0</v>
      </c>
      <c r="CQ36" s="37">
        <f t="shared" si="51"/>
        <v>0</v>
      </c>
      <c r="CR36" s="37">
        <f t="shared" si="51"/>
        <v>0</v>
      </c>
      <c r="CS36" s="37">
        <f t="shared" si="51"/>
        <v>0</v>
      </c>
      <c r="CT36" s="37">
        <f t="shared" si="51"/>
        <v>0</v>
      </c>
      <c r="CU36" s="37">
        <f t="shared" si="51"/>
        <v>0</v>
      </c>
      <c r="CV36" s="37">
        <f t="shared" si="51"/>
        <v>0</v>
      </c>
      <c r="CW36" s="37">
        <f t="shared" si="51"/>
        <v>0</v>
      </c>
      <c r="CX36" s="37">
        <f t="shared" si="51"/>
        <v>0</v>
      </c>
      <c r="CY36" s="37">
        <f t="shared" si="51"/>
        <v>0</v>
      </c>
      <c r="CZ36" s="37">
        <f t="shared" si="51"/>
        <v>0</v>
      </c>
      <c r="DA36" s="37">
        <f t="shared" si="51"/>
        <v>0</v>
      </c>
      <c r="DB36" s="37">
        <f t="shared" si="51"/>
        <v>0</v>
      </c>
      <c r="DC36" s="37">
        <f t="shared" si="51"/>
        <v>0</v>
      </c>
      <c r="DD36" s="37">
        <f t="shared" si="51"/>
        <v>0</v>
      </c>
      <c r="DE36" s="37">
        <f t="shared" si="51"/>
        <v>0</v>
      </c>
      <c r="DF36" s="37">
        <f t="shared" si="51"/>
        <v>0</v>
      </c>
      <c r="DG36" s="37">
        <f t="shared" si="51"/>
        <v>0</v>
      </c>
      <c r="DH36" s="37">
        <f t="shared" si="51"/>
        <v>0</v>
      </c>
      <c r="DI36" s="37">
        <f t="shared" si="51"/>
        <v>0</v>
      </c>
      <c r="DJ36" s="37">
        <f t="shared" si="51"/>
        <v>0</v>
      </c>
      <c r="DK36" s="37">
        <f t="shared" si="51"/>
        <v>0</v>
      </c>
      <c r="DL36" s="37">
        <f t="shared" si="51"/>
        <v>0</v>
      </c>
      <c r="DM36" s="37">
        <f t="shared" si="51"/>
        <v>0</v>
      </c>
      <c r="DN36" s="37">
        <f t="shared" si="51"/>
        <v>0</v>
      </c>
      <c r="DO36" s="37">
        <f t="shared" si="51"/>
        <v>0</v>
      </c>
      <c r="DP36" s="37">
        <f t="shared" si="51"/>
        <v>0</v>
      </c>
      <c r="DQ36" s="37">
        <f t="shared" si="51"/>
        <v>0</v>
      </c>
      <c r="DR36" s="37">
        <f t="shared" si="51"/>
        <v>0</v>
      </c>
      <c r="DS36" s="37">
        <f t="shared" si="51"/>
        <v>0</v>
      </c>
      <c r="DT36" s="37">
        <f t="shared" si="51"/>
        <v>0</v>
      </c>
      <c r="DU36" s="37">
        <f t="shared" si="51"/>
        <v>0</v>
      </c>
      <c r="DV36" s="37">
        <f t="shared" si="51"/>
        <v>0</v>
      </c>
      <c r="DW36" s="37">
        <f t="shared" si="51"/>
        <v>0</v>
      </c>
      <c r="DX36" s="37">
        <f t="shared" si="51"/>
        <v>0</v>
      </c>
      <c r="DY36" s="37">
        <f t="shared" si="51"/>
        <v>0</v>
      </c>
      <c r="DZ36" s="37">
        <f t="shared" si="51"/>
        <v>0</v>
      </c>
      <c r="EA36" s="37">
        <f t="shared" si="51"/>
        <v>0</v>
      </c>
      <c r="EB36" s="37">
        <f t="shared" si="51"/>
        <v>0</v>
      </c>
      <c r="EC36" s="37">
        <f t="shared" ref="EC36:EE36" si="52">(EC34/$F$3)*$E$3</f>
        <v>0</v>
      </c>
      <c r="ED36" s="37">
        <f t="shared" si="52"/>
        <v>0</v>
      </c>
      <c r="EE36" s="38">
        <f t="shared" si="52"/>
        <v>0</v>
      </c>
    </row>
    <row r="37" spans="1:135" x14ac:dyDescent="0.35">
      <c r="A37" s="48" t="e">
        <f>XIRR(C37:EE37,$C$28:$EE$28)</f>
        <v>#NUM!</v>
      </c>
      <c r="B37" s="35" t="s">
        <v>54</v>
      </c>
      <c r="C37" s="46">
        <f>SUM(C35:C36)</f>
        <v>-184125</v>
      </c>
      <c r="D37" s="39">
        <f>SUM(D35:D36)</f>
        <v>0</v>
      </c>
      <c r="E37" s="39">
        <f t="shared" ref="E37:BP37" si="53">SUM(E35:E36)</f>
        <v>0</v>
      </c>
      <c r="F37" s="39">
        <f t="shared" si="53"/>
        <v>0</v>
      </c>
      <c r="G37" s="39">
        <f t="shared" si="53"/>
        <v>0</v>
      </c>
      <c r="H37" s="39">
        <f t="shared" si="53"/>
        <v>0</v>
      </c>
      <c r="I37" s="39">
        <f t="shared" si="53"/>
        <v>0</v>
      </c>
      <c r="J37" s="39">
        <f t="shared" si="53"/>
        <v>0</v>
      </c>
      <c r="K37" s="39">
        <f t="shared" si="53"/>
        <v>0</v>
      </c>
      <c r="L37" s="39">
        <f t="shared" si="53"/>
        <v>0</v>
      </c>
      <c r="M37" s="39">
        <f t="shared" si="53"/>
        <v>0</v>
      </c>
      <c r="N37" s="39">
        <f t="shared" si="53"/>
        <v>0</v>
      </c>
      <c r="O37" s="39">
        <f t="shared" si="53"/>
        <v>0</v>
      </c>
      <c r="P37" s="39">
        <f t="shared" si="53"/>
        <v>0</v>
      </c>
      <c r="Q37" s="39">
        <f t="shared" si="53"/>
        <v>0</v>
      </c>
      <c r="R37" s="39">
        <f t="shared" si="53"/>
        <v>0</v>
      </c>
      <c r="S37" s="39">
        <f t="shared" si="53"/>
        <v>0</v>
      </c>
      <c r="T37" s="39">
        <f t="shared" si="53"/>
        <v>0</v>
      </c>
      <c r="U37" s="39">
        <f t="shared" si="53"/>
        <v>0</v>
      </c>
      <c r="V37" s="39">
        <f t="shared" si="53"/>
        <v>0</v>
      </c>
      <c r="W37" s="39">
        <f t="shared" si="53"/>
        <v>0</v>
      </c>
      <c r="X37" s="39">
        <f t="shared" si="53"/>
        <v>0</v>
      </c>
      <c r="Y37" s="39">
        <f t="shared" si="53"/>
        <v>0</v>
      </c>
      <c r="Z37" s="39">
        <f t="shared" si="53"/>
        <v>0</v>
      </c>
      <c r="AA37" s="39">
        <f t="shared" si="53"/>
        <v>0</v>
      </c>
      <c r="AB37" s="39">
        <f t="shared" si="53"/>
        <v>0</v>
      </c>
      <c r="AC37" s="39">
        <f t="shared" si="53"/>
        <v>0</v>
      </c>
      <c r="AD37" s="39">
        <f t="shared" si="53"/>
        <v>0</v>
      </c>
      <c r="AE37" s="39">
        <f t="shared" si="53"/>
        <v>0</v>
      </c>
      <c r="AF37" s="39">
        <f t="shared" si="53"/>
        <v>0</v>
      </c>
      <c r="AG37" s="39">
        <f t="shared" si="53"/>
        <v>0</v>
      </c>
      <c r="AH37" s="39">
        <f t="shared" si="53"/>
        <v>0</v>
      </c>
      <c r="AI37" s="39">
        <f t="shared" si="53"/>
        <v>0</v>
      </c>
      <c r="AJ37" s="39">
        <f t="shared" si="53"/>
        <v>0</v>
      </c>
      <c r="AK37" s="39">
        <f t="shared" si="53"/>
        <v>0</v>
      </c>
      <c r="AL37" s="39">
        <f t="shared" si="53"/>
        <v>0</v>
      </c>
      <c r="AM37" s="39">
        <f t="shared" si="53"/>
        <v>0</v>
      </c>
      <c r="AN37" s="39">
        <f t="shared" si="53"/>
        <v>0</v>
      </c>
      <c r="AO37" s="39">
        <f t="shared" si="53"/>
        <v>0</v>
      </c>
      <c r="AP37" s="39">
        <f t="shared" si="53"/>
        <v>0</v>
      </c>
      <c r="AQ37" s="39">
        <f t="shared" si="53"/>
        <v>0</v>
      </c>
      <c r="AR37" s="39">
        <f t="shared" si="53"/>
        <v>0</v>
      </c>
      <c r="AS37" s="39">
        <f t="shared" si="53"/>
        <v>0</v>
      </c>
      <c r="AT37" s="39">
        <f t="shared" si="53"/>
        <v>0</v>
      </c>
      <c r="AU37" s="39">
        <f t="shared" si="53"/>
        <v>0</v>
      </c>
      <c r="AV37" s="39">
        <f t="shared" si="53"/>
        <v>0</v>
      </c>
      <c r="AW37" s="39">
        <f t="shared" si="53"/>
        <v>0</v>
      </c>
      <c r="AX37" s="39">
        <f t="shared" si="53"/>
        <v>0</v>
      </c>
      <c r="AY37" s="39">
        <f t="shared" si="53"/>
        <v>0</v>
      </c>
      <c r="AZ37" s="39">
        <f t="shared" si="53"/>
        <v>0</v>
      </c>
      <c r="BA37" s="39">
        <f t="shared" si="53"/>
        <v>0</v>
      </c>
      <c r="BB37" s="39">
        <f t="shared" si="53"/>
        <v>0</v>
      </c>
      <c r="BC37" s="39">
        <f t="shared" si="53"/>
        <v>0</v>
      </c>
      <c r="BD37" s="39">
        <f t="shared" si="53"/>
        <v>0</v>
      </c>
      <c r="BE37" s="39">
        <f t="shared" si="53"/>
        <v>0</v>
      </c>
      <c r="BF37" s="39">
        <f t="shared" si="53"/>
        <v>0</v>
      </c>
      <c r="BG37" s="39">
        <f t="shared" si="53"/>
        <v>0</v>
      </c>
      <c r="BH37" s="39">
        <f t="shared" si="53"/>
        <v>0</v>
      </c>
      <c r="BI37" s="39">
        <f t="shared" si="53"/>
        <v>0</v>
      </c>
      <c r="BJ37" s="39">
        <f t="shared" si="53"/>
        <v>0</v>
      </c>
      <c r="BK37" s="39">
        <f t="shared" si="53"/>
        <v>0</v>
      </c>
      <c r="BL37" s="39">
        <f t="shared" si="53"/>
        <v>0</v>
      </c>
      <c r="BM37" s="39">
        <f t="shared" si="53"/>
        <v>0</v>
      </c>
      <c r="BN37" s="39">
        <f t="shared" si="53"/>
        <v>0</v>
      </c>
      <c r="BO37" s="39">
        <f t="shared" si="53"/>
        <v>0</v>
      </c>
      <c r="BP37" s="39">
        <f t="shared" si="53"/>
        <v>0</v>
      </c>
      <c r="BQ37" s="39">
        <f t="shared" ref="BQ37:EB37" si="54">SUM(BQ35:BQ36)</f>
        <v>0</v>
      </c>
      <c r="BR37" s="39">
        <f t="shared" si="54"/>
        <v>0</v>
      </c>
      <c r="BS37" s="39">
        <f t="shared" si="54"/>
        <v>0</v>
      </c>
      <c r="BT37" s="39">
        <f t="shared" si="54"/>
        <v>0</v>
      </c>
      <c r="BU37" s="39">
        <f t="shared" si="54"/>
        <v>0</v>
      </c>
      <c r="BV37" s="39">
        <f t="shared" si="54"/>
        <v>0</v>
      </c>
      <c r="BW37" s="39">
        <f t="shared" si="54"/>
        <v>0</v>
      </c>
      <c r="BX37" s="39">
        <f t="shared" si="54"/>
        <v>0</v>
      </c>
      <c r="BY37" s="39">
        <f t="shared" si="54"/>
        <v>0</v>
      </c>
      <c r="BZ37" s="39">
        <f t="shared" si="54"/>
        <v>0</v>
      </c>
      <c r="CA37" s="39">
        <f t="shared" si="54"/>
        <v>0</v>
      </c>
      <c r="CB37" s="39">
        <f t="shared" si="54"/>
        <v>0</v>
      </c>
      <c r="CC37" s="39">
        <f t="shared" si="54"/>
        <v>0</v>
      </c>
      <c r="CD37" s="39">
        <f t="shared" si="54"/>
        <v>0</v>
      </c>
      <c r="CE37" s="39">
        <f t="shared" si="54"/>
        <v>0</v>
      </c>
      <c r="CF37" s="39">
        <f t="shared" si="54"/>
        <v>0</v>
      </c>
      <c r="CG37" s="39">
        <f t="shared" si="54"/>
        <v>0</v>
      </c>
      <c r="CH37" s="39">
        <f t="shared" si="54"/>
        <v>0</v>
      </c>
      <c r="CI37" s="39">
        <f t="shared" si="54"/>
        <v>0</v>
      </c>
      <c r="CJ37" s="39">
        <f t="shared" si="54"/>
        <v>0</v>
      </c>
      <c r="CK37" s="39">
        <f t="shared" si="54"/>
        <v>0</v>
      </c>
      <c r="CL37" s="39">
        <f t="shared" si="54"/>
        <v>0</v>
      </c>
      <c r="CM37" s="39">
        <f t="shared" si="54"/>
        <v>0</v>
      </c>
      <c r="CN37" s="39">
        <f t="shared" si="54"/>
        <v>0</v>
      </c>
      <c r="CO37" s="39">
        <f t="shared" si="54"/>
        <v>0</v>
      </c>
      <c r="CP37" s="39">
        <f t="shared" si="54"/>
        <v>0</v>
      </c>
      <c r="CQ37" s="39">
        <f t="shared" si="54"/>
        <v>0</v>
      </c>
      <c r="CR37" s="39">
        <f t="shared" si="54"/>
        <v>0</v>
      </c>
      <c r="CS37" s="39">
        <f t="shared" si="54"/>
        <v>0</v>
      </c>
      <c r="CT37" s="39">
        <f t="shared" si="54"/>
        <v>0</v>
      </c>
      <c r="CU37" s="39">
        <f t="shared" si="54"/>
        <v>0</v>
      </c>
      <c r="CV37" s="39">
        <f t="shared" si="54"/>
        <v>0</v>
      </c>
      <c r="CW37" s="39">
        <f t="shared" si="54"/>
        <v>0</v>
      </c>
      <c r="CX37" s="39">
        <f t="shared" si="54"/>
        <v>0</v>
      </c>
      <c r="CY37" s="39">
        <f t="shared" si="54"/>
        <v>0</v>
      </c>
      <c r="CZ37" s="39">
        <f t="shared" si="54"/>
        <v>0</v>
      </c>
      <c r="DA37" s="39">
        <f t="shared" si="54"/>
        <v>0</v>
      </c>
      <c r="DB37" s="39">
        <f t="shared" si="54"/>
        <v>0</v>
      </c>
      <c r="DC37" s="39">
        <f t="shared" si="54"/>
        <v>0</v>
      </c>
      <c r="DD37" s="39">
        <f t="shared" si="54"/>
        <v>0</v>
      </c>
      <c r="DE37" s="39">
        <f t="shared" si="54"/>
        <v>0</v>
      </c>
      <c r="DF37" s="39">
        <f t="shared" si="54"/>
        <v>0</v>
      </c>
      <c r="DG37" s="39">
        <f t="shared" si="54"/>
        <v>0</v>
      </c>
      <c r="DH37" s="39">
        <f t="shared" si="54"/>
        <v>0</v>
      </c>
      <c r="DI37" s="39">
        <f t="shared" si="54"/>
        <v>0</v>
      </c>
      <c r="DJ37" s="39">
        <f t="shared" si="54"/>
        <v>0</v>
      </c>
      <c r="DK37" s="39">
        <f t="shared" si="54"/>
        <v>0</v>
      </c>
      <c r="DL37" s="39">
        <f t="shared" si="54"/>
        <v>0</v>
      </c>
      <c r="DM37" s="39">
        <f t="shared" si="54"/>
        <v>0</v>
      </c>
      <c r="DN37" s="39">
        <f t="shared" si="54"/>
        <v>0</v>
      </c>
      <c r="DO37" s="39">
        <f t="shared" si="54"/>
        <v>0</v>
      </c>
      <c r="DP37" s="39">
        <f t="shared" si="54"/>
        <v>0</v>
      </c>
      <c r="DQ37" s="39">
        <f t="shared" si="54"/>
        <v>0</v>
      </c>
      <c r="DR37" s="39">
        <f t="shared" si="54"/>
        <v>0</v>
      </c>
      <c r="DS37" s="39">
        <f t="shared" si="54"/>
        <v>0</v>
      </c>
      <c r="DT37" s="39">
        <f t="shared" si="54"/>
        <v>0</v>
      </c>
      <c r="DU37" s="39">
        <f t="shared" si="54"/>
        <v>0</v>
      </c>
      <c r="DV37" s="39">
        <f t="shared" si="54"/>
        <v>0</v>
      </c>
      <c r="DW37" s="39">
        <f t="shared" si="54"/>
        <v>0</v>
      </c>
      <c r="DX37" s="39">
        <f t="shared" si="54"/>
        <v>0</v>
      </c>
      <c r="DY37" s="39">
        <f t="shared" si="54"/>
        <v>0</v>
      </c>
      <c r="DZ37" s="39">
        <f t="shared" si="54"/>
        <v>0</v>
      </c>
      <c r="EA37" s="39">
        <f t="shared" si="54"/>
        <v>0</v>
      </c>
      <c r="EB37" s="39">
        <f t="shared" si="54"/>
        <v>0</v>
      </c>
      <c r="EC37" s="39">
        <f t="shared" ref="EC37:EE37" si="55">SUM(EC35:EC36)</f>
        <v>0</v>
      </c>
      <c r="ED37" s="39">
        <f t="shared" si="55"/>
        <v>0</v>
      </c>
      <c r="EE37" s="40">
        <f t="shared" si="55"/>
        <v>0</v>
      </c>
    </row>
    <row r="38" spans="1:135" x14ac:dyDescent="0.35">
      <c r="B38" s="35" t="s">
        <v>56</v>
      </c>
      <c r="C38" s="39">
        <f>SUM(C36,C32)</f>
        <v>0</v>
      </c>
      <c r="D38" s="39">
        <f>SUM(D36,D32)</f>
        <v>0</v>
      </c>
      <c r="E38" s="39">
        <f t="shared" ref="E38:BP38" si="56">SUM(E36,E32)</f>
        <v>0</v>
      </c>
      <c r="F38" s="39">
        <f t="shared" si="56"/>
        <v>0</v>
      </c>
      <c r="G38" s="39">
        <f t="shared" si="56"/>
        <v>0</v>
      </c>
      <c r="H38" s="39">
        <f t="shared" si="56"/>
        <v>0</v>
      </c>
      <c r="I38" s="39">
        <f t="shared" si="56"/>
        <v>0</v>
      </c>
      <c r="J38" s="39">
        <f t="shared" si="56"/>
        <v>0</v>
      </c>
      <c r="K38" s="39">
        <f t="shared" si="56"/>
        <v>0</v>
      </c>
      <c r="L38" s="39">
        <f t="shared" si="56"/>
        <v>0</v>
      </c>
      <c r="M38" s="39">
        <f t="shared" si="56"/>
        <v>0</v>
      </c>
      <c r="N38" s="39">
        <f t="shared" si="56"/>
        <v>0</v>
      </c>
      <c r="O38" s="39">
        <f t="shared" si="56"/>
        <v>0</v>
      </c>
      <c r="P38" s="39">
        <f t="shared" si="56"/>
        <v>0</v>
      </c>
      <c r="Q38" s="39">
        <f t="shared" si="56"/>
        <v>0</v>
      </c>
      <c r="R38" s="39">
        <f t="shared" si="56"/>
        <v>0</v>
      </c>
      <c r="S38" s="39">
        <f t="shared" si="56"/>
        <v>0</v>
      </c>
      <c r="T38" s="39">
        <f t="shared" si="56"/>
        <v>0</v>
      </c>
      <c r="U38" s="39">
        <f t="shared" si="56"/>
        <v>0</v>
      </c>
      <c r="V38" s="39">
        <f t="shared" si="56"/>
        <v>0</v>
      </c>
      <c r="W38" s="39">
        <f t="shared" si="56"/>
        <v>0</v>
      </c>
      <c r="X38" s="39">
        <f t="shared" si="56"/>
        <v>0</v>
      </c>
      <c r="Y38" s="39">
        <f t="shared" si="56"/>
        <v>0</v>
      </c>
      <c r="Z38" s="39">
        <f t="shared" si="56"/>
        <v>0</v>
      </c>
      <c r="AA38" s="39">
        <f t="shared" si="56"/>
        <v>0</v>
      </c>
      <c r="AB38" s="39">
        <f t="shared" si="56"/>
        <v>0</v>
      </c>
      <c r="AC38" s="39">
        <f t="shared" si="56"/>
        <v>0</v>
      </c>
      <c r="AD38" s="39">
        <f t="shared" si="56"/>
        <v>0</v>
      </c>
      <c r="AE38" s="39">
        <f t="shared" si="56"/>
        <v>0</v>
      </c>
      <c r="AF38" s="39">
        <f t="shared" si="56"/>
        <v>0</v>
      </c>
      <c r="AG38" s="39">
        <f t="shared" si="56"/>
        <v>0</v>
      </c>
      <c r="AH38" s="39">
        <f t="shared" si="56"/>
        <v>0</v>
      </c>
      <c r="AI38" s="39">
        <f t="shared" si="56"/>
        <v>0</v>
      </c>
      <c r="AJ38" s="39">
        <f t="shared" si="56"/>
        <v>0</v>
      </c>
      <c r="AK38" s="39">
        <f t="shared" si="56"/>
        <v>0</v>
      </c>
      <c r="AL38" s="39">
        <f t="shared" si="56"/>
        <v>0</v>
      </c>
      <c r="AM38" s="39">
        <f t="shared" si="56"/>
        <v>0</v>
      </c>
      <c r="AN38" s="39">
        <f t="shared" si="56"/>
        <v>0</v>
      </c>
      <c r="AO38" s="39">
        <f t="shared" si="56"/>
        <v>0</v>
      </c>
      <c r="AP38" s="39">
        <f t="shared" si="56"/>
        <v>0</v>
      </c>
      <c r="AQ38" s="39">
        <f t="shared" si="56"/>
        <v>0</v>
      </c>
      <c r="AR38" s="39">
        <f t="shared" si="56"/>
        <v>0</v>
      </c>
      <c r="AS38" s="39">
        <f t="shared" si="56"/>
        <v>0</v>
      </c>
      <c r="AT38" s="39">
        <f t="shared" si="56"/>
        <v>0</v>
      </c>
      <c r="AU38" s="39">
        <f t="shared" si="56"/>
        <v>0</v>
      </c>
      <c r="AV38" s="39">
        <f t="shared" si="56"/>
        <v>0</v>
      </c>
      <c r="AW38" s="39">
        <f t="shared" si="56"/>
        <v>0</v>
      </c>
      <c r="AX38" s="39">
        <f t="shared" si="56"/>
        <v>0</v>
      </c>
      <c r="AY38" s="39">
        <f t="shared" si="56"/>
        <v>0</v>
      </c>
      <c r="AZ38" s="39">
        <f t="shared" si="56"/>
        <v>0</v>
      </c>
      <c r="BA38" s="39">
        <f t="shared" si="56"/>
        <v>0</v>
      </c>
      <c r="BB38" s="39">
        <f t="shared" si="56"/>
        <v>0</v>
      </c>
      <c r="BC38" s="39">
        <f t="shared" si="56"/>
        <v>0</v>
      </c>
      <c r="BD38" s="39">
        <f t="shared" si="56"/>
        <v>0</v>
      </c>
      <c r="BE38" s="39">
        <f t="shared" si="56"/>
        <v>0</v>
      </c>
      <c r="BF38" s="39">
        <f t="shared" si="56"/>
        <v>0</v>
      </c>
      <c r="BG38" s="39">
        <f t="shared" si="56"/>
        <v>0</v>
      </c>
      <c r="BH38" s="39">
        <f t="shared" si="56"/>
        <v>0</v>
      </c>
      <c r="BI38" s="39">
        <f t="shared" si="56"/>
        <v>0</v>
      </c>
      <c r="BJ38" s="39">
        <f t="shared" si="56"/>
        <v>0</v>
      </c>
      <c r="BK38" s="39">
        <f t="shared" si="56"/>
        <v>0</v>
      </c>
      <c r="BL38" s="39">
        <f t="shared" si="56"/>
        <v>0</v>
      </c>
      <c r="BM38" s="39">
        <f t="shared" si="56"/>
        <v>0</v>
      </c>
      <c r="BN38" s="39">
        <f t="shared" si="56"/>
        <v>0</v>
      </c>
      <c r="BO38" s="39">
        <f t="shared" si="56"/>
        <v>0</v>
      </c>
      <c r="BP38" s="39">
        <f t="shared" si="56"/>
        <v>0</v>
      </c>
      <c r="BQ38" s="39">
        <f t="shared" ref="BQ38:EB38" si="57">SUM(BQ36,BQ32)</f>
        <v>0</v>
      </c>
      <c r="BR38" s="39">
        <f t="shared" si="57"/>
        <v>0</v>
      </c>
      <c r="BS38" s="39">
        <f t="shared" si="57"/>
        <v>0</v>
      </c>
      <c r="BT38" s="39">
        <f t="shared" si="57"/>
        <v>0</v>
      </c>
      <c r="BU38" s="39">
        <f t="shared" si="57"/>
        <v>0</v>
      </c>
      <c r="BV38" s="39">
        <f t="shared" si="57"/>
        <v>0</v>
      </c>
      <c r="BW38" s="39">
        <f t="shared" si="57"/>
        <v>0</v>
      </c>
      <c r="BX38" s="39">
        <f t="shared" si="57"/>
        <v>0</v>
      </c>
      <c r="BY38" s="39">
        <f t="shared" si="57"/>
        <v>0</v>
      </c>
      <c r="BZ38" s="39">
        <f t="shared" si="57"/>
        <v>0</v>
      </c>
      <c r="CA38" s="39">
        <f t="shared" si="57"/>
        <v>0</v>
      </c>
      <c r="CB38" s="39">
        <f t="shared" si="57"/>
        <v>0</v>
      </c>
      <c r="CC38" s="39">
        <f t="shared" si="57"/>
        <v>0</v>
      </c>
      <c r="CD38" s="39">
        <f t="shared" si="57"/>
        <v>0</v>
      </c>
      <c r="CE38" s="39">
        <f t="shared" si="57"/>
        <v>0</v>
      </c>
      <c r="CF38" s="39">
        <f t="shared" si="57"/>
        <v>0</v>
      </c>
      <c r="CG38" s="39">
        <f t="shared" si="57"/>
        <v>0</v>
      </c>
      <c r="CH38" s="39">
        <f t="shared" si="57"/>
        <v>0</v>
      </c>
      <c r="CI38" s="39">
        <f t="shared" si="57"/>
        <v>0</v>
      </c>
      <c r="CJ38" s="39">
        <f t="shared" si="57"/>
        <v>0</v>
      </c>
      <c r="CK38" s="39">
        <f t="shared" si="57"/>
        <v>0</v>
      </c>
      <c r="CL38" s="39">
        <f t="shared" si="57"/>
        <v>0</v>
      </c>
      <c r="CM38" s="39">
        <f t="shared" si="57"/>
        <v>0</v>
      </c>
      <c r="CN38" s="39">
        <f t="shared" si="57"/>
        <v>0</v>
      </c>
      <c r="CO38" s="39">
        <f t="shared" si="57"/>
        <v>0</v>
      </c>
      <c r="CP38" s="39">
        <f t="shared" si="57"/>
        <v>0</v>
      </c>
      <c r="CQ38" s="39">
        <f t="shared" si="57"/>
        <v>0</v>
      </c>
      <c r="CR38" s="39">
        <f t="shared" si="57"/>
        <v>0</v>
      </c>
      <c r="CS38" s="39">
        <f t="shared" si="57"/>
        <v>0</v>
      </c>
      <c r="CT38" s="39">
        <f t="shared" si="57"/>
        <v>0</v>
      </c>
      <c r="CU38" s="39">
        <f t="shared" si="57"/>
        <v>0</v>
      </c>
      <c r="CV38" s="39">
        <f t="shared" si="57"/>
        <v>0</v>
      </c>
      <c r="CW38" s="39">
        <f t="shared" si="57"/>
        <v>0</v>
      </c>
      <c r="CX38" s="39">
        <f t="shared" si="57"/>
        <v>0</v>
      </c>
      <c r="CY38" s="39">
        <f t="shared" si="57"/>
        <v>0</v>
      </c>
      <c r="CZ38" s="39">
        <f t="shared" si="57"/>
        <v>0</v>
      </c>
      <c r="DA38" s="39">
        <f t="shared" si="57"/>
        <v>0</v>
      </c>
      <c r="DB38" s="39">
        <f t="shared" si="57"/>
        <v>0</v>
      </c>
      <c r="DC38" s="39">
        <f t="shared" si="57"/>
        <v>0</v>
      </c>
      <c r="DD38" s="39">
        <f t="shared" si="57"/>
        <v>0</v>
      </c>
      <c r="DE38" s="39">
        <f t="shared" si="57"/>
        <v>0</v>
      </c>
      <c r="DF38" s="39">
        <f t="shared" si="57"/>
        <v>0</v>
      </c>
      <c r="DG38" s="39">
        <f t="shared" si="57"/>
        <v>0</v>
      </c>
      <c r="DH38" s="39">
        <f t="shared" si="57"/>
        <v>0</v>
      </c>
      <c r="DI38" s="39">
        <f t="shared" si="57"/>
        <v>0</v>
      </c>
      <c r="DJ38" s="39">
        <f t="shared" si="57"/>
        <v>0</v>
      </c>
      <c r="DK38" s="39">
        <f t="shared" si="57"/>
        <v>0</v>
      </c>
      <c r="DL38" s="39">
        <f t="shared" si="57"/>
        <v>0</v>
      </c>
      <c r="DM38" s="39">
        <f t="shared" si="57"/>
        <v>0</v>
      </c>
      <c r="DN38" s="39">
        <f t="shared" si="57"/>
        <v>0</v>
      </c>
      <c r="DO38" s="39">
        <f t="shared" si="57"/>
        <v>0</v>
      </c>
      <c r="DP38" s="39">
        <f t="shared" si="57"/>
        <v>0</v>
      </c>
      <c r="DQ38" s="39">
        <f t="shared" si="57"/>
        <v>0</v>
      </c>
      <c r="DR38" s="39">
        <f t="shared" si="57"/>
        <v>0</v>
      </c>
      <c r="DS38" s="39">
        <f t="shared" si="57"/>
        <v>0</v>
      </c>
      <c r="DT38" s="39">
        <f t="shared" si="57"/>
        <v>0</v>
      </c>
      <c r="DU38" s="39">
        <f t="shared" si="57"/>
        <v>0</v>
      </c>
      <c r="DV38" s="39">
        <f t="shared" si="57"/>
        <v>0</v>
      </c>
      <c r="DW38" s="39">
        <f t="shared" si="57"/>
        <v>0</v>
      </c>
      <c r="DX38" s="39">
        <f t="shared" si="57"/>
        <v>0</v>
      </c>
      <c r="DY38" s="39">
        <f t="shared" si="57"/>
        <v>0</v>
      </c>
      <c r="DZ38" s="39">
        <f t="shared" si="57"/>
        <v>0</v>
      </c>
      <c r="EA38" s="39">
        <f t="shared" si="57"/>
        <v>0</v>
      </c>
      <c r="EB38" s="39">
        <f t="shared" si="57"/>
        <v>0</v>
      </c>
      <c r="EC38" s="39">
        <f t="shared" ref="EC38:EE38" si="58">SUM(EC36,EC32)</f>
        <v>0</v>
      </c>
      <c r="ED38" s="39">
        <f t="shared" si="58"/>
        <v>0</v>
      </c>
      <c r="EE38" s="40">
        <f t="shared" si="58"/>
        <v>0</v>
      </c>
    </row>
    <row r="39" spans="1:135" x14ac:dyDescent="0.35">
      <c r="B39" s="35" t="s">
        <v>57</v>
      </c>
      <c r="C39" s="39">
        <f>MAX(C26-C38,0)</f>
        <v>0</v>
      </c>
      <c r="D39" s="39">
        <f>MAX(D26-D38,0)</f>
        <v>15730.819881145031</v>
      </c>
      <c r="E39" s="39">
        <f t="shared" ref="E39:BP39" si="59">MAX(E26-E38,0)</f>
        <v>15917.550554562255</v>
      </c>
      <c r="F39" s="39">
        <f t="shared" si="59"/>
        <v>16105.041991857161</v>
      </c>
      <c r="G39" s="39">
        <f t="shared" si="59"/>
        <v>16293.297292476007</v>
      </c>
      <c r="H39" s="39">
        <f t="shared" si="59"/>
        <v>16482.319568492479</v>
      </c>
      <c r="I39" s="39">
        <f t="shared" si="59"/>
        <v>16672.111944659322</v>
      </c>
      <c r="J39" s="39">
        <f t="shared" si="59"/>
        <v>16862.677558459865</v>
      </c>
      <c r="K39" s="39">
        <f t="shared" si="59"/>
        <v>17054.019560159933</v>
      </c>
      <c r="L39" s="39">
        <f t="shared" si="59"/>
        <v>17246.141112859939</v>
      </c>
      <c r="M39" s="39">
        <f t="shared" si="59"/>
        <v>17439.045392547145</v>
      </c>
      <c r="N39" s="39">
        <f t="shared" si="59"/>
        <v>17632.7355881482</v>
      </c>
      <c r="O39" s="39">
        <f t="shared" si="59"/>
        <v>17827.214901581803</v>
      </c>
      <c r="P39" s="39">
        <f t="shared" si="59"/>
        <v>18022.486547811706</v>
      </c>
      <c r="Q39" s="39">
        <f t="shared" si="59"/>
        <v>18218.553754899785</v>
      </c>
      <c r="R39" s="39">
        <f t="shared" si="59"/>
        <v>18415.419764059439</v>
      </c>
      <c r="S39" s="39">
        <f t="shared" si="59"/>
        <v>18613.08782970922</v>
      </c>
      <c r="T39" s="39">
        <f t="shared" si="59"/>
        <v>18811.561219526528</v>
      </c>
      <c r="U39" s="39">
        <f t="shared" si="59"/>
        <v>19010.843214501707</v>
      </c>
      <c r="V39" s="39">
        <f t="shared" si="59"/>
        <v>19210.937108992272</v>
      </c>
      <c r="W39" s="39">
        <f t="shared" si="59"/>
        <v>19411.846210777341</v>
      </c>
      <c r="X39" s="39">
        <f t="shared" si="59"/>
        <v>19613.573841112353</v>
      </c>
      <c r="Y39" s="39">
        <f t="shared" si="59"/>
        <v>19816.123334783915</v>
      </c>
      <c r="Z39" s="39">
        <f t="shared" si="59"/>
        <v>20019.498040165028</v>
      </c>
      <c r="AA39" s="39">
        <f t="shared" si="59"/>
        <v>20223.701319270313</v>
      </c>
      <c r="AB39" s="39">
        <f t="shared" si="59"/>
        <v>20428.73654781171</v>
      </c>
      <c r="AC39" s="39">
        <f t="shared" si="59"/>
        <v>20634.607115254177</v>
      </c>
      <c r="AD39" s="39">
        <f t="shared" si="59"/>
        <v>20841.316424871839</v>
      </c>
      <c r="AE39" s="39">
        <f t="shared" si="59"/>
        <v>21048.867893804101</v>
      </c>
      <c r="AF39" s="39">
        <f t="shared" si="59"/>
        <v>21257.264953112273</v>
      </c>
      <c r="AG39" s="39">
        <f t="shared" si="59"/>
        <v>21466.511047836208</v>
      </c>
      <c r="AH39" s="39">
        <f t="shared" si="59"/>
        <v>21676.609637051304</v>
      </c>
      <c r="AI39" s="39">
        <f t="shared" si="59"/>
        <v>21887.564193925631</v>
      </c>
      <c r="AJ39" s="39">
        <f t="shared" si="59"/>
        <v>22099.378205777379</v>
      </c>
      <c r="AK39" s="39">
        <f t="shared" si="59"/>
        <v>22312.055174132529</v>
      </c>
      <c r="AL39" s="39">
        <f t="shared" si="59"/>
        <v>22525.598614782692</v>
      </c>
      <c r="AM39" s="39">
        <f t="shared" si="59"/>
        <v>22740.012057843251</v>
      </c>
      <c r="AN39" s="39">
        <f t="shared" si="59"/>
        <v>22955.299047811703</v>
      </c>
      <c r="AO39" s="39">
        <f t="shared" si="59"/>
        <v>23171.463143626308</v>
      </c>
      <c r="AP39" s="39">
        <f t="shared" si="59"/>
        <v>23388.507918724848</v>
      </c>
      <c r="AQ39" s="39">
        <f t="shared" si="59"/>
        <v>23606.436961103718</v>
      </c>
      <c r="AR39" s="39">
        <f t="shared" si="59"/>
        <v>23825.253873377296</v>
      </c>
      <c r="AS39" s="39">
        <f t="shared" si="59"/>
        <v>24044.962272837438</v>
      </c>
      <c r="AT39" s="39">
        <f t="shared" si="59"/>
        <v>24265.565791513287</v>
      </c>
      <c r="AU39" s="39">
        <f t="shared" si="59"/>
        <v>24487.068076231335</v>
      </c>
      <c r="AV39" s="39">
        <f t="shared" si="59"/>
        <v>24709.472788675666</v>
      </c>
      <c r="AW39" s="39">
        <f t="shared" si="59"/>
        <v>24932.783605448578</v>
      </c>
      <c r="AX39" s="39">
        <f t="shared" si="59"/>
        <v>25157.004218131249</v>
      </c>
      <c r="AY39" s="39">
        <f t="shared" si="59"/>
        <v>25382.138333344825</v>
      </c>
      <c r="AZ39" s="39">
        <f t="shared" si="59"/>
        <v>25608.189672811699</v>
      </c>
      <c r="BA39" s="39">
        <f t="shared" si="59"/>
        <v>25835.161973417045</v>
      </c>
      <c r="BB39" s="39">
        <f t="shared" si="59"/>
        <v>26063.058987270502</v>
      </c>
      <c r="BC39" s="39">
        <f t="shared" si="59"/>
        <v>26291.884481768328</v>
      </c>
      <c r="BD39" s="39">
        <f t="shared" si="59"/>
        <v>26521.642239655586</v>
      </c>
      <c r="BE39" s="39">
        <f t="shared" si="59"/>
        <v>26752.336059088724</v>
      </c>
      <c r="BF39" s="39">
        <f t="shared" si="59"/>
        <v>26983.969753698369</v>
      </c>
      <c r="BG39" s="39">
        <f t="shared" si="59"/>
        <v>27216.547152652307</v>
      </c>
      <c r="BH39" s="39">
        <f t="shared" si="59"/>
        <v>27450.072100718877</v>
      </c>
      <c r="BI39" s="39">
        <f t="shared" si="59"/>
        <v>27684.548458330421</v>
      </c>
      <c r="BJ39" s="39">
        <f t="shared" si="59"/>
        <v>27919.980101647227</v>
      </c>
      <c r="BK39" s="39">
        <f t="shared" si="59"/>
        <v>5898824.5369925108</v>
      </c>
      <c r="BL39" s="39">
        <f t="shared" si="59"/>
        <v>0</v>
      </c>
      <c r="BM39" s="39">
        <f t="shared" si="59"/>
        <v>0</v>
      </c>
      <c r="BN39" s="39">
        <f t="shared" si="59"/>
        <v>0</v>
      </c>
      <c r="BO39" s="39">
        <f t="shared" si="59"/>
        <v>0</v>
      </c>
      <c r="BP39" s="39">
        <f t="shared" si="59"/>
        <v>0</v>
      </c>
      <c r="BQ39" s="39">
        <f t="shared" ref="BQ39:EB39" si="60">MAX(BQ26-BQ38,0)</f>
        <v>0</v>
      </c>
      <c r="BR39" s="39">
        <f t="shared" si="60"/>
        <v>0</v>
      </c>
      <c r="BS39" s="39">
        <f t="shared" si="60"/>
        <v>0</v>
      </c>
      <c r="BT39" s="39">
        <f t="shared" si="60"/>
        <v>0</v>
      </c>
      <c r="BU39" s="39">
        <f t="shared" si="60"/>
        <v>0</v>
      </c>
      <c r="BV39" s="39">
        <f t="shared" si="60"/>
        <v>0</v>
      </c>
      <c r="BW39" s="39">
        <f t="shared" si="60"/>
        <v>0</v>
      </c>
      <c r="BX39" s="39">
        <f t="shared" si="60"/>
        <v>0</v>
      </c>
      <c r="BY39" s="39">
        <f t="shared" si="60"/>
        <v>0</v>
      </c>
      <c r="BZ39" s="39">
        <f t="shared" si="60"/>
        <v>0</v>
      </c>
      <c r="CA39" s="39">
        <f t="shared" si="60"/>
        <v>0</v>
      </c>
      <c r="CB39" s="39">
        <f t="shared" si="60"/>
        <v>0</v>
      </c>
      <c r="CC39" s="39">
        <f t="shared" si="60"/>
        <v>0</v>
      </c>
      <c r="CD39" s="39">
        <f t="shared" si="60"/>
        <v>0</v>
      </c>
      <c r="CE39" s="39">
        <f t="shared" si="60"/>
        <v>0</v>
      </c>
      <c r="CF39" s="39">
        <f t="shared" si="60"/>
        <v>0</v>
      </c>
      <c r="CG39" s="39">
        <f t="shared" si="60"/>
        <v>0</v>
      </c>
      <c r="CH39" s="39">
        <f t="shared" si="60"/>
        <v>0</v>
      </c>
      <c r="CI39" s="39">
        <f t="shared" si="60"/>
        <v>0</v>
      </c>
      <c r="CJ39" s="39">
        <f t="shared" si="60"/>
        <v>0</v>
      </c>
      <c r="CK39" s="39">
        <f t="shared" si="60"/>
        <v>0</v>
      </c>
      <c r="CL39" s="39">
        <f t="shared" si="60"/>
        <v>0</v>
      </c>
      <c r="CM39" s="39">
        <f t="shared" si="60"/>
        <v>0</v>
      </c>
      <c r="CN39" s="39">
        <f t="shared" si="60"/>
        <v>0</v>
      </c>
      <c r="CO39" s="39">
        <f t="shared" si="60"/>
        <v>0</v>
      </c>
      <c r="CP39" s="39">
        <f t="shared" si="60"/>
        <v>0</v>
      </c>
      <c r="CQ39" s="39">
        <f t="shared" si="60"/>
        <v>0</v>
      </c>
      <c r="CR39" s="39">
        <f t="shared" si="60"/>
        <v>0</v>
      </c>
      <c r="CS39" s="39">
        <f t="shared" si="60"/>
        <v>0</v>
      </c>
      <c r="CT39" s="39">
        <f t="shared" si="60"/>
        <v>0</v>
      </c>
      <c r="CU39" s="39">
        <f t="shared" si="60"/>
        <v>0</v>
      </c>
      <c r="CV39" s="39">
        <f t="shared" si="60"/>
        <v>0</v>
      </c>
      <c r="CW39" s="39">
        <f t="shared" si="60"/>
        <v>0</v>
      </c>
      <c r="CX39" s="39">
        <f t="shared" si="60"/>
        <v>0</v>
      </c>
      <c r="CY39" s="39">
        <f t="shared" si="60"/>
        <v>0</v>
      </c>
      <c r="CZ39" s="39">
        <f t="shared" si="60"/>
        <v>0</v>
      </c>
      <c r="DA39" s="39">
        <f t="shared" si="60"/>
        <v>0</v>
      </c>
      <c r="DB39" s="39">
        <f t="shared" si="60"/>
        <v>0</v>
      </c>
      <c r="DC39" s="39">
        <f t="shared" si="60"/>
        <v>0</v>
      </c>
      <c r="DD39" s="39">
        <f t="shared" si="60"/>
        <v>0</v>
      </c>
      <c r="DE39" s="39">
        <f t="shared" si="60"/>
        <v>0</v>
      </c>
      <c r="DF39" s="39">
        <f t="shared" si="60"/>
        <v>0</v>
      </c>
      <c r="DG39" s="39">
        <f t="shared" si="60"/>
        <v>0</v>
      </c>
      <c r="DH39" s="39">
        <f t="shared" si="60"/>
        <v>0</v>
      </c>
      <c r="DI39" s="39">
        <f t="shared" si="60"/>
        <v>0</v>
      </c>
      <c r="DJ39" s="39">
        <f t="shared" si="60"/>
        <v>0</v>
      </c>
      <c r="DK39" s="39">
        <f t="shared" si="60"/>
        <v>0</v>
      </c>
      <c r="DL39" s="39">
        <f t="shared" si="60"/>
        <v>0</v>
      </c>
      <c r="DM39" s="39">
        <f t="shared" si="60"/>
        <v>0</v>
      </c>
      <c r="DN39" s="39">
        <f t="shared" si="60"/>
        <v>0</v>
      </c>
      <c r="DO39" s="39">
        <f t="shared" si="60"/>
        <v>0</v>
      </c>
      <c r="DP39" s="39">
        <f t="shared" si="60"/>
        <v>0</v>
      </c>
      <c r="DQ39" s="39">
        <f t="shared" si="60"/>
        <v>0</v>
      </c>
      <c r="DR39" s="39">
        <f t="shared" si="60"/>
        <v>0</v>
      </c>
      <c r="DS39" s="39">
        <f t="shared" si="60"/>
        <v>0</v>
      </c>
      <c r="DT39" s="39">
        <f t="shared" si="60"/>
        <v>0</v>
      </c>
      <c r="DU39" s="39">
        <f t="shared" si="60"/>
        <v>0</v>
      </c>
      <c r="DV39" s="39">
        <f t="shared" si="60"/>
        <v>0</v>
      </c>
      <c r="DW39" s="39">
        <f t="shared" si="60"/>
        <v>0</v>
      </c>
      <c r="DX39" s="39">
        <f t="shared" si="60"/>
        <v>0</v>
      </c>
      <c r="DY39" s="39">
        <f t="shared" si="60"/>
        <v>0</v>
      </c>
      <c r="DZ39" s="39">
        <f t="shared" si="60"/>
        <v>0</v>
      </c>
      <c r="EA39" s="39">
        <f t="shared" si="60"/>
        <v>0</v>
      </c>
      <c r="EB39" s="39">
        <f t="shared" si="60"/>
        <v>0</v>
      </c>
      <c r="EC39" s="39">
        <f t="shared" ref="EC39:EE39" si="61">MAX(EC26-EC38,0)</f>
        <v>0</v>
      </c>
      <c r="ED39" s="39">
        <f t="shared" si="61"/>
        <v>0</v>
      </c>
      <c r="EE39" s="40">
        <f t="shared" si="61"/>
        <v>0</v>
      </c>
    </row>
    <row r="40" spans="1:135" x14ac:dyDescent="0.35"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  <c r="BM40" s="12"/>
      <c r="BN40" s="12"/>
      <c r="BO40" s="12"/>
      <c r="BP40" s="12"/>
      <c r="BQ40" s="12"/>
      <c r="BR40" s="12"/>
      <c r="BS40" s="12"/>
      <c r="BT40" s="12"/>
      <c r="BU40" s="12"/>
      <c r="BV40" s="12"/>
      <c r="BW40" s="12"/>
      <c r="BX40" s="12"/>
      <c r="BY40" s="12"/>
      <c r="BZ40" s="12"/>
      <c r="CA40" s="12"/>
      <c r="CB40" s="12"/>
      <c r="CC40" s="12"/>
      <c r="CD40" s="12"/>
      <c r="CE40" s="12"/>
      <c r="CF40" s="12"/>
      <c r="CG40" s="12"/>
      <c r="CH40" s="12"/>
      <c r="CI40" s="12"/>
      <c r="CJ40" s="12"/>
      <c r="CK40" s="12"/>
      <c r="CL40" s="12"/>
      <c r="CM40" s="12"/>
      <c r="CN40" s="12"/>
      <c r="CO40" s="12"/>
      <c r="CP40" s="12"/>
      <c r="CQ40" s="12"/>
      <c r="CR40" s="12"/>
      <c r="CS40" s="12"/>
      <c r="CT40" s="12"/>
      <c r="CU40" s="12"/>
      <c r="CV40" s="12"/>
      <c r="CW40" s="12"/>
      <c r="CX40" s="12"/>
      <c r="CY40" s="12"/>
      <c r="CZ40" s="12"/>
      <c r="DA40" s="12"/>
      <c r="DB40" s="12"/>
      <c r="DC40" s="12"/>
      <c r="DD40" s="12"/>
      <c r="DE40" s="12"/>
      <c r="DF40" s="12"/>
      <c r="DG40" s="12"/>
      <c r="DH40" s="12"/>
      <c r="DI40" s="12"/>
      <c r="DJ40" s="12"/>
      <c r="DK40" s="12"/>
      <c r="DL40" s="12"/>
      <c r="DM40" s="12"/>
      <c r="DN40" s="12"/>
      <c r="DO40" s="12"/>
      <c r="DP40" s="12"/>
      <c r="DQ40" s="12"/>
      <c r="DR40" s="12"/>
      <c r="DS40" s="12"/>
      <c r="DT40" s="12"/>
      <c r="DU40" s="12"/>
      <c r="DV40" s="12"/>
      <c r="DW40" s="12"/>
      <c r="DX40" s="12"/>
      <c r="DY40" s="12"/>
      <c r="DZ40" s="12"/>
      <c r="EA40" s="12"/>
      <c r="EB40" s="12"/>
      <c r="EC40" s="12"/>
      <c r="ED40" s="12"/>
      <c r="EE40" s="12"/>
    </row>
    <row r="41" spans="1:135" x14ac:dyDescent="0.35">
      <c r="B41" s="36" t="str">
        <f>B4</f>
        <v>Hurdle #2</v>
      </c>
      <c r="C41" s="10">
        <f>C28</f>
        <v>44377</v>
      </c>
      <c r="D41" s="10">
        <f t="shared" ref="D41:BO41" si="62">D28</f>
        <v>44408</v>
      </c>
      <c r="E41" s="10">
        <f t="shared" si="62"/>
        <v>44439</v>
      </c>
      <c r="F41" s="10">
        <f t="shared" si="62"/>
        <v>44469</v>
      </c>
      <c r="G41" s="10">
        <f t="shared" si="62"/>
        <v>44500</v>
      </c>
      <c r="H41" s="10">
        <f t="shared" si="62"/>
        <v>44530</v>
      </c>
      <c r="I41" s="10">
        <f t="shared" si="62"/>
        <v>44561</v>
      </c>
      <c r="J41" s="10">
        <f t="shared" si="62"/>
        <v>44592</v>
      </c>
      <c r="K41" s="10">
        <f t="shared" si="62"/>
        <v>44620</v>
      </c>
      <c r="L41" s="10">
        <f t="shared" si="62"/>
        <v>44651</v>
      </c>
      <c r="M41" s="10">
        <f t="shared" si="62"/>
        <v>44681</v>
      </c>
      <c r="N41" s="10">
        <f t="shared" si="62"/>
        <v>44712</v>
      </c>
      <c r="O41" s="10">
        <f t="shared" si="62"/>
        <v>44742</v>
      </c>
      <c r="P41" s="10">
        <f t="shared" si="62"/>
        <v>44773</v>
      </c>
      <c r="Q41" s="10">
        <f t="shared" si="62"/>
        <v>44804</v>
      </c>
      <c r="R41" s="10">
        <f t="shared" si="62"/>
        <v>44834</v>
      </c>
      <c r="S41" s="10">
        <f t="shared" si="62"/>
        <v>44865</v>
      </c>
      <c r="T41" s="10">
        <f t="shared" si="62"/>
        <v>44895</v>
      </c>
      <c r="U41" s="10">
        <f t="shared" si="62"/>
        <v>44926</v>
      </c>
      <c r="V41" s="10">
        <f t="shared" si="62"/>
        <v>44957</v>
      </c>
      <c r="W41" s="10">
        <f t="shared" si="62"/>
        <v>44985</v>
      </c>
      <c r="X41" s="10">
        <f t="shared" si="62"/>
        <v>45016</v>
      </c>
      <c r="Y41" s="10">
        <f t="shared" si="62"/>
        <v>45046</v>
      </c>
      <c r="Z41" s="10">
        <f t="shared" si="62"/>
        <v>45077</v>
      </c>
      <c r="AA41" s="10">
        <f t="shared" si="62"/>
        <v>45107</v>
      </c>
      <c r="AB41" s="10">
        <f t="shared" si="62"/>
        <v>45138</v>
      </c>
      <c r="AC41" s="10">
        <f t="shared" si="62"/>
        <v>45169</v>
      </c>
      <c r="AD41" s="10">
        <f t="shared" si="62"/>
        <v>45199</v>
      </c>
      <c r="AE41" s="10">
        <f t="shared" si="62"/>
        <v>45230</v>
      </c>
      <c r="AF41" s="10">
        <f t="shared" si="62"/>
        <v>45260</v>
      </c>
      <c r="AG41" s="10">
        <f t="shared" si="62"/>
        <v>45291</v>
      </c>
      <c r="AH41" s="10">
        <f t="shared" si="62"/>
        <v>45322</v>
      </c>
      <c r="AI41" s="10">
        <f t="shared" si="62"/>
        <v>45351</v>
      </c>
      <c r="AJ41" s="10">
        <f t="shared" si="62"/>
        <v>45382</v>
      </c>
      <c r="AK41" s="10">
        <f t="shared" si="62"/>
        <v>45412</v>
      </c>
      <c r="AL41" s="10">
        <f t="shared" si="62"/>
        <v>45443</v>
      </c>
      <c r="AM41" s="10">
        <f t="shared" si="62"/>
        <v>45473</v>
      </c>
      <c r="AN41" s="10">
        <f t="shared" si="62"/>
        <v>45504</v>
      </c>
      <c r="AO41" s="10">
        <f t="shared" si="62"/>
        <v>45535</v>
      </c>
      <c r="AP41" s="10">
        <f t="shared" si="62"/>
        <v>45565</v>
      </c>
      <c r="AQ41" s="10">
        <f t="shared" si="62"/>
        <v>45596</v>
      </c>
      <c r="AR41" s="10">
        <f t="shared" si="62"/>
        <v>45626</v>
      </c>
      <c r="AS41" s="10">
        <f t="shared" si="62"/>
        <v>45657</v>
      </c>
      <c r="AT41" s="10">
        <f t="shared" si="62"/>
        <v>45688</v>
      </c>
      <c r="AU41" s="10">
        <f t="shared" si="62"/>
        <v>45716</v>
      </c>
      <c r="AV41" s="10">
        <f t="shared" si="62"/>
        <v>45747</v>
      </c>
      <c r="AW41" s="10">
        <f t="shared" si="62"/>
        <v>45777</v>
      </c>
      <c r="AX41" s="10">
        <f t="shared" si="62"/>
        <v>45808</v>
      </c>
      <c r="AY41" s="10">
        <f t="shared" si="62"/>
        <v>45838</v>
      </c>
      <c r="AZ41" s="10">
        <f t="shared" si="62"/>
        <v>45869</v>
      </c>
      <c r="BA41" s="10">
        <f t="shared" si="62"/>
        <v>45900</v>
      </c>
      <c r="BB41" s="10">
        <f t="shared" si="62"/>
        <v>45930</v>
      </c>
      <c r="BC41" s="10">
        <f t="shared" si="62"/>
        <v>45961</v>
      </c>
      <c r="BD41" s="10">
        <f t="shared" si="62"/>
        <v>45991</v>
      </c>
      <c r="BE41" s="10">
        <f t="shared" si="62"/>
        <v>46022</v>
      </c>
      <c r="BF41" s="10">
        <f t="shared" si="62"/>
        <v>46053</v>
      </c>
      <c r="BG41" s="10">
        <f t="shared" si="62"/>
        <v>46081</v>
      </c>
      <c r="BH41" s="10">
        <f t="shared" si="62"/>
        <v>46112</v>
      </c>
      <c r="BI41" s="10">
        <f t="shared" si="62"/>
        <v>46142</v>
      </c>
      <c r="BJ41" s="10">
        <f t="shared" si="62"/>
        <v>46173</v>
      </c>
      <c r="BK41" s="10">
        <f t="shared" si="62"/>
        <v>46203</v>
      </c>
      <c r="BL41" s="10">
        <f t="shared" si="62"/>
        <v>46234</v>
      </c>
      <c r="BM41" s="10">
        <f t="shared" si="62"/>
        <v>46265</v>
      </c>
      <c r="BN41" s="10">
        <f t="shared" si="62"/>
        <v>46295</v>
      </c>
      <c r="BO41" s="10">
        <f t="shared" si="62"/>
        <v>46326</v>
      </c>
      <c r="BP41" s="10">
        <f t="shared" ref="BP41:EA41" si="63">BP28</f>
        <v>46356</v>
      </c>
      <c r="BQ41" s="10">
        <f t="shared" si="63"/>
        <v>46387</v>
      </c>
      <c r="BR41" s="10">
        <f t="shared" si="63"/>
        <v>46418</v>
      </c>
      <c r="BS41" s="10">
        <f t="shared" si="63"/>
        <v>46446</v>
      </c>
      <c r="BT41" s="10">
        <f t="shared" si="63"/>
        <v>46477</v>
      </c>
      <c r="BU41" s="10">
        <f t="shared" si="63"/>
        <v>46507</v>
      </c>
      <c r="BV41" s="10">
        <f t="shared" si="63"/>
        <v>46538</v>
      </c>
      <c r="BW41" s="10">
        <f t="shared" si="63"/>
        <v>46568</v>
      </c>
      <c r="BX41" s="10">
        <f t="shared" si="63"/>
        <v>46599</v>
      </c>
      <c r="BY41" s="10">
        <f t="shared" si="63"/>
        <v>46630</v>
      </c>
      <c r="BZ41" s="10">
        <f t="shared" si="63"/>
        <v>46660</v>
      </c>
      <c r="CA41" s="10">
        <f t="shared" si="63"/>
        <v>46691</v>
      </c>
      <c r="CB41" s="10">
        <f t="shared" si="63"/>
        <v>46721</v>
      </c>
      <c r="CC41" s="10">
        <f t="shared" si="63"/>
        <v>46752</v>
      </c>
      <c r="CD41" s="10">
        <f t="shared" si="63"/>
        <v>46783</v>
      </c>
      <c r="CE41" s="10">
        <f t="shared" si="63"/>
        <v>46812</v>
      </c>
      <c r="CF41" s="10">
        <f t="shared" si="63"/>
        <v>46843</v>
      </c>
      <c r="CG41" s="10">
        <f t="shared" si="63"/>
        <v>46873</v>
      </c>
      <c r="CH41" s="10">
        <f t="shared" si="63"/>
        <v>46904</v>
      </c>
      <c r="CI41" s="10">
        <f t="shared" si="63"/>
        <v>46934</v>
      </c>
      <c r="CJ41" s="10">
        <f t="shared" si="63"/>
        <v>46965</v>
      </c>
      <c r="CK41" s="10">
        <f t="shared" si="63"/>
        <v>46996</v>
      </c>
      <c r="CL41" s="10">
        <f t="shared" si="63"/>
        <v>47026</v>
      </c>
      <c r="CM41" s="10">
        <f t="shared" si="63"/>
        <v>47057</v>
      </c>
      <c r="CN41" s="10">
        <f t="shared" si="63"/>
        <v>47087</v>
      </c>
      <c r="CO41" s="10">
        <f t="shared" si="63"/>
        <v>47118</v>
      </c>
      <c r="CP41" s="10">
        <f t="shared" si="63"/>
        <v>47149</v>
      </c>
      <c r="CQ41" s="10">
        <f t="shared" si="63"/>
        <v>47177</v>
      </c>
      <c r="CR41" s="10">
        <f t="shared" si="63"/>
        <v>47208</v>
      </c>
      <c r="CS41" s="10">
        <f t="shared" si="63"/>
        <v>47238</v>
      </c>
      <c r="CT41" s="10">
        <f t="shared" si="63"/>
        <v>47269</v>
      </c>
      <c r="CU41" s="10">
        <f t="shared" si="63"/>
        <v>47299</v>
      </c>
      <c r="CV41" s="10">
        <f t="shared" si="63"/>
        <v>47330</v>
      </c>
      <c r="CW41" s="10">
        <f t="shared" si="63"/>
        <v>47361</v>
      </c>
      <c r="CX41" s="10">
        <f t="shared" si="63"/>
        <v>47391</v>
      </c>
      <c r="CY41" s="10">
        <f t="shared" si="63"/>
        <v>47422</v>
      </c>
      <c r="CZ41" s="10">
        <f t="shared" si="63"/>
        <v>47452</v>
      </c>
      <c r="DA41" s="10">
        <f t="shared" si="63"/>
        <v>47483</v>
      </c>
      <c r="DB41" s="10">
        <f t="shared" si="63"/>
        <v>47514</v>
      </c>
      <c r="DC41" s="10">
        <f t="shared" si="63"/>
        <v>47542</v>
      </c>
      <c r="DD41" s="10">
        <f t="shared" si="63"/>
        <v>47573</v>
      </c>
      <c r="DE41" s="10">
        <f t="shared" si="63"/>
        <v>47603</v>
      </c>
      <c r="DF41" s="10">
        <f t="shared" si="63"/>
        <v>47634</v>
      </c>
      <c r="DG41" s="10">
        <f t="shared" si="63"/>
        <v>47664</v>
      </c>
      <c r="DH41" s="10">
        <f t="shared" si="63"/>
        <v>47695</v>
      </c>
      <c r="DI41" s="10">
        <f t="shared" si="63"/>
        <v>47726</v>
      </c>
      <c r="DJ41" s="10">
        <f t="shared" si="63"/>
        <v>47756</v>
      </c>
      <c r="DK41" s="10">
        <f t="shared" si="63"/>
        <v>47787</v>
      </c>
      <c r="DL41" s="10">
        <f t="shared" si="63"/>
        <v>47817</v>
      </c>
      <c r="DM41" s="10">
        <f t="shared" si="63"/>
        <v>47848</v>
      </c>
      <c r="DN41" s="10">
        <f t="shared" si="63"/>
        <v>47879</v>
      </c>
      <c r="DO41" s="10">
        <f t="shared" si="63"/>
        <v>47907</v>
      </c>
      <c r="DP41" s="10">
        <f t="shared" si="63"/>
        <v>47938</v>
      </c>
      <c r="DQ41" s="10">
        <f t="shared" si="63"/>
        <v>47968</v>
      </c>
      <c r="DR41" s="10">
        <f t="shared" si="63"/>
        <v>47999</v>
      </c>
      <c r="DS41" s="10">
        <f t="shared" si="63"/>
        <v>48029</v>
      </c>
      <c r="DT41" s="10">
        <f t="shared" si="63"/>
        <v>48060</v>
      </c>
      <c r="DU41" s="10">
        <f t="shared" si="63"/>
        <v>48091</v>
      </c>
      <c r="DV41" s="10">
        <f t="shared" si="63"/>
        <v>48121</v>
      </c>
      <c r="DW41" s="10">
        <f t="shared" si="63"/>
        <v>48152</v>
      </c>
      <c r="DX41" s="10">
        <f t="shared" si="63"/>
        <v>48182</v>
      </c>
      <c r="DY41" s="10">
        <f t="shared" si="63"/>
        <v>48213</v>
      </c>
      <c r="DZ41" s="10">
        <f t="shared" si="63"/>
        <v>48244</v>
      </c>
      <c r="EA41" s="10">
        <f t="shared" si="63"/>
        <v>48273</v>
      </c>
      <c r="EB41" s="10">
        <f t="shared" ref="EB41:EE41" si="64">EB28</f>
        <v>48304</v>
      </c>
      <c r="EC41" s="10">
        <f t="shared" si="64"/>
        <v>48334</v>
      </c>
      <c r="ED41" s="10">
        <f t="shared" si="64"/>
        <v>48365</v>
      </c>
      <c r="EE41" s="10">
        <f t="shared" si="64"/>
        <v>48395</v>
      </c>
    </row>
    <row r="42" spans="1:135" x14ac:dyDescent="0.35">
      <c r="B42" s="33" t="s">
        <v>46</v>
      </c>
      <c r="C42" s="28">
        <v>0</v>
      </c>
      <c r="D42" s="13">
        <f>IF(D12&gt;$L$8,0,C47)</f>
        <v>3498375</v>
      </c>
      <c r="E42" s="13">
        <f t="shared" ref="E42:BP42" si="65">IF(E12&gt;$L$8,0,D47)</f>
        <v>3517565.0850038235</v>
      </c>
      <c r="F42" s="13">
        <f t="shared" si="65"/>
        <v>3536784.1011454691</v>
      </c>
      <c r="G42" s="13">
        <f t="shared" si="65"/>
        <v>3555011.6411181181</v>
      </c>
      <c r="H42" s="13">
        <f t="shared" si="65"/>
        <v>3574278.4708136707</v>
      </c>
      <c r="I42" s="13">
        <f t="shared" si="65"/>
        <v>3592542.2723748824</v>
      </c>
      <c r="J42" s="13">
        <f t="shared" si="65"/>
        <v>3611855.3325178856</v>
      </c>
      <c r="K42" s="13">
        <f t="shared" si="65"/>
        <v>3631195.5040732455</v>
      </c>
      <c r="L42" s="13">
        <f t="shared" si="65"/>
        <v>3647421.3853881946</v>
      </c>
      <c r="M42" s="13">
        <f t="shared" si="65"/>
        <v>3666786.7638784954</v>
      </c>
      <c r="N42" s="13">
        <f t="shared" si="65"/>
        <v>3685120.3598407046</v>
      </c>
      <c r="O42" s="13">
        <f t="shared" si="65"/>
        <v>3704527.5548471278</v>
      </c>
      <c r="P42" s="13">
        <f t="shared" si="65"/>
        <v>3722891.2573078191</v>
      </c>
      <c r="Q42" s="13">
        <f t="shared" si="65"/>
        <v>3742338.5102220559</v>
      </c>
      <c r="R42" s="13">
        <f t="shared" si="65"/>
        <v>3761809.8880358739</v>
      </c>
      <c r="S42" s="13">
        <f t="shared" si="65"/>
        <v>3780220.0093343174</v>
      </c>
      <c r="T42" s="13">
        <f t="shared" si="65"/>
        <v>3799728.794558302</v>
      </c>
      <c r="U42" s="13">
        <f t="shared" si="65"/>
        <v>3818164.4980395478</v>
      </c>
      <c r="V42" s="13">
        <f t="shared" si="65"/>
        <v>3837708.8032650137</v>
      </c>
      <c r="W42" s="13">
        <f t="shared" si="65"/>
        <v>3857275.0371498112</v>
      </c>
      <c r="X42" s="13">
        <f t="shared" si="65"/>
        <v>3873526.1593140615</v>
      </c>
      <c r="Y42" s="13">
        <f t="shared" si="65"/>
        <v>3893105.2658332544</v>
      </c>
      <c r="Z42" s="13">
        <f t="shared" si="65"/>
        <v>3911581.8869928401</v>
      </c>
      <c r="AA42" s="13">
        <f t="shared" si="65"/>
        <v>3931191.2955585802</v>
      </c>
      <c r="AB42" s="13">
        <f t="shared" si="65"/>
        <v>3949686.246809707</v>
      </c>
      <c r="AC42" s="13">
        <f t="shared" si="65"/>
        <v>3969323.8715120973</v>
      </c>
      <c r="AD42" s="13">
        <f t="shared" si="65"/>
        <v>3988979.8654116867</v>
      </c>
      <c r="AE42" s="13">
        <f t="shared" si="65"/>
        <v>4007503.2446550727</v>
      </c>
      <c r="AF42" s="13">
        <f t="shared" si="65"/>
        <v>4027184.3055978208</v>
      </c>
      <c r="AG42" s="13">
        <f t="shared" si="65"/>
        <v>4045720.6733578802</v>
      </c>
      <c r="AH42" s="13">
        <f t="shared" si="65"/>
        <v>4065424.5695413644</v>
      </c>
      <c r="AI42" s="13">
        <f t="shared" si="65"/>
        <v>4085144.2116305609</v>
      </c>
      <c r="AJ42" s="13">
        <f t="shared" si="65"/>
        <v>4102522.9343664795</v>
      </c>
      <c r="AK42" s="13">
        <f t="shared" si="65"/>
        <v>4122251.5535233226</v>
      </c>
      <c r="AL42" s="13">
        <f t="shared" si="65"/>
        <v>4140805.2306750123</v>
      </c>
      <c r="AM42" s="13">
        <f t="shared" si="65"/>
        <v>4160550.7438653801</v>
      </c>
      <c r="AN42" s="13">
        <f t="shared" si="65"/>
        <v>4179109.0994019792</v>
      </c>
      <c r="AO42" s="13">
        <f t="shared" si="65"/>
        <v>4198869.0538636204</v>
      </c>
      <c r="AP42" s="13">
        <f t="shared" si="65"/>
        <v>4218640.6435244046</v>
      </c>
      <c r="AQ42" s="13">
        <f t="shared" si="65"/>
        <v>4237206.5534631591</v>
      </c>
      <c r="AR42" s="13">
        <f t="shared" si="65"/>
        <v>4256988.8760336516</v>
      </c>
      <c r="AS42" s="13">
        <f t="shared" si="65"/>
        <v>4275553.2071336163</v>
      </c>
      <c r="AT42" s="13">
        <f t="shared" si="65"/>
        <v>4295343.6449755039</v>
      </c>
      <c r="AU42" s="13">
        <f t="shared" si="65"/>
        <v>4315142.6154441237</v>
      </c>
      <c r="AV42" s="13">
        <f t="shared" si="65"/>
        <v>4331216.8312546369</v>
      </c>
      <c r="AW42" s="13">
        <f t="shared" si="65"/>
        <v>4350997.8060043873</v>
      </c>
      <c r="AX42" s="13">
        <f t="shared" si="65"/>
        <v>4369530.2476637932</v>
      </c>
      <c r="AY42" s="13">
        <f t="shared" si="65"/>
        <v>4389312.1971291164</v>
      </c>
      <c r="AZ42" s="13">
        <f t="shared" si="65"/>
        <v>4407833.1857578978</v>
      </c>
      <c r="BA42" s="13">
        <f t="shared" si="65"/>
        <v>4427613.2395927543</v>
      </c>
      <c r="BB42" s="13">
        <f t="shared" si="65"/>
        <v>4447396.8933328185</v>
      </c>
      <c r="BC42" s="13">
        <f t="shared" si="65"/>
        <v>4465900.7486962499</v>
      </c>
      <c r="BD42" s="13">
        <f t="shared" si="65"/>
        <v>4485678.1612830674</v>
      </c>
      <c r="BE42" s="13">
        <f t="shared" si="65"/>
        <v>4504163.2646000627</v>
      </c>
      <c r="BF42" s="13">
        <f t="shared" si="65"/>
        <v>4523931.3794305073</v>
      </c>
      <c r="BG42" s="13">
        <f t="shared" si="65"/>
        <v>4543699.4452155503</v>
      </c>
      <c r="BH42" s="13">
        <f t="shared" si="65"/>
        <v>4559536.35812419</v>
      </c>
      <c r="BI42" s="13">
        <f t="shared" si="65"/>
        <v>4579267.1719125509</v>
      </c>
      <c r="BJ42" s="13">
        <f t="shared" si="65"/>
        <v>4597674.6822942495</v>
      </c>
      <c r="BK42" s="13">
        <f t="shared" si="65"/>
        <v>4617387.9057839103</v>
      </c>
      <c r="BL42" s="13">
        <f t="shared" si="65"/>
        <v>0</v>
      </c>
      <c r="BM42" s="13">
        <f t="shared" si="65"/>
        <v>0</v>
      </c>
      <c r="BN42" s="13">
        <f t="shared" si="65"/>
        <v>0</v>
      </c>
      <c r="BO42" s="13">
        <f t="shared" si="65"/>
        <v>0</v>
      </c>
      <c r="BP42" s="13">
        <f t="shared" si="65"/>
        <v>0</v>
      </c>
      <c r="BQ42" s="13">
        <f t="shared" ref="BQ42:EB42" si="66">IF(BQ12&gt;$L$8,0,BP47)</f>
        <v>0</v>
      </c>
      <c r="BR42" s="13">
        <f t="shared" si="66"/>
        <v>0</v>
      </c>
      <c r="BS42" s="13">
        <f t="shared" si="66"/>
        <v>0</v>
      </c>
      <c r="BT42" s="13">
        <f t="shared" si="66"/>
        <v>0</v>
      </c>
      <c r="BU42" s="13">
        <f t="shared" si="66"/>
        <v>0</v>
      </c>
      <c r="BV42" s="13">
        <f t="shared" si="66"/>
        <v>0</v>
      </c>
      <c r="BW42" s="13">
        <f t="shared" si="66"/>
        <v>0</v>
      </c>
      <c r="BX42" s="13">
        <f t="shared" si="66"/>
        <v>0</v>
      </c>
      <c r="BY42" s="13">
        <f t="shared" si="66"/>
        <v>0</v>
      </c>
      <c r="BZ42" s="13">
        <f t="shared" si="66"/>
        <v>0</v>
      </c>
      <c r="CA42" s="13">
        <f t="shared" si="66"/>
        <v>0</v>
      </c>
      <c r="CB42" s="13">
        <f t="shared" si="66"/>
        <v>0</v>
      </c>
      <c r="CC42" s="13">
        <f t="shared" si="66"/>
        <v>0</v>
      </c>
      <c r="CD42" s="13">
        <f t="shared" si="66"/>
        <v>0</v>
      </c>
      <c r="CE42" s="13">
        <f t="shared" si="66"/>
        <v>0</v>
      </c>
      <c r="CF42" s="13">
        <f t="shared" si="66"/>
        <v>0</v>
      </c>
      <c r="CG42" s="13">
        <f t="shared" si="66"/>
        <v>0</v>
      </c>
      <c r="CH42" s="13">
        <f t="shared" si="66"/>
        <v>0</v>
      </c>
      <c r="CI42" s="13">
        <f t="shared" si="66"/>
        <v>0</v>
      </c>
      <c r="CJ42" s="13">
        <f t="shared" si="66"/>
        <v>0</v>
      </c>
      <c r="CK42" s="13">
        <f t="shared" si="66"/>
        <v>0</v>
      </c>
      <c r="CL42" s="13">
        <f t="shared" si="66"/>
        <v>0</v>
      </c>
      <c r="CM42" s="13">
        <f t="shared" si="66"/>
        <v>0</v>
      </c>
      <c r="CN42" s="13">
        <f t="shared" si="66"/>
        <v>0</v>
      </c>
      <c r="CO42" s="13">
        <f t="shared" si="66"/>
        <v>0</v>
      </c>
      <c r="CP42" s="13">
        <f t="shared" si="66"/>
        <v>0</v>
      </c>
      <c r="CQ42" s="13">
        <f t="shared" si="66"/>
        <v>0</v>
      </c>
      <c r="CR42" s="13">
        <f t="shared" si="66"/>
        <v>0</v>
      </c>
      <c r="CS42" s="13">
        <f t="shared" si="66"/>
        <v>0</v>
      </c>
      <c r="CT42" s="13">
        <f t="shared" si="66"/>
        <v>0</v>
      </c>
      <c r="CU42" s="13">
        <f t="shared" si="66"/>
        <v>0</v>
      </c>
      <c r="CV42" s="13">
        <f t="shared" si="66"/>
        <v>0</v>
      </c>
      <c r="CW42" s="13">
        <f t="shared" si="66"/>
        <v>0</v>
      </c>
      <c r="CX42" s="13">
        <f t="shared" si="66"/>
        <v>0</v>
      </c>
      <c r="CY42" s="13">
        <f t="shared" si="66"/>
        <v>0</v>
      </c>
      <c r="CZ42" s="13">
        <f t="shared" si="66"/>
        <v>0</v>
      </c>
      <c r="DA42" s="13">
        <f t="shared" si="66"/>
        <v>0</v>
      </c>
      <c r="DB42" s="13">
        <f t="shared" si="66"/>
        <v>0</v>
      </c>
      <c r="DC42" s="13">
        <f t="shared" si="66"/>
        <v>0</v>
      </c>
      <c r="DD42" s="13">
        <f t="shared" si="66"/>
        <v>0</v>
      </c>
      <c r="DE42" s="13">
        <f t="shared" si="66"/>
        <v>0</v>
      </c>
      <c r="DF42" s="13">
        <f t="shared" si="66"/>
        <v>0</v>
      </c>
      <c r="DG42" s="13">
        <f t="shared" si="66"/>
        <v>0</v>
      </c>
      <c r="DH42" s="13">
        <f t="shared" si="66"/>
        <v>0</v>
      </c>
      <c r="DI42" s="13">
        <f t="shared" si="66"/>
        <v>0</v>
      </c>
      <c r="DJ42" s="13">
        <f t="shared" si="66"/>
        <v>0</v>
      </c>
      <c r="DK42" s="13">
        <f t="shared" si="66"/>
        <v>0</v>
      </c>
      <c r="DL42" s="13">
        <f t="shared" si="66"/>
        <v>0</v>
      </c>
      <c r="DM42" s="13">
        <f t="shared" si="66"/>
        <v>0</v>
      </c>
      <c r="DN42" s="13">
        <f t="shared" si="66"/>
        <v>0</v>
      </c>
      <c r="DO42" s="13">
        <f t="shared" si="66"/>
        <v>0</v>
      </c>
      <c r="DP42" s="13">
        <f t="shared" si="66"/>
        <v>0</v>
      </c>
      <c r="DQ42" s="13">
        <f t="shared" si="66"/>
        <v>0</v>
      </c>
      <c r="DR42" s="13">
        <f t="shared" si="66"/>
        <v>0</v>
      </c>
      <c r="DS42" s="13">
        <f t="shared" si="66"/>
        <v>0</v>
      </c>
      <c r="DT42" s="13">
        <f t="shared" si="66"/>
        <v>0</v>
      </c>
      <c r="DU42" s="13">
        <f t="shared" si="66"/>
        <v>0</v>
      </c>
      <c r="DV42" s="13">
        <f t="shared" si="66"/>
        <v>0</v>
      </c>
      <c r="DW42" s="13">
        <f t="shared" si="66"/>
        <v>0</v>
      </c>
      <c r="DX42" s="13">
        <f t="shared" si="66"/>
        <v>0</v>
      </c>
      <c r="DY42" s="13">
        <f t="shared" si="66"/>
        <v>0</v>
      </c>
      <c r="DZ42" s="13">
        <f t="shared" si="66"/>
        <v>0</v>
      </c>
      <c r="EA42" s="13">
        <f t="shared" si="66"/>
        <v>0</v>
      </c>
      <c r="EB42" s="13">
        <f t="shared" si="66"/>
        <v>0</v>
      </c>
      <c r="EC42" s="13">
        <f t="shared" ref="EC42:EE42" si="67">IF(EC12&gt;$L$8,0,EB47)</f>
        <v>0</v>
      </c>
      <c r="ED42" s="13">
        <f t="shared" si="67"/>
        <v>0</v>
      </c>
      <c r="EE42" s="13">
        <f t="shared" si="67"/>
        <v>0</v>
      </c>
    </row>
    <row r="43" spans="1:135" x14ac:dyDescent="0.35">
      <c r="B43" s="34" t="s">
        <v>59</v>
      </c>
      <c r="C43" s="28">
        <v>0</v>
      </c>
      <c r="D43" s="13">
        <f>D42*(1+$C$4)^((D41-C41)/365)-D42</f>
        <v>31145.508113493677</v>
      </c>
      <c r="E43" s="13">
        <f t="shared" ref="E43:BP43" si="68">E42*(1+$C$4)^((E41-D41)/365)-E42</f>
        <v>31316.354563112836</v>
      </c>
      <c r="F43" s="13">
        <f t="shared" si="68"/>
        <v>30467.371886460576</v>
      </c>
      <c r="G43" s="13">
        <f t="shared" si="68"/>
        <v>31649.735637834296</v>
      </c>
      <c r="H43" s="13">
        <f t="shared" si="68"/>
        <v>30790.364433265757</v>
      </c>
      <c r="I43" s="13">
        <f t="shared" si="68"/>
        <v>31983.865220944397</v>
      </c>
      <c r="J43" s="13">
        <f t="shared" si="68"/>
        <v>32155.806499789469</v>
      </c>
      <c r="K43" s="13">
        <f t="shared" si="68"/>
        <v>29186.936180670746</v>
      </c>
      <c r="L43" s="13">
        <f t="shared" si="68"/>
        <v>32472.445736074354</v>
      </c>
      <c r="M43" s="13">
        <f t="shared" si="68"/>
        <v>31587.270460545085</v>
      </c>
      <c r="N43" s="13">
        <f t="shared" si="68"/>
        <v>32808.074053416029</v>
      </c>
      <c r="O43" s="13">
        <f t="shared" si="68"/>
        <v>31912.385785893537</v>
      </c>
      <c r="P43" s="13">
        <f t="shared" si="68"/>
        <v>33144.34269057354</v>
      </c>
      <c r="Q43" s="13">
        <f t="shared" si="68"/>
        <v>33317.478667541873</v>
      </c>
      <c r="R43" s="13">
        <f t="shared" si="68"/>
        <v>32405.840319128707</v>
      </c>
      <c r="S43" s="13">
        <f t="shared" si="68"/>
        <v>33654.731974563561</v>
      </c>
      <c r="T43" s="13">
        <f t="shared" si="68"/>
        <v>32732.490008085966</v>
      </c>
      <c r="U43" s="13">
        <f t="shared" si="68"/>
        <v>33992.546068487223</v>
      </c>
      <c r="V43" s="13">
        <f t="shared" si="68"/>
        <v>34166.54608763149</v>
      </c>
      <c r="W43" s="13">
        <f t="shared" si="68"/>
        <v>31004.125284441281</v>
      </c>
      <c r="X43" s="13">
        <f t="shared" si="68"/>
        <v>34485.422638438176</v>
      </c>
      <c r="Y43" s="13">
        <f t="shared" si="68"/>
        <v>33536.874894021545</v>
      </c>
      <c r="Z43" s="13">
        <f t="shared" si="68"/>
        <v>34824.227076265495</v>
      </c>
      <c r="AA43" s="13">
        <f t="shared" si="68"/>
        <v>33864.96425377205</v>
      </c>
      <c r="AB43" s="13">
        <f t="shared" si="68"/>
        <v>35163.464478726964</v>
      </c>
      <c r="AC43" s="13">
        <f t="shared" si="68"/>
        <v>35338.295307182707</v>
      </c>
      <c r="AD43" s="13">
        <f t="shared" si="68"/>
        <v>34362.779726288747</v>
      </c>
      <c r="AE43" s="13">
        <f t="shared" si="68"/>
        <v>35678.200542039238</v>
      </c>
      <c r="AF43" s="13">
        <f t="shared" si="68"/>
        <v>34691.889124424662</v>
      </c>
      <c r="AG43" s="13">
        <f t="shared" si="68"/>
        <v>36018.444579839706</v>
      </c>
      <c r="AH43" s="13">
        <f t="shared" si="68"/>
        <v>36193.865413355641</v>
      </c>
      <c r="AI43" s="13">
        <f t="shared" si="68"/>
        <v>34013.271523301955</v>
      </c>
      <c r="AJ43" s="13">
        <f t="shared" si="68"/>
        <v>36524.146593234036</v>
      </c>
      <c r="AK43" s="13">
        <f t="shared" si="68"/>
        <v>35510.839084030595</v>
      </c>
      <c r="AL43" s="13">
        <f t="shared" si="68"/>
        <v>36864.968137602787</v>
      </c>
      <c r="AM43" s="13">
        <f t="shared" si="68"/>
        <v>35840.764700559899</v>
      </c>
      <c r="AN43" s="13">
        <f t="shared" si="68"/>
        <v>37205.981737978291</v>
      </c>
      <c r="AO43" s="13">
        <f t="shared" si="68"/>
        <v>37381.901649939828</v>
      </c>
      <c r="AP43" s="13">
        <f t="shared" si="68"/>
        <v>36341.175956984982</v>
      </c>
      <c r="AQ43" s="13">
        <f t="shared" si="68"/>
        <v>37723.214660931379</v>
      </c>
      <c r="AR43" s="13">
        <f t="shared" si="68"/>
        <v>36671.524043731391</v>
      </c>
      <c r="AS43" s="13">
        <f t="shared" si="68"/>
        <v>38064.609169243835</v>
      </c>
      <c r="AT43" s="13">
        <f t="shared" si="68"/>
        <v>38240.800470169634</v>
      </c>
      <c r="AU43" s="13">
        <f t="shared" si="68"/>
        <v>34684.387548448518</v>
      </c>
      <c r="AV43" s="13">
        <f t="shared" si="68"/>
        <v>38560.174069143832</v>
      </c>
      <c r="AW43" s="13">
        <f t="shared" si="68"/>
        <v>37481.357199546881</v>
      </c>
      <c r="AX43" s="13">
        <f t="shared" si="68"/>
        <v>38901.272671102546</v>
      </c>
      <c r="AY43" s="13">
        <f t="shared" si="68"/>
        <v>37811.413762123324</v>
      </c>
      <c r="AZ43" s="13">
        <f t="shared" si="68"/>
        <v>39242.277986193076</v>
      </c>
      <c r="BA43" s="13">
        <f t="shared" si="68"/>
        <v>39418.376839861274</v>
      </c>
      <c r="BB43" s="13">
        <f t="shared" si="68"/>
        <v>38311.780193757266</v>
      </c>
      <c r="BC43" s="13">
        <f t="shared" si="68"/>
        <v>39759.244792961515</v>
      </c>
      <c r="BD43" s="13">
        <f t="shared" si="68"/>
        <v>38641.55141913332</v>
      </c>
      <c r="BE43" s="13">
        <f t="shared" si="68"/>
        <v>40099.89023535233</v>
      </c>
      <c r="BF43" s="13">
        <f t="shared" si="68"/>
        <v>40275.882797854021</v>
      </c>
      <c r="BG43" s="13">
        <f t="shared" si="68"/>
        <v>36521.488744655624</v>
      </c>
      <c r="BH43" s="13">
        <f t="shared" si="68"/>
        <v>40592.868584907614</v>
      </c>
      <c r="BI43" s="13">
        <f t="shared" si="68"/>
        <v>39447.767210029997</v>
      </c>
      <c r="BJ43" s="13">
        <f t="shared" si="68"/>
        <v>40932.408366912976</v>
      </c>
      <c r="BK43" s="13">
        <f t="shared" si="68"/>
        <v>39776.155526146293</v>
      </c>
      <c r="BL43" s="13">
        <f t="shared" si="68"/>
        <v>0</v>
      </c>
      <c r="BM43" s="13">
        <f t="shared" si="68"/>
        <v>0</v>
      </c>
      <c r="BN43" s="13">
        <f t="shared" si="68"/>
        <v>0</v>
      </c>
      <c r="BO43" s="13">
        <f t="shared" si="68"/>
        <v>0</v>
      </c>
      <c r="BP43" s="13">
        <f t="shared" si="68"/>
        <v>0</v>
      </c>
      <c r="BQ43" s="13">
        <f t="shared" ref="BQ43:EB43" si="69">BQ42*(1+$C$4)^((BQ41-BP41)/365)-BQ42</f>
        <v>0</v>
      </c>
      <c r="BR43" s="13">
        <f t="shared" si="69"/>
        <v>0</v>
      </c>
      <c r="BS43" s="13">
        <f t="shared" si="69"/>
        <v>0</v>
      </c>
      <c r="BT43" s="13">
        <f t="shared" si="69"/>
        <v>0</v>
      </c>
      <c r="BU43" s="13">
        <f t="shared" si="69"/>
        <v>0</v>
      </c>
      <c r="BV43" s="13">
        <f t="shared" si="69"/>
        <v>0</v>
      </c>
      <c r="BW43" s="13">
        <f t="shared" si="69"/>
        <v>0</v>
      </c>
      <c r="BX43" s="13">
        <f t="shared" si="69"/>
        <v>0</v>
      </c>
      <c r="BY43" s="13">
        <f t="shared" si="69"/>
        <v>0</v>
      </c>
      <c r="BZ43" s="13">
        <f t="shared" si="69"/>
        <v>0</v>
      </c>
      <c r="CA43" s="13">
        <f t="shared" si="69"/>
        <v>0</v>
      </c>
      <c r="CB43" s="13">
        <f t="shared" si="69"/>
        <v>0</v>
      </c>
      <c r="CC43" s="13">
        <f t="shared" si="69"/>
        <v>0</v>
      </c>
      <c r="CD43" s="13">
        <f t="shared" si="69"/>
        <v>0</v>
      </c>
      <c r="CE43" s="13">
        <f t="shared" si="69"/>
        <v>0</v>
      </c>
      <c r="CF43" s="13">
        <f t="shared" si="69"/>
        <v>0</v>
      </c>
      <c r="CG43" s="13">
        <f t="shared" si="69"/>
        <v>0</v>
      </c>
      <c r="CH43" s="13">
        <f t="shared" si="69"/>
        <v>0</v>
      </c>
      <c r="CI43" s="13">
        <f t="shared" si="69"/>
        <v>0</v>
      </c>
      <c r="CJ43" s="13">
        <f t="shared" si="69"/>
        <v>0</v>
      </c>
      <c r="CK43" s="13">
        <f t="shared" si="69"/>
        <v>0</v>
      </c>
      <c r="CL43" s="13">
        <f t="shared" si="69"/>
        <v>0</v>
      </c>
      <c r="CM43" s="13">
        <f t="shared" si="69"/>
        <v>0</v>
      </c>
      <c r="CN43" s="13">
        <f t="shared" si="69"/>
        <v>0</v>
      </c>
      <c r="CO43" s="13">
        <f t="shared" si="69"/>
        <v>0</v>
      </c>
      <c r="CP43" s="13">
        <f t="shared" si="69"/>
        <v>0</v>
      </c>
      <c r="CQ43" s="13">
        <f t="shared" si="69"/>
        <v>0</v>
      </c>
      <c r="CR43" s="13">
        <f t="shared" si="69"/>
        <v>0</v>
      </c>
      <c r="CS43" s="13">
        <f t="shared" si="69"/>
        <v>0</v>
      </c>
      <c r="CT43" s="13">
        <f t="shared" si="69"/>
        <v>0</v>
      </c>
      <c r="CU43" s="13">
        <f t="shared" si="69"/>
        <v>0</v>
      </c>
      <c r="CV43" s="13">
        <f t="shared" si="69"/>
        <v>0</v>
      </c>
      <c r="CW43" s="13">
        <f t="shared" si="69"/>
        <v>0</v>
      </c>
      <c r="CX43" s="13">
        <f t="shared" si="69"/>
        <v>0</v>
      </c>
      <c r="CY43" s="13">
        <f t="shared" si="69"/>
        <v>0</v>
      </c>
      <c r="CZ43" s="13">
        <f t="shared" si="69"/>
        <v>0</v>
      </c>
      <c r="DA43" s="13">
        <f t="shared" si="69"/>
        <v>0</v>
      </c>
      <c r="DB43" s="13">
        <f t="shared" si="69"/>
        <v>0</v>
      </c>
      <c r="DC43" s="13">
        <f t="shared" si="69"/>
        <v>0</v>
      </c>
      <c r="DD43" s="13">
        <f t="shared" si="69"/>
        <v>0</v>
      </c>
      <c r="DE43" s="13">
        <f t="shared" si="69"/>
        <v>0</v>
      </c>
      <c r="DF43" s="13">
        <f t="shared" si="69"/>
        <v>0</v>
      </c>
      <c r="DG43" s="13">
        <f t="shared" si="69"/>
        <v>0</v>
      </c>
      <c r="DH43" s="13">
        <f t="shared" si="69"/>
        <v>0</v>
      </c>
      <c r="DI43" s="13">
        <f t="shared" si="69"/>
        <v>0</v>
      </c>
      <c r="DJ43" s="13">
        <f t="shared" si="69"/>
        <v>0</v>
      </c>
      <c r="DK43" s="13">
        <f t="shared" si="69"/>
        <v>0</v>
      </c>
      <c r="DL43" s="13">
        <f t="shared" si="69"/>
        <v>0</v>
      </c>
      <c r="DM43" s="13">
        <f t="shared" si="69"/>
        <v>0</v>
      </c>
      <c r="DN43" s="13">
        <f t="shared" si="69"/>
        <v>0</v>
      </c>
      <c r="DO43" s="13">
        <f t="shared" si="69"/>
        <v>0</v>
      </c>
      <c r="DP43" s="13">
        <f t="shared" si="69"/>
        <v>0</v>
      </c>
      <c r="DQ43" s="13">
        <f t="shared" si="69"/>
        <v>0</v>
      </c>
      <c r="DR43" s="13">
        <f t="shared" si="69"/>
        <v>0</v>
      </c>
      <c r="DS43" s="13">
        <f t="shared" si="69"/>
        <v>0</v>
      </c>
      <c r="DT43" s="13">
        <f t="shared" si="69"/>
        <v>0</v>
      </c>
      <c r="DU43" s="13">
        <f t="shared" si="69"/>
        <v>0</v>
      </c>
      <c r="DV43" s="13">
        <f t="shared" si="69"/>
        <v>0</v>
      </c>
      <c r="DW43" s="13">
        <f t="shared" si="69"/>
        <v>0</v>
      </c>
      <c r="DX43" s="13">
        <f t="shared" si="69"/>
        <v>0</v>
      </c>
      <c r="DY43" s="13">
        <f t="shared" si="69"/>
        <v>0</v>
      </c>
      <c r="DZ43" s="13">
        <f t="shared" si="69"/>
        <v>0</v>
      </c>
      <c r="EA43" s="13">
        <f t="shared" si="69"/>
        <v>0</v>
      </c>
      <c r="EB43" s="13">
        <f t="shared" si="69"/>
        <v>0</v>
      </c>
      <c r="EC43" s="13">
        <f t="shared" ref="EC43:EE43" si="70">EC42*(1+$C$4)^((EC41-EB41)/365)-EC42</f>
        <v>0</v>
      </c>
      <c r="ED43" s="13">
        <f t="shared" si="70"/>
        <v>0</v>
      </c>
      <c r="EE43" s="13">
        <f t="shared" si="70"/>
        <v>0</v>
      </c>
    </row>
    <row r="44" spans="1:135" x14ac:dyDescent="0.35">
      <c r="B44" s="34" t="s">
        <v>48</v>
      </c>
      <c r="C44" s="13">
        <f>C31</f>
        <v>-3498375</v>
      </c>
      <c r="D44" s="13">
        <f>IF(D26&lt;0, D26*$F$4,0)</f>
        <v>0</v>
      </c>
      <c r="E44" s="13">
        <f t="shared" ref="E44:BP44" si="71">IF(E26&lt;0, E26*$F$4,0)</f>
        <v>0</v>
      </c>
      <c r="F44" s="13">
        <f t="shared" si="71"/>
        <v>0</v>
      </c>
      <c r="G44" s="13">
        <f t="shared" si="71"/>
        <v>0</v>
      </c>
      <c r="H44" s="13">
        <f t="shared" si="71"/>
        <v>0</v>
      </c>
      <c r="I44" s="13">
        <f t="shared" si="71"/>
        <v>0</v>
      </c>
      <c r="J44" s="13">
        <f t="shared" si="71"/>
        <v>0</v>
      </c>
      <c r="K44" s="13">
        <f t="shared" si="71"/>
        <v>0</v>
      </c>
      <c r="L44" s="13">
        <f t="shared" si="71"/>
        <v>0</v>
      </c>
      <c r="M44" s="13">
        <f t="shared" si="71"/>
        <v>0</v>
      </c>
      <c r="N44" s="13">
        <f t="shared" si="71"/>
        <v>0</v>
      </c>
      <c r="O44" s="13">
        <f t="shared" si="71"/>
        <v>0</v>
      </c>
      <c r="P44" s="13">
        <f t="shared" si="71"/>
        <v>0</v>
      </c>
      <c r="Q44" s="13">
        <f t="shared" si="71"/>
        <v>0</v>
      </c>
      <c r="R44" s="13">
        <f t="shared" si="71"/>
        <v>0</v>
      </c>
      <c r="S44" s="13">
        <f t="shared" si="71"/>
        <v>0</v>
      </c>
      <c r="T44" s="13">
        <f t="shared" si="71"/>
        <v>0</v>
      </c>
      <c r="U44" s="13">
        <f t="shared" si="71"/>
        <v>0</v>
      </c>
      <c r="V44" s="13">
        <f t="shared" si="71"/>
        <v>0</v>
      </c>
      <c r="W44" s="13">
        <f t="shared" si="71"/>
        <v>0</v>
      </c>
      <c r="X44" s="13">
        <f t="shared" si="71"/>
        <v>0</v>
      </c>
      <c r="Y44" s="13">
        <f t="shared" si="71"/>
        <v>0</v>
      </c>
      <c r="Z44" s="13">
        <f t="shared" si="71"/>
        <v>0</v>
      </c>
      <c r="AA44" s="13">
        <f t="shared" si="71"/>
        <v>0</v>
      </c>
      <c r="AB44" s="13">
        <f t="shared" si="71"/>
        <v>0</v>
      </c>
      <c r="AC44" s="13">
        <f t="shared" si="71"/>
        <v>0</v>
      </c>
      <c r="AD44" s="13">
        <f t="shared" si="71"/>
        <v>0</v>
      </c>
      <c r="AE44" s="13">
        <f t="shared" si="71"/>
        <v>0</v>
      </c>
      <c r="AF44" s="13">
        <f t="shared" si="71"/>
        <v>0</v>
      </c>
      <c r="AG44" s="13">
        <f t="shared" si="71"/>
        <v>0</v>
      </c>
      <c r="AH44" s="13">
        <f t="shared" si="71"/>
        <v>0</v>
      </c>
      <c r="AI44" s="13">
        <f t="shared" si="71"/>
        <v>0</v>
      </c>
      <c r="AJ44" s="13">
        <f t="shared" si="71"/>
        <v>0</v>
      </c>
      <c r="AK44" s="13">
        <f t="shared" si="71"/>
        <v>0</v>
      </c>
      <c r="AL44" s="13">
        <f t="shared" si="71"/>
        <v>0</v>
      </c>
      <c r="AM44" s="13">
        <f t="shared" si="71"/>
        <v>0</v>
      </c>
      <c r="AN44" s="13">
        <f t="shared" si="71"/>
        <v>0</v>
      </c>
      <c r="AO44" s="13">
        <f t="shared" si="71"/>
        <v>0</v>
      </c>
      <c r="AP44" s="13">
        <f t="shared" si="71"/>
        <v>0</v>
      </c>
      <c r="AQ44" s="13">
        <f t="shared" si="71"/>
        <v>0</v>
      </c>
      <c r="AR44" s="13">
        <f t="shared" si="71"/>
        <v>0</v>
      </c>
      <c r="AS44" s="13">
        <f t="shared" si="71"/>
        <v>0</v>
      </c>
      <c r="AT44" s="13">
        <f t="shared" si="71"/>
        <v>0</v>
      </c>
      <c r="AU44" s="13">
        <f t="shared" si="71"/>
        <v>0</v>
      </c>
      <c r="AV44" s="13">
        <f t="shared" si="71"/>
        <v>0</v>
      </c>
      <c r="AW44" s="13">
        <f t="shared" si="71"/>
        <v>0</v>
      </c>
      <c r="AX44" s="13">
        <f t="shared" si="71"/>
        <v>0</v>
      </c>
      <c r="AY44" s="13">
        <f t="shared" si="71"/>
        <v>0</v>
      </c>
      <c r="AZ44" s="13">
        <f t="shared" si="71"/>
        <v>0</v>
      </c>
      <c r="BA44" s="13">
        <f t="shared" si="71"/>
        <v>0</v>
      </c>
      <c r="BB44" s="13">
        <f t="shared" si="71"/>
        <v>0</v>
      </c>
      <c r="BC44" s="13">
        <f t="shared" si="71"/>
        <v>0</v>
      </c>
      <c r="BD44" s="13">
        <f t="shared" si="71"/>
        <v>0</v>
      </c>
      <c r="BE44" s="13">
        <f t="shared" si="71"/>
        <v>0</v>
      </c>
      <c r="BF44" s="13">
        <f t="shared" si="71"/>
        <v>0</v>
      </c>
      <c r="BG44" s="13">
        <f t="shared" si="71"/>
        <v>0</v>
      </c>
      <c r="BH44" s="13">
        <f t="shared" si="71"/>
        <v>0</v>
      </c>
      <c r="BI44" s="13">
        <f t="shared" si="71"/>
        <v>0</v>
      </c>
      <c r="BJ44" s="13">
        <f t="shared" si="71"/>
        <v>0</v>
      </c>
      <c r="BK44" s="13">
        <f t="shared" si="71"/>
        <v>0</v>
      </c>
      <c r="BL44" s="13">
        <f t="shared" si="71"/>
        <v>0</v>
      </c>
      <c r="BM44" s="13">
        <f t="shared" si="71"/>
        <v>0</v>
      </c>
      <c r="BN44" s="13">
        <f t="shared" si="71"/>
        <v>0</v>
      </c>
      <c r="BO44" s="13">
        <f t="shared" si="71"/>
        <v>0</v>
      </c>
      <c r="BP44" s="13">
        <f t="shared" si="71"/>
        <v>0</v>
      </c>
      <c r="BQ44" s="13">
        <f t="shared" ref="BQ44:EB44" si="72">IF(BQ26&lt;0, BQ26*$F$4,0)</f>
        <v>0</v>
      </c>
      <c r="BR44" s="13">
        <f t="shared" si="72"/>
        <v>0</v>
      </c>
      <c r="BS44" s="13">
        <f t="shared" si="72"/>
        <v>0</v>
      </c>
      <c r="BT44" s="13">
        <f t="shared" si="72"/>
        <v>0</v>
      </c>
      <c r="BU44" s="13">
        <f t="shared" si="72"/>
        <v>0</v>
      </c>
      <c r="BV44" s="13">
        <f t="shared" si="72"/>
        <v>0</v>
      </c>
      <c r="BW44" s="13">
        <f t="shared" si="72"/>
        <v>0</v>
      </c>
      <c r="BX44" s="13">
        <f t="shared" si="72"/>
        <v>0</v>
      </c>
      <c r="BY44" s="13">
        <f t="shared" si="72"/>
        <v>0</v>
      </c>
      <c r="BZ44" s="13">
        <f t="shared" si="72"/>
        <v>0</v>
      </c>
      <c r="CA44" s="13">
        <f t="shared" si="72"/>
        <v>0</v>
      </c>
      <c r="CB44" s="13">
        <f t="shared" si="72"/>
        <v>0</v>
      </c>
      <c r="CC44" s="13">
        <f t="shared" si="72"/>
        <v>0</v>
      </c>
      <c r="CD44" s="13">
        <f t="shared" si="72"/>
        <v>0</v>
      </c>
      <c r="CE44" s="13">
        <f t="shared" si="72"/>
        <v>0</v>
      </c>
      <c r="CF44" s="13">
        <f t="shared" si="72"/>
        <v>0</v>
      </c>
      <c r="CG44" s="13">
        <f t="shared" si="72"/>
        <v>0</v>
      </c>
      <c r="CH44" s="13">
        <f t="shared" si="72"/>
        <v>0</v>
      </c>
      <c r="CI44" s="13">
        <f t="shared" si="72"/>
        <v>0</v>
      </c>
      <c r="CJ44" s="13">
        <f t="shared" si="72"/>
        <v>0</v>
      </c>
      <c r="CK44" s="13">
        <f t="shared" si="72"/>
        <v>0</v>
      </c>
      <c r="CL44" s="13">
        <f t="shared" si="72"/>
        <v>0</v>
      </c>
      <c r="CM44" s="13">
        <f t="shared" si="72"/>
        <v>0</v>
      </c>
      <c r="CN44" s="13">
        <f t="shared" si="72"/>
        <v>0</v>
      </c>
      <c r="CO44" s="13">
        <f t="shared" si="72"/>
        <v>0</v>
      </c>
      <c r="CP44" s="13">
        <f t="shared" si="72"/>
        <v>0</v>
      </c>
      <c r="CQ44" s="13">
        <f t="shared" si="72"/>
        <v>0</v>
      </c>
      <c r="CR44" s="13">
        <f t="shared" si="72"/>
        <v>0</v>
      </c>
      <c r="CS44" s="13">
        <f t="shared" si="72"/>
        <v>0</v>
      </c>
      <c r="CT44" s="13">
        <f t="shared" si="72"/>
        <v>0</v>
      </c>
      <c r="CU44" s="13">
        <f t="shared" si="72"/>
        <v>0</v>
      </c>
      <c r="CV44" s="13">
        <f t="shared" si="72"/>
        <v>0</v>
      </c>
      <c r="CW44" s="13">
        <f t="shared" si="72"/>
        <v>0</v>
      </c>
      <c r="CX44" s="13">
        <f t="shared" si="72"/>
        <v>0</v>
      </c>
      <c r="CY44" s="13">
        <f t="shared" si="72"/>
        <v>0</v>
      </c>
      <c r="CZ44" s="13">
        <f t="shared" si="72"/>
        <v>0</v>
      </c>
      <c r="DA44" s="13">
        <f t="shared" si="72"/>
        <v>0</v>
      </c>
      <c r="DB44" s="13">
        <f t="shared" si="72"/>
        <v>0</v>
      </c>
      <c r="DC44" s="13">
        <f t="shared" si="72"/>
        <v>0</v>
      </c>
      <c r="DD44" s="13">
        <f t="shared" si="72"/>
        <v>0</v>
      </c>
      <c r="DE44" s="13">
        <f t="shared" si="72"/>
        <v>0</v>
      </c>
      <c r="DF44" s="13">
        <f t="shared" si="72"/>
        <v>0</v>
      </c>
      <c r="DG44" s="13">
        <f t="shared" si="72"/>
        <v>0</v>
      </c>
      <c r="DH44" s="13">
        <f t="shared" si="72"/>
        <v>0</v>
      </c>
      <c r="DI44" s="13">
        <f t="shared" si="72"/>
        <v>0</v>
      </c>
      <c r="DJ44" s="13">
        <f t="shared" si="72"/>
        <v>0</v>
      </c>
      <c r="DK44" s="13">
        <f t="shared" si="72"/>
        <v>0</v>
      </c>
      <c r="DL44" s="13">
        <f t="shared" si="72"/>
        <v>0</v>
      </c>
      <c r="DM44" s="13">
        <f t="shared" si="72"/>
        <v>0</v>
      </c>
      <c r="DN44" s="13">
        <f t="shared" si="72"/>
        <v>0</v>
      </c>
      <c r="DO44" s="13">
        <f t="shared" si="72"/>
        <v>0</v>
      </c>
      <c r="DP44" s="13">
        <f t="shared" si="72"/>
        <v>0</v>
      </c>
      <c r="DQ44" s="13">
        <f t="shared" si="72"/>
        <v>0</v>
      </c>
      <c r="DR44" s="13">
        <f t="shared" si="72"/>
        <v>0</v>
      </c>
      <c r="DS44" s="13">
        <f t="shared" si="72"/>
        <v>0</v>
      </c>
      <c r="DT44" s="13">
        <f t="shared" si="72"/>
        <v>0</v>
      </c>
      <c r="DU44" s="13">
        <f t="shared" si="72"/>
        <v>0</v>
      </c>
      <c r="DV44" s="13">
        <f t="shared" si="72"/>
        <v>0</v>
      </c>
      <c r="DW44" s="13">
        <f t="shared" si="72"/>
        <v>0</v>
      </c>
      <c r="DX44" s="13">
        <f t="shared" si="72"/>
        <v>0</v>
      </c>
      <c r="DY44" s="13">
        <f t="shared" si="72"/>
        <v>0</v>
      </c>
      <c r="DZ44" s="13">
        <f t="shared" si="72"/>
        <v>0</v>
      </c>
      <c r="EA44" s="13">
        <f t="shared" si="72"/>
        <v>0</v>
      </c>
      <c r="EB44" s="13">
        <f t="shared" si="72"/>
        <v>0</v>
      </c>
      <c r="EC44" s="13">
        <f t="shared" ref="EC44:EE44" si="73">IF(EC26&lt;0, EC26*$F$4,0)</f>
        <v>0</v>
      </c>
      <c r="ED44" s="13">
        <f t="shared" si="73"/>
        <v>0</v>
      </c>
      <c r="EE44" s="13">
        <f t="shared" si="73"/>
        <v>0</v>
      </c>
    </row>
    <row r="45" spans="1:135" x14ac:dyDescent="0.35">
      <c r="B45" s="34" t="s">
        <v>58</v>
      </c>
      <c r="C45" s="13">
        <f>C32</f>
        <v>0</v>
      </c>
      <c r="D45" s="13">
        <f>D32</f>
        <v>0</v>
      </c>
      <c r="E45" s="13">
        <f t="shared" ref="E45:BP45" si="74">E32</f>
        <v>0</v>
      </c>
      <c r="F45" s="13">
        <f t="shared" si="74"/>
        <v>0</v>
      </c>
      <c r="G45" s="13">
        <f t="shared" si="74"/>
        <v>0</v>
      </c>
      <c r="H45" s="13">
        <f t="shared" si="74"/>
        <v>0</v>
      </c>
      <c r="I45" s="13">
        <f t="shared" si="74"/>
        <v>0</v>
      </c>
      <c r="J45" s="13">
        <f t="shared" si="74"/>
        <v>0</v>
      </c>
      <c r="K45" s="13">
        <f t="shared" si="74"/>
        <v>0</v>
      </c>
      <c r="L45" s="13">
        <f t="shared" si="74"/>
        <v>0</v>
      </c>
      <c r="M45" s="13">
        <f t="shared" si="74"/>
        <v>0</v>
      </c>
      <c r="N45" s="13">
        <f t="shared" si="74"/>
        <v>0</v>
      </c>
      <c r="O45" s="13">
        <f t="shared" si="74"/>
        <v>0</v>
      </c>
      <c r="P45" s="13">
        <f t="shared" si="74"/>
        <v>0</v>
      </c>
      <c r="Q45" s="13">
        <f t="shared" si="74"/>
        <v>0</v>
      </c>
      <c r="R45" s="13">
        <f t="shared" si="74"/>
        <v>0</v>
      </c>
      <c r="S45" s="13">
        <f t="shared" si="74"/>
        <v>0</v>
      </c>
      <c r="T45" s="13">
        <f t="shared" si="74"/>
        <v>0</v>
      </c>
      <c r="U45" s="13">
        <f t="shared" si="74"/>
        <v>0</v>
      </c>
      <c r="V45" s="13">
        <f t="shared" si="74"/>
        <v>0</v>
      </c>
      <c r="W45" s="13">
        <f t="shared" si="74"/>
        <v>0</v>
      </c>
      <c r="X45" s="13">
        <f t="shared" si="74"/>
        <v>0</v>
      </c>
      <c r="Y45" s="13">
        <f t="shared" si="74"/>
        <v>0</v>
      </c>
      <c r="Z45" s="13">
        <f t="shared" si="74"/>
        <v>0</v>
      </c>
      <c r="AA45" s="13">
        <f t="shared" si="74"/>
        <v>0</v>
      </c>
      <c r="AB45" s="13">
        <f t="shared" si="74"/>
        <v>0</v>
      </c>
      <c r="AC45" s="13">
        <f t="shared" si="74"/>
        <v>0</v>
      </c>
      <c r="AD45" s="13">
        <f t="shared" si="74"/>
        <v>0</v>
      </c>
      <c r="AE45" s="13">
        <f t="shared" si="74"/>
        <v>0</v>
      </c>
      <c r="AF45" s="13">
        <f t="shared" si="74"/>
        <v>0</v>
      </c>
      <c r="AG45" s="13">
        <f t="shared" si="74"/>
        <v>0</v>
      </c>
      <c r="AH45" s="13">
        <f t="shared" si="74"/>
        <v>0</v>
      </c>
      <c r="AI45" s="13">
        <f t="shared" si="74"/>
        <v>0</v>
      </c>
      <c r="AJ45" s="13">
        <f t="shared" si="74"/>
        <v>0</v>
      </c>
      <c r="AK45" s="13">
        <f t="shared" si="74"/>
        <v>0</v>
      </c>
      <c r="AL45" s="13">
        <f t="shared" si="74"/>
        <v>0</v>
      </c>
      <c r="AM45" s="13">
        <f t="shared" si="74"/>
        <v>0</v>
      </c>
      <c r="AN45" s="13">
        <f t="shared" si="74"/>
        <v>0</v>
      </c>
      <c r="AO45" s="13">
        <f t="shared" si="74"/>
        <v>0</v>
      </c>
      <c r="AP45" s="13">
        <f t="shared" si="74"/>
        <v>0</v>
      </c>
      <c r="AQ45" s="13">
        <f t="shared" si="74"/>
        <v>0</v>
      </c>
      <c r="AR45" s="13">
        <f t="shared" si="74"/>
        <v>0</v>
      </c>
      <c r="AS45" s="13">
        <f t="shared" si="74"/>
        <v>0</v>
      </c>
      <c r="AT45" s="13">
        <f t="shared" si="74"/>
        <v>0</v>
      </c>
      <c r="AU45" s="13">
        <f t="shared" si="74"/>
        <v>0</v>
      </c>
      <c r="AV45" s="13">
        <f t="shared" si="74"/>
        <v>0</v>
      </c>
      <c r="AW45" s="13">
        <f t="shared" si="74"/>
        <v>0</v>
      </c>
      <c r="AX45" s="13">
        <f t="shared" si="74"/>
        <v>0</v>
      </c>
      <c r="AY45" s="13">
        <f t="shared" si="74"/>
        <v>0</v>
      </c>
      <c r="AZ45" s="13">
        <f t="shared" si="74"/>
        <v>0</v>
      </c>
      <c r="BA45" s="13">
        <f t="shared" si="74"/>
        <v>0</v>
      </c>
      <c r="BB45" s="13">
        <f t="shared" si="74"/>
        <v>0</v>
      </c>
      <c r="BC45" s="13">
        <f t="shared" si="74"/>
        <v>0</v>
      </c>
      <c r="BD45" s="13">
        <f t="shared" si="74"/>
        <v>0</v>
      </c>
      <c r="BE45" s="13">
        <f t="shared" si="74"/>
        <v>0</v>
      </c>
      <c r="BF45" s="13">
        <f t="shared" si="74"/>
        <v>0</v>
      </c>
      <c r="BG45" s="13">
        <f t="shared" si="74"/>
        <v>0</v>
      </c>
      <c r="BH45" s="13">
        <f t="shared" si="74"/>
        <v>0</v>
      </c>
      <c r="BI45" s="13">
        <f t="shared" si="74"/>
        <v>0</v>
      </c>
      <c r="BJ45" s="13">
        <f t="shared" si="74"/>
        <v>0</v>
      </c>
      <c r="BK45" s="13">
        <f t="shared" si="74"/>
        <v>0</v>
      </c>
      <c r="BL45" s="13">
        <f t="shared" si="74"/>
        <v>0</v>
      </c>
      <c r="BM45" s="13">
        <f t="shared" si="74"/>
        <v>0</v>
      </c>
      <c r="BN45" s="13">
        <f t="shared" si="74"/>
        <v>0</v>
      </c>
      <c r="BO45" s="13">
        <f t="shared" si="74"/>
        <v>0</v>
      </c>
      <c r="BP45" s="13">
        <f t="shared" si="74"/>
        <v>0</v>
      </c>
      <c r="BQ45" s="13">
        <f t="shared" ref="BQ45:EB45" si="75">BQ32</f>
        <v>0</v>
      </c>
      <c r="BR45" s="13">
        <f t="shared" si="75"/>
        <v>0</v>
      </c>
      <c r="BS45" s="13">
        <f t="shared" si="75"/>
        <v>0</v>
      </c>
      <c r="BT45" s="13">
        <f t="shared" si="75"/>
        <v>0</v>
      </c>
      <c r="BU45" s="13">
        <f t="shared" si="75"/>
        <v>0</v>
      </c>
      <c r="BV45" s="13">
        <f t="shared" si="75"/>
        <v>0</v>
      </c>
      <c r="BW45" s="13">
        <f t="shared" si="75"/>
        <v>0</v>
      </c>
      <c r="BX45" s="13">
        <f t="shared" si="75"/>
        <v>0</v>
      </c>
      <c r="BY45" s="13">
        <f t="shared" si="75"/>
        <v>0</v>
      </c>
      <c r="BZ45" s="13">
        <f t="shared" si="75"/>
        <v>0</v>
      </c>
      <c r="CA45" s="13">
        <f t="shared" si="75"/>
        <v>0</v>
      </c>
      <c r="CB45" s="13">
        <f t="shared" si="75"/>
        <v>0</v>
      </c>
      <c r="CC45" s="13">
        <f t="shared" si="75"/>
        <v>0</v>
      </c>
      <c r="CD45" s="13">
        <f t="shared" si="75"/>
        <v>0</v>
      </c>
      <c r="CE45" s="13">
        <f t="shared" si="75"/>
        <v>0</v>
      </c>
      <c r="CF45" s="13">
        <f t="shared" si="75"/>
        <v>0</v>
      </c>
      <c r="CG45" s="13">
        <f t="shared" si="75"/>
        <v>0</v>
      </c>
      <c r="CH45" s="13">
        <f t="shared" si="75"/>
        <v>0</v>
      </c>
      <c r="CI45" s="13">
        <f t="shared" si="75"/>
        <v>0</v>
      </c>
      <c r="CJ45" s="13">
        <f t="shared" si="75"/>
        <v>0</v>
      </c>
      <c r="CK45" s="13">
        <f t="shared" si="75"/>
        <v>0</v>
      </c>
      <c r="CL45" s="13">
        <f t="shared" si="75"/>
        <v>0</v>
      </c>
      <c r="CM45" s="13">
        <f t="shared" si="75"/>
        <v>0</v>
      </c>
      <c r="CN45" s="13">
        <f t="shared" si="75"/>
        <v>0</v>
      </c>
      <c r="CO45" s="13">
        <f t="shared" si="75"/>
        <v>0</v>
      </c>
      <c r="CP45" s="13">
        <f t="shared" si="75"/>
        <v>0</v>
      </c>
      <c r="CQ45" s="13">
        <f t="shared" si="75"/>
        <v>0</v>
      </c>
      <c r="CR45" s="13">
        <f t="shared" si="75"/>
        <v>0</v>
      </c>
      <c r="CS45" s="13">
        <f t="shared" si="75"/>
        <v>0</v>
      </c>
      <c r="CT45" s="13">
        <f t="shared" si="75"/>
        <v>0</v>
      </c>
      <c r="CU45" s="13">
        <f t="shared" si="75"/>
        <v>0</v>
      </c>
      <c r="CV45" s="13">
        <f t="shared" si="75"/>
        <v>0</v>
      </c>
      <c r="CW45" s="13">
        <f t="shared" si="75"/>
        <v>0</v>
      </c>
      <c r="CX45" s="13">
        <f t="shared" si="75"/>
        <v>0</v>
      </c>
      <c r="CY45" s="13">
        <f t="shared" si="75"/>
        <v>0</v>
      </c>
      <c r="CZ45" s="13">
        <f t="shared" si="75"/>
        <v>0</v>
      </c>
      <c r="DA45" s="13">
        <f t="shared" si="75"/>
        <v>0</v>
      </c>
      <c r="DB45" s="13">
        <f t="shared" si="75"/>
        <v>0</v>
      </c>
      <c r="DC45" s="13">
        <f t="shared" si="75"/>
        <v>0</v>
      </c>
      <c r="DD45" s="13">
        <f t="shared" si="75"/>
        <v>0</v>
      </c>
      <c r="DE45" s="13">
        <f t="shared" si="75"/>
        <v>0</v>
      </c>
      <c r="DF45" s="13">
        <f t="shared" si="75"/>
        <v>0</v>
      </c>
      <c r="DG45" s="13">
        <f t="shared" si="75"/>
        <v>0</v>
      </c>
      <c r="DH45" s="13">
        <f t="shared" si="75"/>
        <v>0</v>
      </c>
      <c r="DI45" s="13">
        <f t="shared" si="75"/>
        <v>0</v>
      </c>
      <c r="DJ45" s="13">
        <f t="shared" si="75"/>
        <v>0</v>
      </c>
      <c r="DK45" s="13">
        <f t="shared" si="75"/>
        <v>0</v>
      </c>
      <c r="DL45" s="13">
        <f t="shared" si="75"/>
        <v>0</v>
      </c>
      <c r="DM45" s="13">
        <f t="shared" si="75"/>
        <v>0</v>
      </c>
      <c r="DN45" s="13">
        <f t="shared" si="75"/>
        <v>0</v>
      </c>
      <c r="DO45" s="13">
        <f t="shared" si="75"/>
        <v>0</v>
      </c>
      <c r="DP45" s="13">
        <f t="shared" si="75"/>
        <v>0</v>
      </c>
      <c r="DQ45" s="13">
        <f t="shared" si="75"/>
        <v>0</v>
      </c>
      <c r="DR45" s="13">
        <f t="shared" si="75"/>
        <v>0</v>
      </c>
      <c r="DS45" s="13">
        <f t="shared" si="75"/>
        <v>0</v>
      </c>
      <c r="DT45" s="13">
        <f t="shared" si="75"/>
        <v>0</v>
      </c>
      <c r="DU45" s="13">
        <f t="shared" si="75"/>
        <v>0</v>
      </c>
      <c r="DV45" s="13">
        <f t="shared" si="75"/>
        <v>0</v>
      </c>
      <c r="DW45" s="13">
        <f t="shared" si="75"/>
        <v>0</v>
      </c>
      <c r="DX45" s="13">
        <f t="shared" si="75"/>
        <v>0</v>
      </c>
      <c r="DY45" s="13">
        <f t="shared" si="75"/>
        <v>0</v>
      </c>
      <c r="DZ45" s="13">
        <f t="shared" si="75"/>
        <v>0</v>
      </c>
      <c r="EA45" s="13">
        <f t="shared" si="75"/>
        <v>0</v>
      </c>
      <c r="EB45" s="13">
        <f t="shared" si="75"/>
        <v>0</v>
      </c>
      <c r="EC45" s="13">
        <f t="shared" ref="EC45:EE45" si="76">EC32</f>
        <v>0</v>
      </c>
      <c r="ED45" s="13">
        <f t="shared" si="76"/>
        <v>0</v>
      </c>
      <c r="EE45" s="13">
        <f t="shared" si="76"/>
        <v>0</v>
      </c>
    </row>
    <row r="46" spans="1:135" x14ac:dyDescent="0.35">
      <c r="B46" s="34" t="s">
        <v>49</v>
      </c>
      <c r="C46" s="28">
        <v>0</v>
      </c>
      <c r="D46" s="37">
        <f>MIN(D42+D43-D44-D45,D39*$F$4)</f>
        <v>11955.423109670224</v>
      </c>
      <c r="E46" s="37">
        <f t="shared" ref="E46:BP46" si="77">MIN(E42+E43-E44-E45,E39*$F$4)</f>
        <v>12097.338421467313</v>
      </c>
      <c r="F46" s="37">
        <f t="shared" si="77"/>
        <v>12239.831913811442</v>
      </c>
      <c r="G46" s="37">
        <f t="shared" si="77"/>
        <v>12382.905942281766</v>
      </c>
      <c r="H46" s="37">
        <f t="shared" si="77"/>
        <v>12526.562872054285</v>
      </c>
      <c r="I46" s="37">
        <f t="shared" si="77"/>
        <v>12670.805077941084</v>
      </c>
      <c r="J46" s="37">
        <f t="shared" si="77"/>
        <v>12815.634944429497</v>
      </c>
      <c r="K46" s="37">
        <f t="shared" si="77"/>
        <v>12961.05486572155</v>
      </c>
      <c r="L46" s="37">
        <f t="shared" si="77"/>
        <v>13107.067245773555</v>
      </c>
      <c r="M46" s="37">
        <f t="shared" si="77"/>
        <v>13253.674498335829</v>
      </c>
      <c r="N46" s="37">
        <f t="shared" si="77"/>
        <v>13400.879046992632</v>
      </c>
      <c r="O46" s="37">
        <f t="shared" si="77"/>
        <v>13548.68332520217</v>
      </c>
      <c r="P46" s="37">
        <f t="shared" si="77"/>
        <v>13697.089776336898</v>
      </c>
      <c r="Q46" s="37">
        <f t="shared" si="77"/>
        <v>13846.100853723838</v>
      </c>
      <c r="R46" s="37">
        <f t="shared" si="77"/>
        <v>13995.719020685174</v>
      </c>
      <c r="S46" s="37">
        <f t="shared" si="77"/>
        <v>14145.946750579007</v>
      </c>
      <c r="T46" s="37">
        <f t="shared" si="77"/>
        <v>14296.786526840162</v>
      </c>
      <c r="U46" s="37">
        <f t="shared" si="77"/>
        <v>14448.240843021298</v>
      </c>
      <c r="V46" s="37">
        <f t="shared" si="77"/>
        <v>14600.312202834126</v>
      </c>
      <c r="W46" s="37">
        <f t="shared" si="77"/>
        <v>14753.003120190779</v>
      </c>
      <c r="X46" s="37">
        <f t="shared" si="77"/>
        <v>14906.316119245388</v>
      </c>
      <c r="Y46" s="37">
        <f t="shared" si="77"/>
        <v>15060.253734435775</v>
      </c>
      <c r="Z46" s="37">
        <f t="shared" si="77"/>
        <v>15214.818510525422</v>
      </c>
      <c r="AA46" s="37">
        <f t="shared" si="77"/>
        <v>15370.013002645437</v>
      </c>
      <c r="AB46" s="37">
        <f t="shared" si="77"/>
        <v>15525.839776336899</v>
      </c>
      <c r="AC46" s="37">
        <f t="shared" si="77"/>
        <v>15682.301407593175</v>
      </c>
      <c r="AD46" s="37">
        <f t="shared" si="77"/>
        <v>15839.400482902598</v>
      </c>
      <c r="AE46" s="37">
        <f t="shared" si="77"/>
        <v>15997.139599291117</v>
      </c>
      <c r="AF46" s="37">
        <f t="shared" si="77"/>
        <v>16155.521364365328</v>
      </c>
      <c r="AG46" s="37">
        <f t="shared" si="77"/>
        <v>16314.548396355518</v>
      </c>
      <c r="AH46" s="37">
        <f t="shared" si="77"/>
        <v>16474.223324158993</v>
      </c>
      <c r="AI46" s="37">
        <f t="shared" si="77"/>
        <v>16634.548787383479</v>
      </c>
      <c r="AJ46" s="37">
        <f t="shared" si="77"/>
        <v>16795.527436390807</v>
      </c>
      <c r="AK46" s="37">
        <f t="shared" si="77"/>
        <v>16957.161932340721</v>
      </c>
      <c r="AL46" s="37">
        <f t="shared" si="77"/>
        <v>17119.454947234844</v>
      </c>
      <c r="AM46" s="37">
        <f t="shared" si="77"/>
        <v>17282.409163960871</v>
      </c>
      <c r="AN46" s="37">
        <f t="shared" si="77"/>
        <v>17446.027276336896</v>
      </c>
      <c r="AO46" s="37">
        <f t="shared" si="77"/>
        <v>17610.311989155995</v>
      </c>
      <c r="AP46" s="37">
        <f t="shared" si="77"/>
        <v>17775.266018230886</v>
      </c>
      <c r="AQ46" s="37">
        <f t="shared" si="77"/>
        <v>17940.892090438825</v>
      </c>
      <c r="AR46" s="37">
        <f t="shared" si="77"/>
        <v>18107.192943766746</v>
      </c>
      <c r="AS46" s="37">
        <f t="shared" si="77"/>
        <v>18274.171327356453</v>
      </c>
      <c r="AT46" s="37">
        <f t="shared" si="77"/>
        <v>18441.830001550097</v>
      </c>
      <c r="AU46" s="37">
        <f t="shared" si="77"/>
        <v>18610.171737935816</v>
      </c>
      <c r="AV46" s="37">
        <f t="shared" si="77"/>
        <v>18779.199319393505</v>
      </c>
      <c r="AW46" s="37">
        <f t="shared" si="77"/>
        <v>18948.915540140919</v>
      </c>
      <c r="AX46" s="37">
        <f t="shared" si="77"/>
        <v>19119.32320577975</v>
      </c>
      <c r="AY46" s="37">
        <f t="shared" si="77"/>
        <v>19290.425133342069</v>
      </c>
      <c r="AZ46" s="37">
        <f t="shared" si="77"/>
        <v>19462.22415133689</v>
      </c>
      <c r="BA46" s="37">
        <f t="shared" si="77"/>
        <v>19634.723099796956</v>
      </c>
      <c r="BB46" s="37">
        <f t="shared" si="77"/>
        <v>19807.924830325581</v>
      </c>
      <c r="BC46" s="37">
        <f t="shared" si="77"/>
        <v>19981.832206143928</v>
      </c>
      <c r="BD46" s="37">
        <f t="shared" si="77"/>
        <v>20156.448102138245</v>
      </c>
      <c r="BE46" s="37">
        <f t="shared" si="77"/>
        <v>20331.775404907432</v>
      </c>
      <c r="BF46" s="37">
        <f t="shared" si="77"/>
        <v>20507.817012810759</v>
      </c>
      <c r="BG46" s="37">
        <f t="shared" si="77"/>
        <v>20684.575836015752</v>
      </c>
      <c r="BH46" s="37">
        <f t="shared" si="77"/>
        <v>20862.054796546348</v>
      </c>
      <c r="BI46" s="37">
        <f t="shared" si="77"/>
        <v>21040.256828331119</v>
      </c>
      <c r="BJ46" s="37">
        <f t="shared" si="77"/>
        <v>21219.184877251893</v>
      </c>
      <c r="BK46" s="37">
        <f t="shared" si="77"/>
        <v>4483106.6481143078</v>
      </c>
      <c r="BL46" s="37">
        <f t="shared" si="77"/>
        <v>0</v>
      </c>
      <c r="BM46" s="37">
        <f t="shared" si="77"/>
        <v>0</v>
      </c>
      <c r="BN46" s="37">
        <f t="shared" si="77"/>
        <v>0</v>
      </c>
      <c r="BO46" s="37">
        <f t="shared" si="77"/>
        <v>0</v>
      </c>
      <c r="BP46" s="37">
        <f t="shared" si="77"/>
        <v>0</v>
      </c>
      <c r="BQ46" s="37">
        <f t="shared" ref="BQ46:EB46" si="78">MIN(BQ42+BQ43-BQ44-BQ45,BQ39*$F$4)</f>
        <v>0</v>
      </c>
      <c r="BR46" s="37">
        <f t="shared" si="78"/>
        <v>0</v>
      </c>
      <c r="BS46" s="37">
        <f t="shared" si="78"/>
        <v>0</v>
      </c>
      <c r="BT46" s="37">
        <f t="shared" si="78"/>
        <v>0</v>
      </c>
      <c r="BU46" s="37">
        <f t="shared" si="78"/>
        <v>0</v>
      </c>
      <c r="BV46" s="37">
        <f t="shared" si="78"/>
        <v>0</v>
      </c>
      <c r="BW46" s="37">
        <f t="shared" si="78"/>
        <v>0</v>
      </c>
      <c r="BX46" s="37">
        <f t="shared" si="78"/>
        <v>0</v>
      </c>
      <c r="BY46" s="37">
        <f t="shared" si="78"/>
        <v>0</v>
      </c>
      <c r="BZ46" s="37">
        <f t="shared" si="78"/>
        <v>0</v>
      </c>
      <c r="CA46" s="37">
        <f t="shared" si="78"/>
        <v>0</v>
      </c>
      <c r="CB46" s="37">
        <f t="shared" si="78"/>
        <v>0</v>
      </c>
      <c r="CC46" s="37">
        <f t="shared" si="78"/>
        <v>0</v>
      </c>
      <c r="CD46" s="37">
        <f t="shared" si="78"/>
        <v>0</v>
      </c>
      <c r="CE46" s="37">
        <f t="shared" si="78"/>
        <v>0</v>
      </c>
      <c r="CF46" s="37">
        <f t="shared" si="78"/>
        <v>0</v>
      </c>
      <c r="CG46" s="37">
        <f t="shared" si="78"/>
        <v>0</v>
      </c>
      <c r="CH46" s="37">
        <f t="shared" si="78"/>
        <v>0</v>
      </c>
      <c r="CI46" s="37">
        <f t="shared" si="78"/>
        <v>0</v>
      </c>
      <c r="CJ46" s="37">
        <f t="shared" si="78"/>
        <v>0</v>
      </c>
      <c r="CK46" s="37">
        <f t="shared" si="78"/>
        <v>0</v>
      </c>
      <c r="CL46" s="37">
        <f t="shared" si="78"/>
        <v>0</v>
      </c>
      <c r="CM46" s="37">
        <f t="shared" si="78"/>
        <v>0</v>
      </c>
      <c r="CN46" s="37">
        <f t="shared" si="78"/>
        <v>0</v>
      </c>
      <c r="CO46" s="37">
        <f t="shared" si="78"/>
        <v>0</v>
      </c>
      <c r="CP46" s="37">
        <f t="shared" si="78"/>
        <v>0</v>
      </c>
      <c r="CQ46" s="37">
        <f t="shared" si="78"/>
        <v>0</v>
      </c>
      <c r="CR46" s="37">
        <f t="shared" si="78"/>
        <v>0</v>
      </c>
      <c r="CS46" s="37">
        <f t="shared" si="78"/>
        <v>0</v>
      </c>
      <c r="CT46" s="37">
        <f t="shared" si="78"/>
        <v>0</v>
      </c>
      <c r="CU46" s="37">
        <f t="shared" si="78"/>
        <v>0</v>
      </c>
      <c r="CV46" s="37">
        <f t="shared" si="78"/>
        <v>0</v>
      </c>
      <c r="CW46" s="37">
        <f t="shared" si="78"/>
        <v>0</v>
      </c>
      <c r="CX46" s="37">
        <f t="shared" si="78"/>
        <v>0</v>
      </c>
      <c r="CY46" s="37">
        <f t="shared" si="78"/>
        <v>0</v>
      </c>
      <c r="CZ46" s="37">
        <f t="shared" si="78"/>
        <v>0</v>
      </c>
      <c r="DA46" s="37">
        <f t="shared" si="78"/>
        <v>0</v>
      </c>
      <c r="DB46" s="37">
        <f t="shared" si="78"/>
        <v>0</v>
      </c>
      <c r="DC46" s="37">
        <f t="shared" si="78"/>
        <v>0</v>
      </c>
      <c r="DD46" s="37">
        <f t="shared" si="78"/>
        <v>0</v>
      </c>
      <c r="DE46" s="37">
        <f t="shared" si="78"/>
        <v>0</v>
      </c>
      <c r="DF46" s="37">
        <f t="shared" si="78"/>
        <v>0</v>
      </c>
      <c r="DG46" s="37">
        <f t="shared" si="78"/>
        <v>0</v>
      </c>
      <c r="DH46" s="37">
        <f t="shared" si="78"/>
        <v>0</v>
      </c>
      <c r="DI46" s="37">
        <f t="shared" si="78"/>
        <v>0</v>
      </c>
      <c r="DJ46" s="37">
        <f t="shared" si="78"/>
        <v>0</v>
      </c>
      <c r="DK46" s="37">
        <f t="shared" si="78"/>
        <v>0</v>
      </c>
      <c r="DL46" s="37">
        <f t="shared" si="78"/>
        <v>0</v>
      </c>
      <c r="DM46" s="37">
        <f t="shared" si="78"/>
        <v>0</v>
      </c>
      <c r="DN46" s="37">
        <f t="shared" si="78"/>
        <v>0</v>
      </c>
      <c r="DO46" s="37">
        <f t="shared" si="78"/>
        <v>0</v>
      </c>
      <c r="DP46" s="37">
        <f t="shared" si="78"/>
        <v>0</v>
      </c>
      <c r="DQ46" s="37">
        <f t="shared" si="78"/>
        <v>0</v>
      </c>
      <c r="DR46" s="37">
        <f t="shared" si="78"/>
        <v>0</v>
      </c>
      <c r="DS46" s="37">
        <f t="shared" si="78"/>
        <v>0</v>
      </c>
      <c r="DT46" s="37">
        <f t="shared" si="78"/>
        <v>0</v>
      </c>
      <c r="DU46" s="37">
        <f t="shared" si="78"/>
        <v>0</v>
      </c>
      <c r="DV46" s="37">
        <f t="shared" si="78"/>
        <v>0</v>
      </c>
      <c r="DW46" s="37">
        <f t="shared" si="78"/>
        <v>0</v>
      </c>
      <c r="DX46" s="37">
        <f t="shared" si="78"/>
        <v>0</v>
      </c>
      <c r="DY46" s="37">
        <f t="shared" si="78"/>
        <v>0</v>
      </c>
      <c r="DZ46" s="37">
        <f t="shared" si="78"/>
        <v>0</v>
      </c>
      <c r="EA46" s="37">
        <f t="shared" si="78"/>
        <v>0</v>
      </c>
      <c r="EB46" s="37">
        <f t="shared" si="78"/>
        <v>0</v>
      </c>
      <c r="EC46" s="37">
        <f t="shared" ref="EC46:EE46" si="79">MIN(EC42+EC43-EC44-EC45,EC39*$F$4)</f>
        <v>0</v>
      </c>
      <c r="ED46" s="37">
        <f t="shared" si="79"/>
        <v>0</v>
      </c>
      <c r="EE46" s="37">
        <f t="shared" si="79"/>
        <v>0</v>
      </c>
    </row>
    <row r="47" spans="1:135" x14ac:dyDescent="0.35">
      <c r="A47" s="47" t="s">
        <v>55</v>
      </c>
      <c r="B47" s="34" t="s">
        <v>50</v>
      </c>
      <c r="C47" s="13">
        <f>C42+C43-C44-C45-C46</f>
        <v>3498375</v>
      </c>
      <c r="D47" s="13">
        <f t="shared" ref="D47" si="80">D42+D43-D44-D45-D46</f>
        <v>3517565.0850038235</v>
      </c>
      <c r="E47" s="13">
        <f t="shared" ref="E47" si="81">E42+E43-E44-E45-E46</f>
        <v>3536784.1011454691</v>
      </c>
      <c r="F47" s="13">
        <f t="shared" ref="F47" si="82">F42+F43-F44-F45-F46</f>
        <v>3555011.6411181181</v>
      </c>
      <c r="G47" s="13">
        <f t="shared" ref="G47" si="83">G42+G43-G44-G45-G46</f>
        <v>3574278.4708136707</v>
      </c>
      <c r="H47" s="13">
        <f t="shared" ref="H47" si="84">H42+H43-H44-H45-H46</f>
        <v>3592542.2723748824</v>
      </c>
      <c r="I47" s="13">
        <f t="shared" ref="I47" si="85">I42+I43-I44-I45-I46</f>
        <v>3611855.3325178856</v>
      </c>
      <c r="J47" s="13">
        <f t="shared" ref="J47" si="86">J42+J43-J44-J45-J46</f>
        <v>3631195.5040732455</v>
      </c>
      <c r="K47" s="13">
        <f t="shared" ref="K47" si="87">K42+K43-K44-K45-K46</f>
        <v>3647421.3853881946</v>
      </c>
      <c r="L47" s="13">
        <f t="shared" ref="L47" si="88">L42+L43-L44-L45-L46</f>
        <v>3666786.7638784954</v>
      </c>
      <c r="M47" s="13">
        <f t="shared" ref="M47" si="89">M42+M43-M44-M45-M46</f>
        <v>3685120.3598407046</v>
      </c>
      <c r="N47" s="13">
        <f t="shared" ref="N47" si="90">N42+N43-N44-N45-N46</f>
        <v>3704527.5548471278</v>
      </c>
      <c r="O47" s="13">
        <f t="shared" ref="O47" si="91">O42+O43-O44-O45-O46</f>
        <v>3722891.2573078191</v>
      </c>
      <c r="P47" s="13">
        <f t="shared" ref="P47" si="92">P42+P43-P44-P45-P46</f>
        <v>3742338.5102220559</v>
      </c>
      <c r="Q47" s="13">
        <f t="shared" ref="Q47" si="93">Q42+Q43-Q44-Q45-Q46</f>
        <v>3761809.8880358739</v>
      </c>
      <c r="R47" s="13">
        <f t="shared" ref="R47" si="94">R42+R43-R44-R45-R46</f>
        <v>3780220.0093343174</v>
      </c>
      <c r="S47" s="13">
        <f t="shared" ref="S47" si="95">S42+S43-S44-S45-S46</f>
        <v>3799728.794558302</v>
      </c>
      <c r="T47" s="13">
        <f t="shared" ref="T47" si="96">T42+T43-T44-T45-T46</f>
        <v>3818164.4980395478</v>
      </c>
      <c r="U47" s="13">
        <f t="shared" ref="U47" si="97">U42+U43-U44-U45-U46</f>
        <v>3837708.8032650137</v>
      </c>
      <c r="V47" s="13">
        <f t="shared" ref="V47" si="98">V42+V43-V44-V45-V46</f>
        <v>3857275.0371498112</v>
      </c>
      <c r="W47" s="13">
        <f t="shared" ref="W47" si="99">W42+W43-W44-W45-W46</f>
        <v>3873526.1593140615</v>
      </c>
      <c r="X47" s="13">
        <f t="shared" ref="X47" si="100">X42+X43-X44-X45-X46</f>
        <v>3893105.2658332544</v>
      </c>
      <c r="Y47" s="13">
        <f t="shared" ref="Y47" si="101">Y42+Y43-Y44-Y45-Y46</f>
        <v>3911581.8869928401</v>
      </c>
      <c r="Z47" s="13">
        <f t="shared" ref="Z47" si="102">Z42+Z43-Z44-Z45-Z46</f>
        <v>3931191.2955585802</v>
      </c>
      <c r="AA47" s="13">
        <f t="shared" ref="AA47" si="103">AA42+AA43-AA44-AA45-AA46</f>
        <v>3949686.246809707</v>
      </c>
      <c r="AB47" s="13">
        <f t="shared" ref="AB47" si="104">AB42+AB43-AB44-AB45-AB46</f>
        <v>3969323.8715120973</v>
      </c>
      <c r="AC47" s="13">
        <f t="shared" ref="AC47" si="105">AC42+AC43-AC44-AC45-AC46</f>
        <v>3988979.8654116867</v>
      </c>
      <c r="AD47" s="13">
        <f t="shared" ref="AD47" si="106">AD42+AD43-AD44-AD45-AD46</f>
        <v>4007503.2446550727</v>
      </c>
      <c r="AE47" s="13">
        <f t="shared" ref="AE47" si="107">AE42+AE43-AE44-AE45-AE46</f>
        <v>4027184.3055978208</v>
      </c>
      <c r="AF47" s="13">
        <f t="shared" ref="AF47" si="108">AF42+AF43-AF44-AF45-AF46</f>
        <v>4045720.6733578802</v>
      </c>
      <c r="AG47" s="13">
        <f t="shared" ref="AG47" si="109">AG42+AG43-AG44-AG45-AG46</f>
        <v>4065424.5695413644</v>
      </c>
      <c r="AH47" s="13">
        <f t="shared" ref="AH47" si="110">AH42+AH43-AH44-AH45-AH46</f>
        <v>4085144.2116305609</v>
      </c>
      <c r="AI47" s="13">
        <f t="shared" ref="AI47" si="111">AI42+AI43-AI44-AI45-AI46</f>
        <v>4102522.9343664795</v>
      </c>
      <c r="AJ47" s="13">
        <f t="shared" ref="AJ47" si="112">AJ42+AJ43-AJ44-AJ45-AJ46</f>
        <v>4122251.5535233226</v>
      </c>
      <c r="AK47" s="13">
        <f t="shared" ref="AK47" si="113">AK42+AK43-AK44-AK45-AK46</f>
        <v>4140805.2306750123</v>
      </c>
      <c r="AL47" s="13">
        <f t="shared" ref="AL47" si="114">AL42+AL43-AL44-AL45-AL46</f>
        <v>4160550.7438653801</v>
      </c>
      <c r="AM47" s="13">
        <f t="shared" ref="AM47" si="115">AM42+AM43-AM44-AM45-AM46</f>
        <v>4179109.0994019792</v>
      </c>
      <c r="AN47" s="13">
        <f t="shared" ref="AN47" si="116">AN42+AN43-AN44-AN45-AN46</f>
        <v>4198869.0538636204</v>
      </c>
      <c r="AO47" s="13">
        <f t="shared" ref="AO47" si="117">AO42+AO43-AO44-AO45-AO46</f>
        <v>4218640.6435244046</v>
      </c>
      <c r="AP47" s="13">
        <f t="shared" ref="AP47" si="118">AP42+AP43-AP44-AP45-AP46</f>
        <v>4237206.5534631591</v>
      </c>
      <c r="AQ47" s="13">
        <f t="shared" ref="AQ47" si="119">AQ42+AQ43-AQ44-AQ45-AQ46</f>
        <v>4256988.8760336516</v>
      </c>
      <c r="AR47" s="13">
        <f t="shared" ref="AR47" si="120">AR42+AR43-AR44-AR45-AR46</f>
        <v>4275553.2071336163</v>
      </c>
      <c r="AS47" s="13">
        <f t="shared" ref="AS47" si="121">AS42+AS43-AS44-AS45-AS46</f>
        <v>4295343.6449755039</v>
      </c>
      <c r="AT47" s="13">
        <f t="shared" ref="AT47" si="122">AT42+AT43-AT44-AT45-AT46</f>
        <v>4315142.6154441237</v>
      </c>
      <c r="AU47" s="13">
        <f t="shared" ref="AU47" si="123">AU42+AU43-AU44-AU45-AU46</f>
        <v>4331216.8312546369</v>
      </c>
      <c r="AV47" s="13">
        <f t="shared" ref="AV47" si="124">AV42+AV43-AV44-AV45-AV46</f>
        <v>4350997.8060043873</v>
      </c>
      <c r="AW47" s="13">
        <f t="shared" ref="AW47" si="125">AW42+AW43-AW44-AW45-AW46</f>
        <v>4369530.2476637932</v>
      </c>
      <c r="AX47" s="13">
        <f t="shared" ref="AX47" si="126">AX42+AX43-AX44-AX45-AX46</f>
        <v>4389312.1971291164</v>
      </c>
      <c r="AY47" s="13">
        <f t="shared" ref="AY47" si="127">AY42+AY43-AY44-AY45-AY46</f>
        <v>4407833.1857578978</v>
      </c>
      <c r="AZ47" s="13">
        <f t="shared" ref="AZ47" si="128">AZ42+AZ43-AZ44-AZ45-AZ46</f>
        <v>4427613.2395927543</v>
      </c>
      <c r="BA47" s="13">
        <f t="shared" ref="BA47" si="129">BA42+BA43-BA44-BA45-BA46</f>
        <v>4447396.8933328185</v>
      </c>
      <c r="BB47" s="13">
        <f t="shared" ref="BB47" si="130">BB42+BB43-BB44-BB45-BB46</f>
        <v>4465900.7486962499</v>
      </c>
      <c r="BC47" s="13">
        <f t="shared" ref="BC47" si="131">BC42+BC43-BC44-BC45-BC46</f>
        <v>4485678.1612830674</v>
      </c>
      <c r="BD47" s="13">
        <f t="shared" ref="BD47" si="132">BD42+BD43-BD44-BD45-BD46</f>
        <v>4504163.2646000627</v>
      </c>
      <c r="BE47" s="13">
        <f t="shared" ref="BE47" si="133">BE42+BE43-BE44-BE45-BE46</f>
        <v>4523931.3794305073</v>
      </c>
      <c r="BF47" s="13">
        <f t="shared" ref="BF47" si="134">BF42+BF43-BF44-BF45-BF46</f>
        <v>4543699.4452155503</v>
      </c>
      <c r="BG47" s="13">
        <f t="shared" ref="BG47" si="135">BG42+BG43-BG44-BG45-BG46</f>
        <v>4559536.35812419</v>
      </c>
      <c r="BH47" s="13">
        <f t="shared" ref="BH47" si="136">BH42+BH43-BH44-BH45-BH46</f>
        <v>4579267.1719125509</v>
      </c>
      <c r="BI47" s="13">
        <f t="shared" ref="BI47" si="137">BI42+BI43-BI44-BI45-BI46</f>
        <v>4597674.6822942495</v>
      </c>
      <c r="BJ47" s="13">
        <f t="shared" ref="BJ47" si="138">BJ42+BJ43-BJ44-BJ45-BJ46</f>
        <v>4617387.9057839103</v>
      </c>
      <c r="BK47" s="13">
        <f t="shared" ref="BK47" si="139">BK42+BK43-BK44-BK45-BK46</f>
        <v>174057.41319574881</v>
      </c>
      <c r="BL47" s="13">
        <f t="shared" ref="BL47" si="140">BL42+BL43-BL44-BL45-BL46</f>
        <v>0</v>
      </c>
      <c r="BM47" s="13">
        <f t="shared" ref="BM47" si="141">BM42+BM43-BM44-BM45-BM46</f>
        <v>0</v>
      </c>
      <c r="BN47" s="13">
        <f t="shared" ref="BN47" si="142">BN42+BN43-BN44-BN45-BN46</f>
        <v>0</v>
      </c>
      <c r="BO47" s="13">
        <f t="shared" ref="BO47" si="143">BO42+BO43-BO44-BO45-BO46</f>
        <v>0</v>
      </c>
      <c r="BP47" s="13">
        <f t="shared" ref="BP47" si="144">BP42+BP43-BP44-BP45-BP46</f>
        <v>0</v>
      </c>
      <c r="BQ47" s="13">
        <f t="shared" ref="BQ47" si="145">BQ42+BQ43-BQ44-BQ45-BQ46</f>
        <v>0</v>
      </c>
      <c r="BR47" s="13">
        <f t="shared" ref="BR47" si="146">BR42+BR43-BR44-BR45-BR46</f>
        <v>0</v>
      </c>
      <c r="BS47" s="13">
        <f t="shared" ref="BS47" si="147">BS42+BS43-BS44-BS45-BS46</f>
        <v>0</v>
      </c>
      <c r="BT47" s="13">
        <f t="shared" ref="BT47" si="148">BT42+BT43-BT44-BT45-BT46</f>
        <v>0</v>
      </c>
      <c r="BU47" s="13">
        <f t="shared" ref="BU47" si="149">BU42+BU43-BU44-BU45-BU46</f>
        <v>0</v>
      </c>
      <c r="BV47" s="13">
        <f t="shared" ref="BV47" si="150">BV42+BV43-BV44-BV45-BV46</f>
        <v>0</v>
      </c>
      <c r="BW47" s="13">
        <f t="shared" ref="BW47" si="151">BW42+BW43-BW44-BW45-BW46</f>
        <v>0</v>
      </c>
      <c r="BX47" s="13">
        <f t="shared" ref="BX47" si="152">BX42+BX43-BX44-BX45-BX46</f>
        <v>0</v>
      </c>
      <c r="BY47" s="13">
        <f t="shared" ref="BY47" si="153">BY42+BY43-BY44-BY45-BY46</f>
        <v>0</v>
      </c>
      <c r="BZ47" s="13">
        <f t="shared" ref="BZ47" si="154">BZ42+BZ43-BZ44-BZ45-BZ46</f>
        <v>0</v>
      </c>
      <c r="CA47" s="13">
        <f t="shared" ref="CA47" si="155">CA42+CA43-CA44-CA45-CA46</f>
        <v>0</v>
      </c>
      <c r="CB47" s="13">
        <f t="shared" ref="CB47" si="156">CB42+CB43-CB44-CB45-CB46</f>
        <v>0</v>
      </c>
      <c r="CC47" s="13">
        <f t="shared" ref="CC47" si="157">CC42+CC43-CC44-CC45-CC46</f>
        <v>0</v>
      </c>
      <c r="CD47" s="13">
        <f t="shared" ref="CD47" si="158">CD42+CD43-CD44-CD45-CD46</f>
        <v>0</v>
      </c>
      <c r="CE47" s="13">
        <f t="shared" ref="CE47" si="159">CE42+CE43-CE44-CE45-CE46</f>
        <v>0</v>
      </c>
      <c r="CF47" s="13">
        <f t="shared" ref="CF47" si="160">CF42+CF43-CF44-CF45-CF46</f>
        <v>0</v>
      </c>
      <c r="CG47" s="13">
        <f t="shared" ref="CG47" si="161">CG42+CG43-CG44-CG45-CG46</f>
        <v>0</v>
      </c>
      <c r="CH47" s="13">
        <f t="shared" ref="CH47" si="162">CH42+CH43-CH44-CH45-CH46</f>
        <v>0</v>
      </c>
      <c r="CI47" s="13">
        <f t="shared" ref="CI47" si="163">CI42+CI43-CI44-CI45-CI46</f>
        <v>0</v>
      </c>
      <c r="CJ47" s="13">
        <f t="shared" ref="CJ47" si="164">CJ42+CJ43-CJ44-CJ45-CJ46</f>
        <v>0</v>
      </c>
      <c r="CK47" s="13">
        <f t="shared" ref="CK47" si="165">CK42+CK43-CK44-CK45-CK46</f>
        <v>0</v>
      </c>
      <c r="CL47" s="13">
        <f t="shared" ref="CL47" si="166">CL42+CL43-CL44-CL45-CL46</f>
        <v>0</v>
      </c>
      <c r="CM47" s="13">
        <f t="shared" ref="CM47" si="167">CM42+CM43-CM44-CM45-CM46</f>
        <v>0</v>
      </c>
      <c r="CN47" s="13">
        <f t="shared" ref="CN47" si="168">CN42+CN43-CN44-CN45-CN46</f>
        <v>0</v>
      </c>
      <c r="CO47" s="13">
        <f t="shared" ref="CO47" si="169">CO42+CO43-CO44-CO45-CO46</f>
        <v>0</v>
      </c>
      <c r="CP47" s="13">
        <f t="shared" ref="CP47" si="170">CP42+CP43-CP44-CP45-CP46</f>
        <v>0</v>
      </c>
      <c r="CQ47" s="13">
        <f t="shared" ref="CQ47" si="171">CQ42+CQ43-CQ44-CQ45-CQ46</f>
        <v>0</v>
      </c>
      <c r="CR47" s="13">
        <f t="shared" ref="CR47" si="172">CR42+CR43-CR44-CR45-CR46</f>
        <v>0</v>
      </c>
      <c r="CS47" s="13">
        <f t="shared" ref="CS47" si="173">CS42+CS43-CS44-CS45-CS46</f>
        <v>0</v>
      </c>
      <c r="CT47" s="13">
        <f t="shared" ref="CT47" si="174">CT42+CT43-CT44-CT45-CT46</f>
        <v>0</v>
      </c>
      <c r="CU47" s="13">
        <f t="shared" ref="CU47" si="175">CU42+CU43-CU44-CU45-CU46</f>
        <v>0</v>
      </c>
      <c r="CV47" s="13">
        <f t="shared" ref="CV47" si="176">CV42+CV43-CV44-CV45-CV46</f>
        <v>0</v>
      </c>
      <c r="CW47" s="13">
        <f t="shared" ref="CW47" si="177">CW42+CW43-CW44-CW45-CW46</f>
        <v>0</v>
      </c>
      <c r="CX47" s="13">
        <f t="shared" ref="CX47" si="178">CX42+CX43-CX44-CX45-CX46</f>
        <v>0</v>
      </c>
      <c r="CY47" s="13">
        <f t="shared" ref="CY47" si="179">CY42+CY43-CY44-CY45-CY46</f>
        <v>0</v>
      </c>
      <c r="CZ47" s="13">
        <f t="shared" ref="CZ47" si="180">CZ42+CZ43-CZ44-CZ45-CZ46</f>
        <v>0</v>
      </c>
      <c r="DA47" s="13">
        <f t="shared" ref="DA47" si="181">DA42+DA43-DA44-DA45-DA46</f>
        <v>0</v>
      </c>
      <c r="DB47" s="13">
        <f t="shared" ref="DB47" si="182">DB42+DB43-DB44-DB45-DB46</f>
        <v>0</v>
      </c>
      <c r="DC47" s="13">
        <f t="shared" ref="DC47" si="183">DC42+DC43-DC44-DC45-DC46</f>
        <v>0</v>
      </c>
      <c r="DD47" s="13">
        <f t="shared" ref="DD47" si="184">DD42+DD43-DD44-DD45-DD46</f>
        <v>0</v>
      </c>
      <c r="DE47" s="13">
        <f t="shared" ref="DE47" si="185">DE42+DE43-DE44-DE45-DE46</f>
        <v>0</v>
      </c>
      <c r="DF47" s="13">
        <f t="shared" ref="DF47" si="186">DF42+DF43-DF44-DF45-DF46</f>
        <v>0</v>
      </c>
      <c r="DG47" s="13">
        <f t="shared" ref="DG47" si="187">DG42+DG43-DG44-DG45-DG46</f>
        <v>0</v>
      </c>
      <c r="DH47" s="13">
        <f t="shared" ref="DH47" si="188">DH42+DH43-DH44-DH45-DH46</f>
        <v>0</v>
      </c>
      <c r="DI47" s="13">
        <f t="shared" ref="DI47" si="189">DI42+DI43-DI44-DI45-DI46</f>
        <v>0</v>
      </c>
      <c r="DJ47" s="13">
        <f t="shared" ref="DJ47" si="190">DJ42+DJ43-DJ44-DJ45-DJ46</f>
        <v>0</v>
      </c>
      <c r="DK47" s="13">
        <f t="shared" ref="DK47" si="191">DK42+DK43-DK44-DK45-DK46</f>
        <v>0</v>
      </c>
      <c r="DL47" s="13">
        <f t="shared" ref="DL47" si="192">DL42+DL43-DL44-DL45-DL46</f>
        <v>0</v>
      </c>
      <c r="DM47" s="13">
        <f t="shared" ref="DM47" si="193">DM42+DM43-DM44-DM45-DM46</f>
        <v>0</v>
      </c>
      <c r="DN47" s="13">
        <f t="shared" ref="DN47" si="194">DN42+DN43-DN44-DN45-DN46</f>
        <v>0</v>
      </c>
      <c r="DO47" s="13">
        <f t="shared" ref="DO47" si="195">DO42+DO43-DO44-DO45-DO46</f>
        <v>0</v>
      </c>
      <c r="DP47" s="13">
        <f t="shared" ref="DP47" si="196">DP42+DP43-DP44-DP45-DP46</f>
        <v>0</v>
      </c>
      <c r="DQ47" s="13">
        <f t="shared" ref="DQ47" si="197">DQ42+DQ43-DQ44-DQ45-DQ46</f>
        <v>0</v>
      </c>
      <c r="DR47" s="13">
        <f t="shared" ref="DR47" si="198">DR42+DR43-DR44-DR45-DR46</f>
        <v>0</v>
      </c>
      <c r="DS47" s="13">
        <f t="shared" ref="DS47" si="199">DS42+DS43-DS44-DS45-DS46</f>
        <v>0</v>
      </c>
      <c r="DT47" s="13">
        <f t="shared" ref="DT47" si="200">DT42+DT43-DT44-DT45-DT46</f>
        <v>0</v>
      </c>
      <c r="DU47" s="13">
        <f t="shared" ref="DU47" si="201">DU42+DU43-DU44-DU45-DU46</f>
        <v>0</v>
      </c>
      <c r="DV47" s="13">
        <f t="shared" ref="DV47" si="202">DV42+DV43-DV44-DV45-DV46</f>
        <v>0</v>
      </c>
      <c r="DW47" s="13">
        <f t="shared" ref="DW47" si="203">DW42+DW43-DW44-DW45-DW46</f>
        <v>0</v>
      </c>
      <c r="DX47" s="13">
        <f t="shared" ref="DX47" si="204">DX42+DX43-DX44-DX45-DX46</f>
        <v>0</v>
      </c>
      <c r="DY47" s="13">
        <f t="shared" ref="DY47" si="205">DY42+DY43-DY44-DY45-DY46</f>
        <v>0</v>
      </c>
      <c r="DZ47" s="13">
        <f t="shared" ref="DZ47" si="206">DZ42+DZ43-DZ44-DZ45-DZ46</f>
        <v>0</v>
      </c>
      <c r="EA47" s="13">
        <f t="shared" ref="EA47" si="207">EA42+EA43-EA44-EA45-EA46</f>
        <v>0</v>
      </c>
      <c r="EB47" s="13">
        <f t="shared" ref="EB47" si="208">EB42+EB43-EB44-EB45-EB46</f>
        <v>0</v>
      </c>
      <c r="EC47" s="13">
        <f t="shared" ref="EC47" si="209">EC42+EC43-EC44-EC45-EC46</f>
        <v>0</v>
      </c>
      <c r="ED47" s="13">
        <f t="shared" ref="ED47" si="210">ED42+ED43-ED44-ED45-ED46</f>
        <v>0</v>
      </c>
      <c r="EE47" s="13">
        <f t="shared" ref="EE47" si="211">EE42+EE43-EE44-EE45-EE46</f>
        <v>0</v>
      </c>
    </row>
    <row r="48" spans="1:135" x14ac:dyDescent="0.35">
      <c r="A48" s="48">
        <f>XIRR(C48:EE48,$C$13:$EE$13)</f>
        <v>0.1025881826877594</v>
      </c>
      <c r="B48" s="41" t="s">
        <v>51</v>
      </c>
      <c r="C48" s="42">
        <f>SUM(C44:C46)</f>
        <v>-3498375</v>
      </c>
      <c r="D48" s="42">
        <f>SUM(D44:D46)</f>
        <v>11955.423109670224</v>
      </c>
      <c r="E48" s="43">
        <f t="shared" ref="E48:BP48" si="212">SUM(E44:E46)</f>
        <v>12097.338421467313</v>
      </c>
      <c r="F48" s="43">
        <f t="shared" si="212"/>
        <v>12239.831913811442</v>
      </c>
      <c r="G48" s="43">
        <f t="shared" si="212"/>
        <v>12382.905942281766</v>
      </c>
      <c r="H48" s="43">
        <f t="shared" si="212"/>
        <v>12526.562872054285</v>
      </c>
      <c r="I48" s="43">
        <f t="shared" si="212"/>
        <v>12670.805077941084</v>
      </c>
      <c r="J48" s="43">
        <f t="shared" si="212"/>
        <v>12815.634944429497</v>
      </c>
      <c r="K48" s="43">
        <f t="shared" si="212"/>
        <v>12961.05486572155</v>
      </c>
      <c r="L48" s="43">
        <f t="shared" si="212"/>
        <v>13107.067245773555</v>
      </c>
      <c r="M48" s="43">
        <f t="shared" si="212"/>
        <v>13253.674498335829</v>
      </c>
      <c r="N48" s="43">
        <f t="shared" si="212"/>
        <v>13400.879046992632</v>
      </c>
      <c r="O48" s="43">
        <f t="shared" si="212"/>
        <v>13548.68332520217</v>
      </c>
      <c r="P48" s="43">
        <f t="shared" si="212"/>
        <v>13697.089776336898</v>
      </c>
      <c r="Q48" s="43">
        <f t="shared" si="212"/>
        <v>13846.100853723838</v>
      </c>
      <c r="R48" s="43">
        <f t="shared" si="212"/>
        <v>13995.719020685174</v>
      </c>
      <c r="S48" s="43">
        <f t="shared" si="212"/>
        <v>14145.946750579007</v>
      </c>
      <c r="T48" s="43">
        <f t="shared" si="212"/>
        <v>14296.786526840162</v>
      </c>
      <c r="U48" s="43">
        <f t="shared" si="212"/>
        <v>14448.240843021298</v>
      </c>
      <c r="V48" s="43">
        <f t="shared" si="212"/>
        <v>14600.312202834126</v>
      </c>
      <c r="W48" s="43">
        <f t="shared" si="212"/>
        <v>14753.003120190779</v>
      </c>
      <c r="X48" s="43">
        <f t="shared" si="212"/>
        <v>14906.316119245388</v>
      </c>
      <c r="Y48" s="43">
        <f t="shared" si="212"/>
        <v>15060.253734435775</v>
      </c>
      <c r="Z48" s="43">
        <f t="shared" si="212"/>
        <v>15214.818510525422</v>
      </c>
      <c r="AA48" s="43">
        <f t="shared" si="212"/>
        <v>15370.013002645437</v>
      </c>
      <c r="AB48" s="43">
        <f t="shared" si="212"/>
        <v>15525.839776336899</v>
      </c>
      <c r="AC48" s="43">
        <f t="shared" si="212"/>
        <v>15682.301407593175</v>
      </c>
      <c r="AD48" s="43">
        <f t="shared" si="212"/>
        <v>15839.400482902598</v>
      </c>
      <c r="AE48" s="43">
        <f t="shared" si="212"/>
        <v>15997.139599291117</v>
      </c>
      <c r="AF48" s="43">
        <f t="shared" si="212"/>
        <v>16155.521364365328</v>
      </c>
      <c r="AG48" s="43">
        <f t="shared" si="212"/>
        <v>16314.548396355518</v>
      </c>
      <c r="AH48" s="43">
        <f t="shared" si="212"/>
        <v>16474.223324158993</v>
      </c>
      <c r="AI48" s="43">
        <f t="shared" si="212"/>
        <v>16634.548787383479</v>
      </c>
      <c r="AJ48" s="43">
        <f t="shared" si="212"/>
        <v>16795.527436390807</v>
      </c>
      <c r="AK48" s="43">
        <f t="shared" si="212"/>
        <v>16957.161932340721</v>
      </c>
      <c r="AL48" s="43">
        <f t="shared" si="212"/>
        <v>17119.454947234844</v>
      </c>
      <c r="AM48" s="43">
        <f t="shared" si="212"/>
        <v>17282.409163960871</v>
      </c>
      <c r="AN48" s="43">
        <f t="shared" si="212"/>
        <v>17446.027276336896</v>
      </c>
      <c r="AO48" s="43">
        <f t="shared" si="212"/>
        <v>17610.311989155995</v>
      </c>
      <c r="AP48" s="43">
        <f t="shared" si="212"/>
        <v>17775.266018230886</v>
      </c>
      <c r="AQ48" s="43">
        <f t="shared" si="212"/>
        <v>17940.892090438825</v>
      </c>
      <c r="AR48" s="43">
        <f t="shared" si="212"/>
        <v>18107.192943766746</v>
      </c>
      <c r="AS48" s="43">
        <f t="shared" si="212"/>
        <v>18274.171327356453</v>
      </c>
      <c r="AT48" s="43">
        <f t="shared" si="212"/>
        <v>18441.830001550097</v>
      </c>
      <c r="AU48" s="43">
        <f t="shared" si="212"/>
        <v>18610.171737935816</v>
      </c>
      <c r="AV48" s="43">
        <f t="shared" si="212"/>
        <v>18779.199319393505</v>
      </c>
      <c r="AW48" s="43">
        <f t="shared" si="212"/>
        <v>18948.915540140919</v>
      </c>
      <c r="AX48" s="43">
        <f t="shared" si="212"/>
        <v>19119.32320577975</v>
      </c>
      <c r="AY48" s="43">
        <f t="shared" si="212"/>
        <v>19290.425133342069</v>
      </c>
      <c r="AZ48" s="43">
        <f t="shared" si="212"/>
        <v>19462.22415133689</v>
      </c>
      <c r="BA48" s="43">
        <f t="shared" si="212"/>
        <v>19634.723099796956</v>
      </c>
      <c r="BB48" s="43">
        <f t="shared" si="212"/>
        <v>19807.924830325581</v>
      </c>
      <c r="BC48" s="43">
        <f t="shared" si="212"/>
        <v>19981.832206143928</v>
      </c>
      <c r="BD48" s="43">
        <f t="shared" si="212"/>
        <v>20156.448102138245</v>
      </c>
      <c r="BE48" s="43">
        <f t="shared" si="212"/>
        <v>20331.775404907432</v>
      </c>
      <c r="BF48" s="43">
        <f t="shared" si="212"/>
        <v>20507.817012810759</v>
      </c>
      <c r="BG48" s="43">
        <f t="shared" si="212"/>
        <v>20684.575836015752</v>
      </c>
      <c r="BH48" s="43">
        <f t="shared" si="212"/>
        <v>20862.054796546348</v>
      </c>
      <c r="BI48" s="43">
        <f t="shared" si="212"/>
        <v>21040.256828331119</v>
      </c>
      <c r="BJ48" s="43">
        <f t="shared" si="212"/>
        <v>21219.184877251893</v>
      </c>
      <c r="BK48" s="43">
        <f t="shared" si="212"/>
        <v>4483106.6481143078</v>
      </c>
      <c r="BL48" s="43">
        <f t="shared" si="212"/>
        <v>0</v>
      </c>
      <c r="BM48" s="43">
        <f t="shared" si="212"/>
        <v>0</v>
      </c>
      <c r="BN48" s="43">
        <f t="shared" si="212"/>
        <v>0</v>
      </c>
      <c r="BO48" s="43">
        <f t="shared" si="212"/>
        <v>0</v>
      </c>
      <c r="BP48" s="43">
        <f t="shared" si="212"/>
        <v>0</v>
      </c>
      <c r="BQ48" s="43">
        <f t="shared" ref="BQ48:EB48" si="213">SUM(BQ44:BQ46)</f>
        <v>0</v>
      </c>
      <c r="BR48" s="43">
        <f t="shared" si="213"/>
        <v>0</v>
      </c>
      <c r="BS48" s="43">
        <f t="shared" si="213"/>
        <v>0</v>
      </c>
      <c r="BT48" s="43">
        <f t="shared" si="213"/>
        <v>0</v>
      </c>
      <c r="BU48" s="43">
        <f t="shared" si="213"/>
        <v>0</v>
      </c>
      <c r="BV48" s="43">
        <f t="shared" si="213"/>
        <v>0</v>
      </c>
      <c r="BW48" s="43">
        <f t="shared" si="213"/>
        <v>0</v>
      </c>
      <c r="BX48" s="43">
        <f t="shared" si="213"/>
        <v>0</v>
      </c>
      <c r="BY48" s="43">
        <f t="shared" si="213"/>
        <v>0</v>
      </c>
      <c r="BZ48" s="43">
        <f t="shared" si="213"/>
        <v>0</v>
      </c>
      <c r="CA48" s="43">
        <f t="shared" si="213"/>
        <v>0</v>
      </c>
      <c r="CB48" s="43">
        <f t="shared" si="213"/>
        <v>0</v>
      </c>
      <c r="CC48" s="43">
        <f t="shared" si="213"/>
        <v>0</v>
      </c>
      <c r="CD48" s="43">
        <f t="shared" si="213"/>
        <v>0</v>
      </c>
      <c r="CE48" s="43">
        <f t="shared" si="213"/>
        <v>0</v>
      </c>
      <c r="CF48" s="43">
        <f t="shared" si="213"/>
        <v>0</v>
      </c>
      <c r="CG48" s="43">
        <f t="shared" si="213"/>
        <v>0</v>
      </c>
      <c r="CH48" s="43">
        <f t="shared" si="213"/>
        <v>0</v>
      </c>
      <c r="CI48" s="43">
        <f t="shared" si="213"/>
        <v>0</v>
      </c>
      <c r="CJ48" s="43">
        <f t="shared" si="213"/>
        <v>0</v>
      </c>
      <c r="CK48" s="43">
        <f t="shared" si="213"/>
        <v>0</v>
      </c>
      <c r="CL48" s="43">
        <f t="shared" si="213"/>
        <v>0</v>
      </c>
      <c r="CM48" s="43">
        <f t="shared" si="213"/>
        <v>0</v>
      </c>
      <c r="CN48" s="43">
        <f t="shared" si="213"/>
        <v>0</v>
      </c>
      <c r="CO48" s="43">
        <f t="shared" si="213"/>
        <v>0</v>
      </c>
      <c r="CP48" s="43">
        <f t="shared" si="213"/>
        <v>0</v>
      </c>
      <c r="CQ48" s="43">
        <f t="shared" si="213"/>
        <v>0</v>
      </c>
      <c r="CR48" s="43">
        <f t="shared" si="213"/>
        <v>0</v>
      </c>
      <c r="CS48" s="43">
        <f t="shared" si="213"/>
        <v>0</v>
      </c>
      <c r="CT48" s="43">
        <f t="shared" si="213"/>
        <v>0</v>
      </c>
      <c r="CU48" s="43">
        <f t="shared" si="213"/>
        <v>0</v>
      </c>
      <c r="CV48" s="43">
        <f t="shared" si="213"/>
        <v>0</v>
      </c>
      <c r="CW48" s="43">
        <f t="shared" si="213"/>
        <v>0</v>
      </c>
      <c r="CX48" s="43">
        <f t="shared" si="213"/>
        <v>0</v>
      </c>
      <c r="CY48" s="43">
        <f t="shared" si="213"/>
        <v>0</v>
      </c>
      <c r="CZ48" s="43">
        <f t="shared" si="213"/>
        <v>0</v>
      </c>
      <c r="DA48" s="43">
        <f t="shared" si="213"/>
        <v>0</v>
      </c>
      <c r="DB48" s="43">
        <f t="shared" si="213"/>
        <v>0</v>
      </c>
      <c r="DC48" s="43">
        <f t="shared" si="213"/>
        <v>0</v>
      </c>
      <c r="DD48" s="43">
        <f t="shared" si="213"/>
        <v>0</v>
      </c>
      <c r="DE48" s="43">
        <f t="shared" si="213"/>
        <v>0</v>
      </c>
      <c r="DF48" s="43">
        <f t="shared" si="213"/>
        <v>0</v>
      </c>
      <c r="DG48" s="43">
        <f t="shared" si="213"/>
        <v>0</v>
      </c>
      <c r="DH48" s="43">
        <f t="shared" si="213"/>
        <v>0</v>
      </c>
      <c r="DI48" s="43">
        <f t="shared" si="213"/>
        <v>0</v>
      </c>
      <c r="DJ48" s="43">
        <f t="shared" si="213"/>
        <v>0</v>
      </c>
      <c r="DK48" s="43">
        <f t="shared" si="213"/>
        <v>0</v>
      </c>
      <c r="DL48" s="43">
        <f t="shared" si="213"/>
        <v>0</v>
      </c>
      <c r="DM48" s="43">
        <f t="shared" si="213"/>
        <v>0</v>
      </c>
      <c r="DN48" s="43">
        <f t="shared" si="213"/>
        <v>0</v>
      </c>
      <c r="DO48" s="43">
        <f t="shared" si="213"/>
        <v>0</v>
      </c>
      <c r="DP48" s="43">
        <f t="shared" si="213"/>
        <v>0</v>
      </c>
      <c r="DQ48" s="43">
        <f t="shared" si="213"/>
        <v>0</v>
      </c>
      <c r="DR48" s="43">
        <f t="shared" si="213"/>
        <v>0</v>
      </c>
      <c r="DS48" s="43">
        <f t="shared" si="213"/>
        <v>0</v>
      </c>
      <c r="DT48" s="43">
        <f t="shared" si="213"/>
        <v>0</v>
      </c>
      <c r="DU48" s="43">
        <f t="shared" si="213"/>
        <v>0</v>
      </c>
      <c r="DV48" s="43">
        <f t="shared" si="213"/>
        <v>0</v>
      </c>
      <c r="DW48" s="43">
        <f t="shared" si="213"/>
        <v>0</v>
      </c>
      <c r="DX48" s="43">
        <f t="shared" si="213"/>
        <v>0</v>
      </c>
      <c r="DY48" s="43">
        <f t="shared" si="213"/>
        <v>0</v>
      </c>
      <c r="DZ48" s="43">
        <f t="shared" si="213"/>
        <v>0</v>
      </c>
      <c r="EA48" s="43">
        <f t="shared" si="213"/>
        <v>0</v>
      </c>
      <c r="EB48" s="43">
        <f t="shared" si="213"/>
        <v>0</v>
      </c>
      <c r="EC48" s="43">
        <f t="shared" ref="EC48:EE48" si="214">SUM(EC44:EC46)</f>
        <v>0</v>
      </c>
      <c r="ED48" s="43">
        <f t="shared" si="214"/>
        <v>0</v>
      </c>
      <c r="EE48" s="44">
        <f t="shared" si="214"/>
        <v>0</v>
      </c>
    </row>
    <row r="49" spans="1:135" x14ac:dyDescent="0.35">
      <c r="A49" s="47"/>
      <c r="B49" s="34" t="s">
        <v>53</v>
      </c>
      <c r="C49" s="37">
        <f>C46/$F$4*$E$4</f>
        <v>0</v>
      </c>
      <c r="D49" s="37">
        <f t="shared" ref="D49:BO49" si="215">D46/$F$4*$E$4</f>
        <v>3775.3967714748078</v>
      </c>
      <c r="E49" s="37">
        <f t="shared" si="215"/>
        <v>3820.2121330949412</v>
      </c>
      <c r="F49" s="37">
        <f t="shared" si="215"/>
        <v>3865.210078045719</v>
      </c>
      <c r="G49" s="37">
        <f t="shared" si="215"/>
        <v>3910.3913501942425</v>
      </c>
      <c r="H49" s="37">
        <f t="shared" si="215"/>
        <v>3955.7566964381954</v>
      </c>
      <c r="I49" s="37">
        <f t="shared" si="215"/>
        <v>4001.3068667182374</v>
      </c>
      <c r="J49" s="37">
        <f t="shared" si="215"/>
        <v>4047.042614030368</v>
      </c>
      <c r="K49" s="37">
        <f t="shared" si="215"/>
        <v>4092.9646944383844</v>
      </c>
      <c r="L49" s="37">
        <f t="shared" si="215"/>
        <v>4139.0738670863857</v>
      </c>
      <c r="M49" s="37">
        <f t="shared" si="215"/>
        <v>4185.3708942113153</v>
      </c>
      <c r="N49" s="37">
        <f t="shared" si="215"/>
        <v>4231.8565411555683</v>
      </c>
      <c r="O49" s="37">
        <f t="shared" si="215"/>
        <v>4278.5315763796334</v>
      </c>
      <c r="P49" s="37">
        <f t="shared" si="215"/>
        <v>4325.3967714748096</v>
      </c>
      <c r="Q49" s="37">
        <f t="shared" si="215"/>
        <v>4372.4529011759487</v>
      </c>
      <c r="R49" s="37">
        <f t="shared" si="215"/>
        <v>4419.7007433742656</v>
      </c>
      <c r="S49" s="37">
        <f t="shared" si="215"/>
        <v>4467.1410791302133</v>
      </c>
      <c r="T49" s="37">
        <f t="shared" si="215"/>
        <v>4514.7746926863674</v>
      </c>
      <c r="U49" s="37">
        <f t="shared" si="215"/>
        <v>4562.6023714804096</v>
      </c>
      <c r="V49" s="37">
        <f t="shared" si="215"/>
        <v>4610.6249061581457</v>
      </c>
      <c r="W49" s="37">
        <f t="shared" si="215"/>
        <v>4658.8430905865625</v>
      </c>
      <c r="X49" s="37">
        <f t="shared" si="215"/>
        <v>4707.2577218669649</v>
      </c>
      <c r="Y49" s="37">
        <f t="shared" si="215"/>
        <v>4755.86960034814</v>
      </c>
      <c r="Z49" s="37">
        <f t="shared" si="215"/>
        <v>4804.6795296396067</v>
      </c>
      <c r="AA49" s="37">
        <f t="shared" si="215"/>
        <v>4853.6883166248754</v>
      </c>
      <c r="AB49" s="37">
        <f t="shared" si="215"/>
        <v>4902.8967714748105</v>
      </c>
      <c r="AC49" s="37">
        <f t="shared" si="215"/>
        <v>4952.305707661003</v>
      </c>
      <c r="AD49" s="37">
        <f t="shared" si="215"/>
        <v>5001.9159419692414</v>
      </c>
      <c r="AE49" s="37">
        <f t="shared" si="215"/>
        <v>5051.7282945129846</v>
      </c>
      <c r="AF49" s="37">
        <f t="shared" si="215"/>
        <v>5101.7435887469464</v>
      </c>
      <c r="AG49" s="37">
        <f t="shared" si="215"/>
        <v>5151.9626514806905</v>
      </c>
      <c r="AH49" s="37">
        <f t="shared" si="215"/>
        <v>5202.386312892314</v>
      </c>
      <c r="AI49" s="37">
        <f t="shared" si="215"/>
        <v>5253.015406542152</v>
      </c>
      <c r="AJ49" s="37">
        <f t="shared" si="215"/>
        <v>5303.8507693865704</v>
      </c>
      <c r="AK49" s="37">
        <f t="shared" si="215"/>
        <v>5354.8932417918077</v>
      </c>
      <c r="AL49" s="37">
        <f t="shared" si="215"/>
        <v>5406.1436675478462</v>
      </c>
      <c r="AM49" s="37">
        <f t="shared" si="215"/>
        <v>5457.6028938823802</v>
      </c>
      <c r="AN49" s="37">
        <f t="shared" si="215"/>
        <v>5509.2717714748096</v>
      </c>
      <c r="AO49" s="37">
        <f t="shared" si="215"/>
        <v>5561.1511544703144</v>
      </c>
      <c r="AP49" s="37">
        <f t="shared" si="215"/>
        <v>5613.2419004939647</v>
      </c>
      <c r="AQ49" s="37">
        <f t="shared" si="215"/>
        <v>5665.5448706648931</v>
      </c>
      <c r="AR49" s="37">
        <f t="shared" si="215"/>
        <v>5718.0609296105513</v>
      </c>
      <c r="AS49" s="37">
        <f t="shared" si="215"/>
        <v>5770.7909454809851</v>
      </c>
      <c r="AT49" s="37">
        <f t="shared" si="215"/>
        <v>5823.7357899631897</v>
      </c>
      <c r="AU49" s="37">
        <f t="shared" si="215"/>
        <v>5876.8963382955208</v>
      </c>
      <c r="AV49" s="37">
        <f t="shared" si="215"/>
        <v>5930.2734692821596</v>
      </c>
      <c r="AW49" s="37">
        <f t="shared" si="215"/>
        <v>5983.868065307659</v>
      </c>
      <c r="AX49" s="37">
        <f t="shared" si="215"/>
        <v>6037.6810123515006</v>
      </c>
      <c r="AY49" s="37">
        <f t="shared" si="215"/>
        <v>6091.7132000027595</v>
      </c>
      <c r="AZ49" s="37">
        <f t="shared" si="215"/>
        <v>6145.9655214748072</v>
      </c>
      <c r="BA49" s="37">
        <f t="shared" si="215"/>
        <v>6200.4388736200926</v>
      </c>
      <c r="BB49" s="37">
        <f t="shared" si="215"/>
        <v>6255.1341569449214</v>
      </c>
      <c r="BC49" s="37">
        <f t="shared" si="215"/>
        <v>6310.052275624399</v>
      </c>
      <c r="BD49" s="37">
        <f t="shared" si="215"/>
        <v>6365.194137517341</v>
      </c>
      <c r="BE49" s="37">
        <f t="shared" si="215"/>
        <v>6420.560654181294</v>
      </c>
      <c r="BF49" s="37">
        <f t="shared" si="215"/>
        <v>6476.1527408876082</v>
      </c>
      <c r="BG49" s="37">
        <f t="shared" si="215"/>
        <v>6531.9713166365545</v>
      </c>
      <c r="BH49" s="37">
        <f t="shared" si="215"/>
        <v>6588.017304172532</v>
      </c>
      <c r="BI49" s="37">
        <f t="shared" si="215"/>
        <v>6644.2916299993012</v>
      </c>
      <c r="BJ49" s="37">
        <f t="shared" si="215"/>
        <v>6700.795224395335</v>
      </c>
      <c r="BK49" s="37">
        <f t="shared" si="215"/>
        <v>1415717.8888782025</v>
      </c>
      <c r="BL49" s="37">
        <f t="shared" si="215"/>
        <v>0</v>
      </c>
      <c r="BM49" s="37">
        <f t="shared" si="215"/>
        <v>0</v>
      </c>
      <c r="BN49" s="37">
        <f t="shared" si="215"/>
        <v>0</v>
      </c>
      <c r="BO49" s="37">
        <f t="shared" si="215"/>
        <v>0</v>
      </c>
      <c r="BP49" s="37">
        <f t="shared" ref="BP49:EA49" si="216">BP46/$F$4*$E$4</f>
        <v>0</v>
      </c>
      <c r="BQ49" s="37">
        <f t="shared" si="216"/>
        <v>0</v>
      </c>
      <c r="BR49" s="37">
        <f t="shared" si="216"/>
        <v>0</v>
      </c>
      <c r="BS49" s="37">
        <f t="shared" si="216"/>
        <v>0</v>
      </c>
      <c r="BT49" s="37">
        <f t="shared" si="216"/>
        <v>0</v>
      </c>
      <c r="BU49" s="37">
        <f t="shared" si="216"/>
        <v>0</v>
      </c>
      <c r="BV49" s="37">
        <f t="shared" si="216"/>
        <v>0</v>
      </c>
      <c r="BW49" s="37">
        <f t="shared" si="216"/>
        <v>0</v>
      </c>
      <c r="BX49" s="37">
        <f t="shared" si="216"/>
        <v>0</v>
      </c>
      <c r="BY49" s="37">
        <f t="shared" si="216"/>
        <v>0</v>
      </c>
      <c r="BZ49" s="37">
        <f t="shared" si="216"/>
        <v>0</v>
      </c>
      <c r="CA49" s="37">
        <f t="shared" si="216"/>
        <v>0</v>
      </c>
      <c r="CB49" s="37">
        <f t="shared" si="216"/>
        <v>0</v>
      </c>
      <c r="CC49" s="37">
        <f t="shared" si="216"/>
        <v>0</v>
      </c>
      <c r="CD49" s="37">
        <f t="shared" si="216"/>
        <v>0</v>
      </c>
      <c r="CE49" s="37">
        <f t="shared" si="216"/>
        <v>0</v>
      </c>
      <c r="CF49" s="37">
        <f t="shared" si="216"/>
        <v>0</v>
      </c>
      <c r="CG49" s="37">
        <f t="shared" si="216"/>
        <v>0</v>
      </c>
      <c r="CH49" s="37">
        <f t="shared" si="216"/>
        <v>0</v>
      </c>
      <c r="CI49" s="37">
        <f t="shared" si="216"/>
        <v>0</v>
      </c>
      <c r="CJ49" s="37">
        <f t="shared" si="216"/>
        <v>0</v>
      </c>
      <c r="CK49" s="37">
        <f t="shared" si="216"/>
        <v>0</v>
      </c>
      <c r="CL49" s="37">
        <f t="shared" si="216"/>
        <v>0</v>
      </c>
      <c r="CM49" s="37">
        <f t="shared" si="216"/>
        <v>0</v>
      </c>
      <c r="CN49" s="37">
        <f t="shared" si="216"/>
        <v>0</v>
      </c>
      <c r="CO49" s="37">
        <f t="shared" si="216"/>
        <v>0</v>
      </c>
      <c r="CP49" s="37">
        <f t="shared" si="216"/>
        <v>0</v>
      </c>
      <c r="CQ49" s="37">
        <f t="shared" si="216"/>
        <v>0</v>
      </c>
      <c r="CR49" s="37">
        <f t="shared" si="216"/>
        <v>0</v>
      </c>
      <c r="CS49" s="37">
        <f t="shared" si="216"/>
        <v>0</v>
      </c>
      <c r="CT49" s="37">
        <f t="shared" si="216"/>
        <v>0</v>
      </c>
      <c r="CU49" s="37">
        <f t="shared" si="216"/>
        <v>0</v>
      </c>
      <c r="CV49" s="37">
        <f t="shared" si="216"/>
        <v>0</v>
      </c>
      <c r="CW49" s="37">
        <f t="shared" si="216"/>
        <v>0</v>
      </c>
      <c r="CX49" s="37">
        <f t="shared" si="216"/>
        <v>0</v>
      </c>
      <c r="CY49" s="37">
        <f t="shared" si="216"/>
        <v>0</v>
      </c>
      <c r="CZ49" s="37">
        <f t="shared" si="216"/>
        <v>0</v>
      </c>
      <c r="DA49" s="37">
        <f t="shared" si="216"/>
        <v>0</v>
      </c>
      <c r="DB49" s="37">
        <f t="shared" si="216"/>
        <v>0</v>
      </c>
      <c r="DC49" s="37">
        <f t="shared" si="216"/>
        <v>0</v>
      </c>
      <c r="DD49" s="37">
        <f t="shared" si="216"/>
        <v>0</v>
      </c>
      <c r="DE49" s="37">
        <f t="shared" si="216"/>
        <v>0</v>
      </c>
      <c r="DF49" s="37">
        <f t="shared" si="216"/>
        <v>0</v>
      </c>
      <c r="DG49" s="37">
        <f t="shared" si="216"/>
        <v>0</v>
      </c>
      <c r="DH49" s="37">
        <f t="shared" si="216"/>
        <v>0</v>
      </c>
      <c r="DI49" s="37">
        <f t="shared" si="216"/>
        <v>0</v>
      </c>
      <c r="DJ49" s="37">
        <f t="shared" si="216"/>
        <v>0</v>
      </c>
      <c r="DK49" s="37">
        <f t="shared" si="216"/>
        <v>0</v>
      </c>
      <c r="DL49" s="37">
        <f t="shared" si="216"/>
        <v>0</v>
      </c>
      <c r="DM49" s="37">
        <f t="shared" si="216"/>
        <v>0</v>
      </c>
      <c r="DN49" s="37">
        <f t="shared" si="216"/>
        <v>0</v>
      </c>
      <c r="DO49" s="37">
        <f t="shared" si="216"/>
        <v>0</v>
      </c>
      <c r="DP49" s="37">
        <f t="shared" si="216"/>
        <v>0</v>
      </c>
      <c r="DQ49" s="37">
        <f t="shared" si="216"/>
        <v>0</v>
      </c>
      <c r="DR49" s="37">
        <f t="shared" si="216"/>
        <v>0</v>
      </c>
      <c r="DS49" s="37">
        <f t="shared" si="216"/>
        <v>0</v>
      </c>
      <c r="DT49" s="37">
        <f t="shared" si="216"/>
        <v>0</v>
      </c>
      <c r="DU49" s="37">
        <f t="shared" si="216"/>
        <v>0</v>
      </c>
      <c r="DV49" s="37">
        <f t="shared" si="216"/>
        <v>0</v>
      </c>
      <c r="DW49" s="37">
        <f t="shared" si="216"/>
        <v>0</v>
      </c>
      <c r="DX49" s="37">
        <f t="shared" si="216"/>
        <v>0</v>
      </c>
      <c r="DY49" s="37">
        <f t="shared" si="216"/>
        <v>0</v>
      </c>
      <c r="DZ49" s="37">
        <f t="shared" si="216"/>
        <v>0</v>
      </c>
      <c r="EA49" s="37">
        <f t="shared" si="216"/>
        <v>0</v>
      </c>
      <c r="EB49" s="37">
        <f t="shared" ref="EB49:EE49" si="217">EB46/$F$4*$E$4</f>
        <v>0</v>
      </c>
      <c r="EC49" s="37">
        <f t="shared" si="217"/>
        <v>0</v>
      </c>
      <c r="ED49" s="37">
        <f t="shared" si="217"/>
        <v>0</v>
      </c>
      <c r="EE49" s="37">
        <f t="shared" si="217"/>
        <v>0</v>
      </c>
    </row>
    <row r="50" spans="1:135" x14ac:dyDescent="0.35">
      <c r="B50" s="35" t="s">
        <v>56</v>
      </c>
      <c r="C50" s="39">
        <f>SUM(C49,C46)</f>
        <v>0</v>
      </c>
      <c r="D50" s="39">
        <f t="shared" ref="D50:BO50" si="218">SUM(D49,D46)</f>
        <v>15730.819881145031</v>
      </c>
      <c r="E50" s="39">
        <f t="shared" si="218"/>
        <v>15917.550554562255</v>
      </c>
      <c r="F50" s="39">
        <f t="shared" si="218"/>
        <v>16105.041991857161</v>
      </c>
      <c r="G50" s="39">
        <f t="shared" si="218"/>
        <v>16293.297292476009</v>
      </c>
      <c r="H50" s="39">
        <f t="shared" si="218"/>
        <v>16482.319568492479</v>
      </c>
      <c r="I50" s="39">
        <f t="shared" si="218"/>
        <v>16672.111944659322</v>
      </c>
      <c r="J50" s="39">
        <f t="shared" si="218"/>
        <v>16862.677558459865</v>
      </c>
      <c r="K50" s="39">
        <f t="shared" si="218"/>
        <v>17054.019560159933</v>
      </c>
      <c r="L50" s="39">
        <f t="shared" si="218"/>
        <v>17246.141112859939</v>
      </c>
      <c r="M50" s="39">
        <f t="shared" si="218"/>
        <v>17439.045392547145</v>
      </c>
      <c r="N50" s="39">
        <f t="shared" si="218"/>
        <v>17632.7355881482</v>
      </c>
      <c r="O50" s="39">
        <f t="shared" si="218"/>
        <v>17827.214901581803</v>
      </c>
      <c r="P50" s="39">
        <f t="shared" si="218"/>
        <v>18022.486547811706</v>
      </c>
      <c r="Q50" s="39">
        <f t="shared" si="218"/>
        <v>18218.553754899785</v>
      </c>
      <c r="R50" s="39">
        <f t="shared" si="218"/>
        <v>18415.419764059439</v>
      </c>
      <c r="S50" s="39">
        <f t="shared" si="218"/>
        <v>18613.08782970922</v>
      </c>
      <c r="T50" s="39">
        <f t="shared" si="218"/>
        <v>18811.561219526528</v>
      </c>
      <c r="U50" s="39">
        <f t="shared" si="218"/>
        <v>19010.843214501707</v>
      </c>
      <c r="V50" s="39">
        <f t="shared" si="218"/>
        <v>19210.937108992272</v>
      </c>
      <c r="W50" s="39">
        <f t="shared" si="218"/>
        <v>19411.846210777341</v>
      </c>
      <c r="X50" s="39">
        <f t="shared" si="218"/>
        <v>19613.573841112353</v>
      </c>
      <c r="Y50" s="39">
        <f t="shared" si="218"/>
        <v>19816.123334783915</v>
      </c>
      <c r="Z50" s="39">
        <f t="shared" si="218"/>
        <v>20019.498040165028</v>
      </c>
      <c r="AA50" s="39">
        <f t="shared" si="218"/>
        <v>20223.701319270313</v>
      </c>
      <c r="AB50" s="39">
        <f t="shared" si="218"/>
        <v>20428.73654781171</v>
      </c>
      <c r="AC50" s="39">
        <f t="shared" si="218"/>
        <v>20634.607115254177</v>
      </c>
      <c r="AD50" s="39">
        <f t="shared" si="218"/>
        <v>20841.316424871839</v>
      </c>
      <c r="AE50" s="39">
        <f t="shared" si="218"/>
        <v>21048.867893804101</v>
      </c>
      <c r="AF50" s="39">
        <f t="shared" si="218"/>
        <v>21257.264953112273</v>
      </c>
      <c r="AG50" s="39">
        <f t="shared" si="218"/>
        <v>21466.511047836208</v>
      </c>
      <c r="AH50" s="39">
        <f t="shared" si="218"/>
        <v>21676.609637051308</v>
      </c>
      <c r="AI50" s="39">
        <f t="shared" si="218"/>
        <v>21887.564193925631</v>
      </c>
      <c r="AJ50" s="39">
        <f t="shared" si="218"/>
        <v>22099.378205777379</v>
      </c>
      <c r="AK50" s="39">
        <f t="shared" si="218"/>
        <v>22312.055174132529</v>
      </c>
      <c r="AL50" s="39">
        <f t="shared" si="218"/>
        <v>22525.598614782692</v>
      </c>
      <c r="AM50" s="39">
        <f t="shared" si="218"/>
        <v>22740.012057843251</v>
      </c>
      <c r="AN50" s="39">
        <f t="shared" si="218"/>
        <v>22955.299047811706</v>
      </c>
      <c r="AO50" s="39">
        <f t="shared" si="218"/>
        <v>23171.463143626308</v>
      </c>
      <c r="AP50" s="39">
        <f t="shared" si="218"/>
        <v>23388.507918724852</v>
      </c>
      <c r="AQ50" s="39">
        <f t="shared" si="218"/>
        <v>23606.436961103718</v>
      </c>
      <c r="AR50" s="39">
        <f t="shared" si="218"/>
        <v>23825.253873377296</v>
      </c>
      <c r="AS50" s="39">
        <f t="shared" si="218"/>
        <v>24044.962272837438</v>
      </c>
      <c r="AT50" s="39">
        <f t="shared" si="218"/>
        <v>24265.565791513287</v>
      </c>
      <c r="AU50" s="39">
        <f t="shared" si="218"/>
        <v>24487.068076231335</v>
      </c>
      <c r="AV50" s="39">
        <f t="shared" si="218"/>
        <v>24709.472788675666</v>
      </c>
      <c r="AW50" s="39">
        <f t="shared" si="218"/>
        <v>24932.783605448578</v>
      </c>
      <c r="AX50" s="39">
        <f t="shared" si="218"/>
        <v>25157.004218131253</v>
      </c>
      <c r="AY50" s="39">
        <f t="shared" si="218"/>
        <v>25382.138333344828</v>
      </c>
      <c r="AZ50" s="39">
        <f t="shared" si="218"/>
        <v>25608.189672811699</v>
      </c>
      <c r="BA50" s="39">
        <f t="shared" si="218"/>
        <v>25835.161973417049</v>
      </c>
      <c r="BB50" s="39">
        <f t="shared" si="218"/>
        <v>26063.058987270502</v>
      </c>
      <c r="BC50" s="39">
        <f t="shared" si="218"/>
        <v>26291.884481768328</v>
      </c>
      <c r="BD50" s="39">
        <f t="shared" si="218"/>
        <v>26521.642239655586</v>
      </c>
      <c r="BE50" s="39">
        <f t="shared" si="218"/>
        <v>26752.336059088724</v>
      </c>
      <c r="BF50" s="39">
        <f t="shared" si="218"/>
        <v>26983.969753698366</v>
      </c>
      <c r="BG50" s="39">
        <f t="shared" si="218"/>
        <v>27216.547152652307</v>
      </c>
      <c r="BH50" s="39">
        <f t="shared" si="218"/>
        <v>27450.07210071888</v>
      </c>
      <c r="BI50" s="39">
        <f t="shared" si="218"/>
        <v>27684.548458330421</v>
      </c>
      <c r="BJ50" s="39">
        <f t="shared" si="218"/>
        <v>27919.980101647227</v>
      </c>
      <c r="BK50" s="39">
        <f t="shared" si="218"/>
        <v>5898824.5369925108</v>
      </c>
      <c r="BL50" s="39">
        <f t="shared" si="218"/>
        <v>0</v>
      </c>
      <c r="BM50" s="39">
        <f t="shared" si="218"/>
        <v>0</v>
      </c>
      <c r="BN50" s="39">
        <f t="shared" si="218"/>
        <v>0</v>
      </c>
      <c r="BO50" s="39">
        <f t="shared" si="218"/>
        <v>0</v>
      </c>
      <c r="BP50" s="39">
        <f t="shared" ref="BP50:EA50" si="219">SUM(BP49,BP46)</f>
        <v>0</v>
      </c>
      <c r="BQ50" s="39">
        <f t="shared" si="219"/>
        <v>0</v>
      </c>
      <c r="BR50" s="39">
        <f t="shared" si="219"/>
        <v>0</v>
      </c>
      <c r="BS50" s="39">
        <f t="shared" si="219"/>
        <v>0</v>
      </c>
      <c r="BT50" s="39">
        <f t="shared" si="219"/>
        <v>0</v>
      </c>
      <c r="BU50" s="39">
        <f t="shared" si="219"/>
        <v>0</v>
      </c>
      <c r="BV50" s="39">
        <f t="shared" si="219"/>
        <v>0</v>
      </c>
      <c r="BW50" s="39">
        <f t="shared" si="219"/>
        <v>0</v>
      </c>
      <c r="BX50" s="39">
        <f t="shared" si="219"/>
        <v>0</v>
      </c>
      <c r="BY50" s="39">
        <f t="shared" si="219"/>
        <v>0</v>
      </c>
      <c r="BZ50" s="39">
        <f t="shared" si="219"/>
        <v>0</v>
      </c>
      <c r="CA50" s="39">
        <f t="shared" si="219"/>
        <v>0</v>
      </c>
      <c r="CB50" s="39">
        <f t="shared" si="219"/>
        <v>0</v>
      </c>
      <c r="CC50" s="39">
        <f t="shared" si="219"/>
        <v>0</v>
      </c>
      <c r="CD50" s="39">
        <f t="shared" si="219"/>
        <v>0</v>
      </c>
      <c r="CE50" s="39">
        <f t="shared" si="219"/>
        <v>0</v>
      </c>
      <c r="CF50" s="39">
        <f t="shared" si="219"/>
        <v>0</v>
      </c>
      <c r="CG50" s="39">
        <f t="shared" si="219"/>
        <v>0</v>
      </c>
      <c r="CH50" s="39">
        <f t="shared" si="219"/>
        <v>0</v>
      </c>
      <c r="CI50" s="39">
        <f t="shared" si="219"/>
        <v>0</v>
      </c>
      <c r="CJ50" s="39">
        <f t="shared" si="219"/>
        <v>0</v>
      </c>
      <c r="CK50" s="39">
        <f t="shared" si="219"/>
        <v>0</v>
      </c>
      <c r="CL50" s="39">
        <f t="shared" si="219"/>
        <v>0</v>
      </c>
      <c r="CM50" s="39">
        <f t="shared" si="219"/>
        <v>0</v>
      </c>
      <c r="CN50" s="39">
        <f t="shared" si="219"/>
        <v>0</v>
      </c>
      <c r="CO50" s="39">
        <f t="shared" si="219"/>
        <v>0</v>
      </c>
      <c r="CP50" s="39">
        <f t="shared" si="219"/>
        <v>0</v>
      </c>
      <c r="CQ50" s="39">
        <f t="shared" si="219"/>
        <v>0</v>
      </c>
      <c r="CR50" s="39">
        <f t="shared" si="219"/>
        <v>0</v>
      </c>
      <c r="CS50" s="39">
        <f t="shared" si="219"/>
        <v>0</v>
      </c>
      <c r="CT50" s="39">
        <f t="shared" si="219"/>
        <v>0</v>
      </c>
      <c r="CU50" s="39">
        <f t="shared" si="219"/>
        <v>0</v>
      </c>
      <c r="CV50" s="39">
        <f t="shared" si="219"/>
        <v>0</v>
      </c>
      <c r="CW50" s="39">
        <f t="shared" si="219"/>
        <v>0</v>
      </c>
      <c r="CX50" s="39">
        <f t="shared" si="219"/>
        <v>0</v>
      </c>
      <c r="CY50" s="39">
        <f t="shared" si="219"/>
        <v>0</v>
      </c>
      <c r="CZ50" s="39">
        <f t="shared" si="219"/>
        <v>0</v>
      </c>
      <c r="DA50" s="39">
        <f t="shared" si="219"/>
        <v>0</v>
      </c>
      <c r="DB50" s="39">
        <f t="shared" si="219"/>
        <v>0</v>
      </c>
      <c r="DC50" s="39">
        <f t="shared" si="219"/>
        <v>0</v>
      </c>
      <c r="DD50" s="39">
        <f t="shared" si="219"/>
        <v>0</v>
      </c>
      <c r="DE50" s="39">
        <f t="shared" si="219"/>
        <v>0</v>
      </c>
      <c r="DF50" s="39">
        <f t="shared" si="219"/>
        <v>0</v>
      </c>
      <c r="DG50" s="39">
        <f t="shared" si="219"/>
        <v>0</v>
      </c>
      <c r="DH50" s="39">
        <f t="shared" si="219"/>
        <v>0</v>
      </c>
      <c r="DI50" s="39">
        <f t="shared" si="219"/>
        <v>0</v>
      </c>
      <c r="DJ50" s="39">
        <f t="shared" si="219"/>
        <v>0</v>
      </c>
      <c r="DK50" s="39">
        <f t="shared" si="219"/>
        <v>0</v>
      </c>
      <c r="DL50" s="39">
        <f t="shared" si="219"/>
        <v>0</v>
      </c>
      <c r="DM50" s="39">
        <f t="shared" si="219"/>
        <v>0</v>
      </c>
      <c r="DN50" s="39">
        <f t="shared" si="219"/>
        <v>0</v>
      </c>
      <c r="DO50" s="39">
        <f t="shared" si="219"/>
        <v>0</v>
      </c>
      <c r="DP50" s="39">
        <f t="shared" si="219"/>
        <v>0</v>
      </c>
      <c r="DQ50" s="39">
        <f t="shared" si="219"/>
        <v>0</v>
      </c>
      <c r="DR50" s="39">
        <f t="shared" si="219"/>
        <v>0</v>
      </c>
      <c r="DS50" s="39">
        <f t="shared" si="219"/>
        <v>0</v>
      </c>
      <c r="DT50" s="39">
        <f t="shared" si="219"/>
        <v>0</v>
      </c>
      <c r="DU50" s="39">
        <f t="shared" si="219"/>
        <v>0</v>
      </c>
      <c r="DV50" s="39">
        <f t="shared" si="219"/>
        <v>0</v>
      </c>
      <c r="DW50" s="39">
        <f t="shared" si="219"/>
        <v>0</v>
      </c>
      <c r="DX50" s="39">
        <f t="shared" si="219"/>
        <v>0</v>
      </c>
      <c r="DY50" s="39">
        <f t="shared" si="219"/>
        <v>0</v>
      </c>
      <c r="DZ50" s="39">
        <f t="shared" si="219"/>
        <v>0</v>
      </c>
      <c r="EA50" s="39">
        <f t="shared" si="219"/>
        <v>0</v>
      </c>
      <c r="EB50" s="39">
        <f t="shared" ref="EB50:EE50" si="220">SUM(EB49,EB46)</f>
        <v>0</v>
      </c>
      <c r="EC50" s="39">
        <f t="shared" si="220"/>
        <v>0</v>
      </c>
      <c r="ED50" s="39">
        <f t="shared" si="220"/>
        <v>0</v>
      </c>
      <c r="EE50" s="39">
        <f t="shared" si="220"/>
        <v>0</v>
      </c>
    </row>
    <row r="51" spans="1:135" x14ac:dyDescent="0.35">
      <c r="B51" s="35" t="s">
        <v>57</v>
      </c>
      <c r="C51" s="39">
        <f>MAX(C26-C38-C50,0)</f>
        <v>0</v>
      </c>
      <c r="D51" s="39">
        <f t="shared" ref="D51:BO51" si="221">MAX(D26-D38-D50,0)</f>
        <v>0</v>
      </c>
      <c r="E51" s="39">
        <f t="shared" si="221"/>
        <v>0</v>
      </c>
      <c r="F51" s="39">
        <f t="shared" si="221"/>
        <v>0</v>
      </c>
      <c r="G51" s="39">
        <f t="shared" si="221"/>
        <v>0</v>
      </c>
      <c r="H51" s="39">
        <f t="shared" si="221"/>
        <v>0</v>
      </c>
      <c r="I51" s="39">
        <f t="shared" si="221"/>
        <v>0</v>
      </c>
      <c r="J51" s="39">
        <f t="shared" si="221"/>
        <v>0</v>
      </c>
      <c r="K51" s="39">
        <f t="shared" si="221"/>
        <v>0</v>
      </c>
      <c r="L51" s="39">
        <f t="shared" si="221"/>
        <v>0</v>
      </c>
      <c r="M51" s="39">
        <f t="shared" si="221"/>
        <v>0</v>
      </c>
      <c r="N51" s="39">
        <f t="shared" si="221"/>
        <v>0</v>
      </c>
      <c r="O51" s="39">
        <f t="shared" si="221"/>
        <v>0</v>
      </c>
      <c r="P51" s="39">
        <f t="shared" si="221"/>
        <v>0</v>
      </c>
      <c r="Q51" s="39">
        <f t="shared" si="221"/>
        <v>0</v>
      </c>
      <c r="R51" s="39">
        <f t="shared" si="221"/>
        <v>0</v>
      </c>
      <c r="S51" s="39">
        <f t="shared" si="221"/>
        <v>0</v>
      </c>
      <c r="T51" s="39">
        <f t="shared" si="221"/>
        <v>0</v>
      </c>
      <c r="U51" s="39">
        <f t="shared" si="221"/>
        <v>0</v>
      </c>
      <c r="V51" s="39">
        <f t="shared" si="221"/>
        <v>0</v>
      </c>
      <c r="W51" s="39">
        <f t="shared" si="221"/>
        <v>0</v>
      </c>
      <c r="X51" s="39">
        <f t="shared" si="221"/>
        <v>0</v>
      </c>
      <c r="Y51" s="39">
        <f t="shared" si="221"/>
        <v>0</v>
      </c>
      <c r="Z51" s="39">
        <f t="shared" si="221"/>
        <v>0</v>
      </c>
      <c r="AA51" s="39">
        <f t="shared" si="221"/>
        <v>0</v>
      </c>
      <c r="AB51" s="39">
        <f t="shared" si="221"/>
        <v>0</v>
      </c>
      <c r="AC51" s="39">
        <f t="shared" si="221"/>
        <v>0</v>
      </c>
      <c r="AD51" s="39">
        <f t="shared" si="221"/>
        <v>0</v>
      </c>
      <c r="AE51" s="39">
        <f t="shared" si="221"/>
        <v>0</v>
      </c>
      <c r="AF51" s="39">
        <f t="shared" si="221"/>
        <v>0</v>
      </c>
      <c r="AG51" s="39">
        <f t="shared" si="221"/>
        <v>0</v>
      </c>
      <c r="AH51" s="39">
        <f t="shared" si="221"/>
        <v>0</v>
      </c>
      <c r="AI51" s="39">
        <f t="shared" si="221"/>
        <v>0</v>
      </c>
      <c r="AJ51" s="39">
        <f t="shared" si="221"/>
        <v>0</v>
      </c>
      <c r="AK51" s="39">
        <f t="shared" si="221"/>
        <v>0</v>
      </c>
      <c r="AL51" s="39">
        <f t="shared" si="221"/>
        <v>0</v>
      </c>
      <c r="AM51" s="39">
        <f t="shared" si="221"/>
        <v>0</v>
      </c>
      <c r="AN51" s="39">
        <f t="shared" si="221"/>
        <v>0</v>
      </c>
      <c r="AO51" s="39">
        <f t="shared" si="221"/>
        <v>0</v>
      </c>
      <c r="AP51" s="39">
        <f t="shared" si="221"/>
        <v>0</v>
      </c>
      <c r="AQ51" s="39">
        <f t="shared" si="221"/>
        <v>0</v>
      </c>
      <c r="AR51" s="39">
        <f t="shared" si="221"/>
        <v>0</v>
      </c>
      <c r="AS51" s="39">
        <f t="shared" si="221"/>
        <v>0</v>
      </c>
      <c r="AT51" s="39">
        <f t="shared" si="221"/>
        <v>0</v>
      </c>
      <c r="AU51" s="39">
        <f t="shared" si="221"/>
        <v>0</v>
      </c>
      <c r="AV51" s="39">
        <f t="shared" si="221"/>
        <v>0</v>
      </c>
      <c r="AW51" s="39">
        <f t="shared" si="221"/>
        <v>0</v>
      </c>
      <c r="AX51" s="39">
        <f t="shared" si="221"/>
        <v>0</v>
      </c>
      <c r="AY51" s="39">
        <f t="shared" si="221"/>
        <v>0</v>
      </c>
      <c r="AZ51" s="39">
        <f t="shared" si="221"/>
        <v>0</v>
      </c>
      <c r="BA51" s="39">
        <f t="shared" si="221"/>
        <v>0</v>
      </c>
      <c r="BB51" s="39">
        <f t="shared" si="221"/>
        <v>0</v>
      </c>
      <c r="BC51" s="39">
        <f t="shared" si="221"/>
        <v>0</v>
      </c>
      <c r="BD51" s="39">
        <f t="shared" si="221"/>
        <v>0</v>
      </c>
      <c r="BE51" s="39">
        <f t="shared" si="221"/>
        <v>0</v>
      </c>
      <c r="BF51" s="39">
        <f t="shared" si="221"/>
        <v>3.637978807091713E-12</v>
      </c>
      <c r="BG51" s="39">
        <f t="shared" si="221"/>
        <v>0</v>
      </c>
      <c r="BH51" s="39">
        <f t="shared" si="221"/>
        <v>0</v>
      </c>
      <c r="BI51" s="39">
        <f t="shared" si="221"/>
        <v>0</v>
      </c>
      <c r="BJ51" s="39">
        <f t="shared" si="221"/>
        <v>0</v>
      </c>
      <c r="BK51" s="39">
        <f t="shared" si="221"/>
        <v>0</v>
      </c>
      <c r="BL51" s="39">
        <f t="shared" si="221"/>
        <v>0</v>
      </c>
      <c r="BM51" s="39">
        <f t="shared" si="221"/>
        <v>0</v>
      </c>
      <c r="BN51" s="39">
        <f t="shared" si="221"/>
        <v>0</v>
      </c>
      <c r="BO51" s="39">
        <f t="shared" si="221"/>
        <v>0</v>
      </c>
      <c r="BP51" s="39">
        <f t="shared" ref="BP51:EA51" si="222">MAX(BP26-BP38-BP50,0)</f>
        <v>0</v>
      </c>
      <c r="BQ51" s="39">
        <f t="shared" si="222"/>
        <v>0</v>
      </c>
      <c r="BR51" s="39">
        <f t="shared" si="222"/>
        <v>0</v>
      </c>
      <c r="BS51" s="39">
        <f t="shared" si="222"/>
        <v>0</v>
      </c>
      <c r="BT51" s="39">
        <f t="shared" si="222"/>
        <v>0</v>
      </c>
      <c r="BU51" s="39">
        <f t="shared" si="222"/>
        <v>0</v>
      </c>
      <c r="BV51" s="39">
        <f t="shared" si="222"/>
        <v>0</v>
      </c>
      <c r="BW51" s="39">
        <f t="shared" si="222"/>
        <v>0</v>
      </c>
      <c r="BX51" s="39">
        <f t="shared" si="222"/>
        <v>0</v>
      </c>
      <c r="BY51" s="39">
        <f t="shared" si="222"/>
        <v>0</v>
      </c>
      <c r="BZ51" s="39">
        <f t="shared" si="222"/>
        <v>0</v>
      </c>
      <c r="CA51" s="39">
        <f t="shared" si="222"/>
        <v>0</v>
      </c>
      <c r="CB51" s="39">
        <f t="shared" si="222"/>
        <v>0</v>
      </c>
      <c r="CC51" s="39">
        <f t="shared" si="222"/>
        <v>0</v>
      </c>
      <c r="CD51" s="39">
        <f t="shared" si="222"/>
        <v>0</v>
      </c>
      <c r="CE51" s="39">
        <f t="shared" si="222"/>
        <v>0</v>
      </c>
      <c r="CF51" s="39">
        <f t="shared" si="222"/>
        <v>0</v>
      </c>
      <c r="CG51" s="39">
        <f t="shared" si="222"/>
        <v>0</v>
      </c>
      <c r="CH51" s="39">
        <f t="shared" si="222"/>
        <v>0</v>
      </c>
      <c r="CI51" s="39">
        <f t="shared" si="222"/>
        <v>0</v>
      </c>
      <c r="CJ51" s="39">
        <f t="shared" si="222"/>
        <v>0</v>
      </c>
      <c r="CK51" s="39">
        <f t="shared" si="222"/>
        <v>0</v>
      </c>
      <c r="CL51" s="39">
        <f t="shared" si="222"/>
        <v>0</v>
      </c>
      <c r="CM51" s="39">
        <f t="shared" si="222"/>
        <v>0</v>
      </c>
      <c r="CN51" s="39">
        <f t="shared" si="222"/>
        <v>0</v>
      </c>
      <c r="CO51" s="39">
        <f t="shared" si="222"/>
        <v>0</v>
      </c>
      <c r="CP51" s="39">
        <f t="shared" si="222"/>
        <v>0</v>
      </c>
      <c r="CQ51" s="39">
        <f t="shared" si="222"/>
        <v>0</v>
      </c>
      <c r="CR51" s="39">
        <f t="shared" si="222"/>
        <v>0</v>
      </c>
      <c r="CS51" s="39">
        <f t="shared" si="222"/>
        <v>0</v>
      </c>
      <c r="CT51" s="39">
        <f t="shared" si="222"/>
        <v>0</v>
      </c>
      <c r="CU51" s="39">
        <f t="shared" si="222"/>
        <v>0</v>
      </c>
      <c r="CV51" s="39">
        <f t="shared" si="222"/>
        <v>0</v>
      </c>
      <c r="CW51" s="39">
        <f t="shared" si="222"/>
        <v>0</v>
      </c>
      <c r="CX51" s="39">
        <f t="shared" si="222"/>
        <v>0</v>
      </c>
      <c r="CY51" s="39">
        <f t="shared" si="222"/>
        <v>0</v>
      </c>
      <c r="CZ51" s="39">
        <f t="shared" si="222"/>
        <v>0</v>
      </c>
      <c r="DA51" s="39">
        <f t="shared" si="222"/>
        <v>0</v>
      </c>
      <c r="DB51" s="39">
        <f t="shared" si="222"/>
        <v>0</v>
      </c>
      <c r="DC51" s="39">
        <f t="shared" si="222"/>
        <v>0</v>
      </c>
      <c r="DD51" s="39">
        <f t="shared" si="222"/>
        <v>0</v>
      </c>
      <c r="DE51" s="39">
        <f t="shared" si="222"/>
        <v>0</v>
      </c>
      <c r="DF51" s="39">
        <f t="shared" si="222"/>
        <v>0</v>
      </c>
      <c r="DG51" s="39">
        <f t="shared" si="222"/>
        <v>0</v>
      </c>
      <c r="DH51" s="39">
        <f t="shared" si="222"/>
        <v>0</v>
      </c>
      <c r="DI51" s="39">
        <f t="shared" si="222"/>
        <v>0</v>
      </c>
      <c r="DJ51" s="39">
        <f t="shared" si="222"/>
        <v>0</v>
      </c>
      <c r="DK51" s="39">
        <f t="shared" si="222"/>
        <v>0</v>
      </c>
      <c r="DL51" s="39">
        <f t="shared" si="222"/>
        <v>0</v>
      </c>
      <c r="DM51" s="39">
        <f t="shared" si="222"/>
        <v>0</v>
      </c>
      <c r="DN51" s="39">
        <f t="shared" si="222"/>
        <v>0</v>
      </c>
      <c r="DO51" s="39">
        <f t="shared" si="222"/>
        <v>0</v>
      </c>
      <c r="DP51" s="39">
        <f t="shared" si="222"/>
        <v>0</v>
      </c>
      <c r="DQ51" s="39">
        <f t="shared" si="222"/>
        <v>0</v>
      </c>
      <c r="DR51" s="39">
        <f t="shared" si="222"/>
        <v>0</v>
      </c>
      <c r="DS51" s="39">
        <f t="shared" si="222"/>
        <v>0</v>
      </c>
      <c r="DT51" s="39">
        <f t="shared" si="222"/>
        <v>0</v>
      </c>
      <c r="DU51" s="39">
        <f t="shared" si="222"/>
        <v>0</v>
      </c>
      <c r="DV51" s="39">
        <f t="shared" si="222"/>
        <v>0</v>
      </c>
      <c r="DW51" s="39">
        <f t="shared" si="222"/>
        <v>0</v>
      </c>
      <c r="DX51" s="39">
        <f t="shared" si="222"/>
        <v>0</v>
      </c>
      <c r="DY51" s="39">
        <f t="shared" si="222"/>
        <v>0</v>
      </c>
      <c r="DZ51" s="39">
        <f t="shared" si="222"/>
        <v>0</v>
      </c>
      <c r="EA51" s="39">
        <f t="shared" si="222"/>
        <v>0</v>
      </c>
      <c r="EB51" s="39">
        <f t="shared" ref="EB51:EE51" si="223">MAX(EB26-EB38-EB50,0)</f>
        <v>0</v>
      </c>
      <c r="EC51" s="39">
        <f t="shared" si="223"/>
        <v>0</v>
      </c>
      <c r="ED51" s="39">
        <f t="shared" si="223"/>
        <v>0</v>
      </c>
      <c r="EE51" s="39">
        <f t="shared" si="223"/>
        <v>0</v>
      </c>
    </row>
    <row r="52" spans="1:135" x14ac:dyDescent="0.35"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  <c r="BF52" s="12"/>
      <c r="BG52" s="12"/>
      <c r="BH52" s="12"/>
      <c r="BI52" s="12"/>
      <c r="BJ52" s="12"/>
      <c r="BK52" s="12"/>
      <c r="BL52" s="12"/>
      <c r="BM52" s="12"/>
      <c r="BN52" s="12"/>
      <c r="BO52" s="12"/>
      <c r="BP52" s="12"/>
      <c r="BQ52" s="12"/>
      <c r="BR52" s="12"/>
      <c r="BS52" s="12"/>
      <c r="BT52" s="12"/>
      <c r="BU52" s="12"/>
      <c r="BV52" s="12"/>
      <c r="BW52" s="12"/>
      <c r="BX52" s="12"/>
      <c r="BY52" s="12"/>
      <c r="BZ52" s="12"/>
      <c r="CA52" s="12"/>
      <c r="CB52" s="12"/>
      <c r="CC52" s="12"/>
      <c r="CD52" s="12"/>
      <c r="CE52" s="12"/>
      <c r="CF52" s="12"/>
      <c r="CG52" s="12"/>
      <c r="CH52" s="12"/>
      <c r="CI52" s="12"/>
      <c r="CJ52" s="12"/>
      <c r="CK52" s="12"/>
      <c r="CL52" s="12"/>
      <c r="CM52" s="12"/>
      <c r="CN52" s="12"/>
      <c r="CO52" s="12"/>
      <c r="CP52" s="12"/>
      <c r="CQ52" s="12"/>
      <c r="CR52" s="12"/>
      <c r="CS52" s="12"/>
      <c r="CT52" s="12"/>
      <c r="CU52" s="12"/>
      <c r="CV52" s="12"/>
      <c r="CW52" s="12"/>
      <c r="CX52" s="12"/>
      <c r="CY52" s="12"/>
      <c r="CZ52" s="12"/>
      <c r="DA52" s="12"/>
      <c r="DB52" s="12"/>
      <c r="DC52" s="12"/>
      <c r="DD52" s="12"/>
      <c r="DE52" s="12"/>
      <c r="DF52" s="12"/>
      <c r="DG52" s="12"/>
      <c r="DH52" s="12"/>
      <c r="DI52" s="12"/>
      <c r="DJ52" s="12"/>
      <c r="DK52" s="12"/>
      <c r="DL52" s="12"/>
      <c r="DM52" s="12"/>
      <c r="DN52" s="12"/>
      <c r="DO52" s="12"/>
      <c r="DP52" s="12"/>
      <c r="DQ52" s="12"/>
      <c r="DR52" s="12"/>
      <c r="DS52" s="12"/>
      <c r="DT52" s="12"/>
      <c r="DU52" s="12"/>
      <c r="DV52" s="12"/>
      <c r="DW52" s="12"/>
      <c r="DX52" s="12"/>
      <c r="DY52" s="12"/>
      <c r="DZ52" s="12"/>
      <c r="EA52" s="12"/>
      <c r="EB52" s="12"/>
      <c r="EC52" s="12"/>
      <c r="ED52" s="12"/>
      <c r="EE52" s="12"/>
    </row>
    <row r="53" spans="1:135" x14ac:dyDescent="0.35">
      <c r="B53" s="36" t="s">
        <v>7</v>
      </c>
      <c r="C53" s="10">
        <f>C41</f>
        <v>44377</v>
      </c>
      <c r="D53" s="10">
        <f t="shared" ref="D53:BO53" si="224">D41</f>
        <v>44408</v>
      </c>
      <c r="E53" s="10">
        <f t="shared" si="224"/>
        <v>44439</v>
      </c>
      <c r="F53" s="10">
        <f t="shared" si="224"/>
        <v>44469</v>
      </c>
      <c r="G53" s="10">
        <f t="shared" si="224"/>
        <v>44500</v>
      </c>
      <c r="H53" s="10">
        <f t="shared" si="224"/>
        <v>44530</v>
      </c>
      <c r="I53" s="10">
        <f t="shared" si="224"/>
        <v>44561</v>
      </c>
      <c r="J53" s="10">
        <f t="shared" si="224"/>
        <v>44592</v>
      </c>
      <c r="K53" s="10">
        <f t="shared" si="224"/>
        <v>44620</v>
      </c>
      <c r="L53" s="10">
        <f t="shared" si="224"/>
        <v>44651</v>
      </c>
      <c r="M53" s="10">
        <f t="shared" si="224"/>
        <v>44681</v>
      </c>
      <c r="N53" s="10">
        <f t="shared" si="224"/>
        <v>44712</v>
      </c>
      <c r="O53" s="10">
        <f t="shared" si="224"/>
        <v>44742</v>
      </c>
      <c r="P53" s="10">
        <f t="shared" si="224"/>
        <v>44773</v>
      </c>
      <c r="Q53" s="10">
        <f t="shared" si="224"/>
        <v>44804</v>
      </c>
      <c r="R53" s="10">
        <f t="shared" si="224"/>
        <v>44834</v>
      </c>
      <c r="S53" s="10">
        <f t="shared" si="224"/>
        <v>44865</v>
      </c>
      <c r="T53" s="10">
        <f t="shared" si="224"/>
        <v>44895</v>
      </c>
      <c r="U53" s="10">
        <f t="shared" si="224"/>
        <v>44926</v>
      </c>
      <c r="V53" s="10">
        <f t="shared" si="224"/>
        <v>44957</v>
      </c>
      <c r="W53" s="10">
        <f t="shared" si="224"/>
        <v>44985</v>
      </c>
      <c r="X53" s="10">
        <f t="shared" si="224"/>
        <v>45016</v>
      </c>
      <c r="Y53" s="10">
        <f t="shared" si="224"/>
        <v>45046</v>
      </c>
      <c r="Z53" s="10">
        <f t="shared" si="224"/>
        <v>45077</v>
      </c>
      <c r="AA53" s="10">
        <f t="shared" si="224"/>
        <v>45107</v>
      </c>
      <c r="AB53" s="10">
        <f t="shared" si="224"/>
        <v>45138</v>
      </c>
      <c r="AC53" s="10">
        <f t="shared" si="224"/>
        <v>45169</v>
      </c>
      <c r="AD53" s="10">
        <f t="shared" si="224"/>
        <v>45199</v>
      </c>
      <c r="AE53" s="10">
        <f t="shared" si="224"/>
        <v>45230</v>
      </c>
      <c r="AF53" s="10">
        <f t="shared" si="224"/>
        <v>45260</v>
      </c>
      <c r="AG53" s="10">
        <f t="shared" si="224"/>
        <v>45291</v>
      </c>
      <c r="AH53" s="10">
        <f t="shared" si="224"/>
        <v>45322</v>
      </c>
      <c r="AI53" s="10">
        <f t="shared" si="224"/>
        <v>45351</v>
      </c>
      <c r="AJ53" s="10">
        <f t="shared" si="224"/>
        <v>45382</v>
      </c>
      <c r="AK53" s="10">
        <f t="shared" si="224"/>
        <v>45412</v>
      </c>
      <c r="AL53" s="10">
        <f t="shared" si="224"/>
        <v>45443</v>
      </c>
      <c r="AM53" s="10">
        <f t="shared" si="224"/>
        <v>45473</v>
      </c>
      <c r="AN53" s="10">
        <f t="shared" si="224"/>
        <v>45504</v>
      </c>
      <c r="AO53" s="10">
        <f t="shared" si="224"/>
        <v>45535</v>
      </c>
      <c r="AP53" s="10">
        <f t="shared" si="224"/>
        <v>45565</v>
      </c>
      <c r="AQ53" s="10">
        <f t="shared" si="224"/>
        <v>45596</v>
      </c>
      <c r="AR53" s="10">
        <f t="shared" si="224"/>
        <v>45626</v>
      </c>
      <c r="AS53" s="10">
        <f t="shared" si="224"/>
        <v>45657</v>
      </c>
      <c r="AT53" s="10">
        <f t="shared" si="224"/>
        <v>45688</v>
      </c>
      <c r="AU53" s="10">
        <f t="shared" si="224"/>
        <v>45716</v>
      </c>
      <c r="AV53" s="10">
        <f t="shared" si="224"/>
        <v>45747</v>
      </c>
      <c r="AW53" s="10">
        <f t="shared" si="224"/>
        <v>45777</v>
      </c>
      <c r="AX53" s="10">
        <f t="shared" si="224"/>
        <v>45808</v>
      </c>
      <c r="AY53" s="10">
        <f t="shared" si="224"/>
        <v>45838</v>
      </c>
      <c r="AZ53" s="10">
        <f t="shared" si="224"/>
        <v>45869</v>
      </c>
      <c r="BA53" s="10">
        <f t="shared" si="224"/>
        <v>45900</v>
      </c>
      <c r="BB53" s="10">
        <f t="shared" si="224"/>
        <v>45930</v>
      </c>
      <c r="BC53" s="10">
        <f t="shared" si="224"/>
        <v>45961</v>
      </c>
      <c r="BD53" s="10">
        <f t="shared" si="224"/>
        <v>45991</v>
      </c>
      <c r="BE53" s="10">
        <f t="shared" si="224"/>
        <v>46022</v>
      </c>
      <c r="BF53" s="10">
        <f t="shared" si="224"/>
        <v>46053</v>
      </c>
      <c r="BG53" s="10">
        <f t="shared" si="224"/>
        <v>46081</v>
      </c>
      <c r="BH53" s="10">
        <f t="shared" si="224"/>
        <v>46112</v>
      </c>
      <c r="BI53" s="10">
        <f t="shared" si="224"/>
        <v>46142</v>
      </c>
      <c r="BJ53" s="10">
        <f t="shared" si="224"/>
        <v>46173</v>
      </c>
      <c r="BK53" s="10">
        <f t="shared" si="224"/>
        <v>46203</v>
      </c>
      <c r="BL53" s="10">
        <f t="shared" si="224"/>
        <v>46234</v>
      </c>
      <c r="BM53" s="10">
        <f t="shared" si="224"/>
        <v>46265</v>
      </c>
      <c r="BN53" s="10">
        <f t="shared" si="224"/>
        <v>46295</v>
      </c>
      <c r="BO53" s="10">
        <f t="shared" si="224"/>
        <v>46326</v>
      </c>
      <c r="BP53" s="10">
        <f t="shared" ref="BP53:EA53" si="225">BP41</f>
        <v>46356</v>
      </c>
      <c r="BQ53" s="10">
        <f t="shared" si="225"/>
        <v>46387</v>
      </c>
      <c r="BR53" s="10">
        <f t="shared" si="225"/>
        <v>46418</v>
      </c>
      <c r="BS53" s="10">
        <f t="shared" si="225"/>
        <v>46446</v>
      </c>
      <c r="BT53" s="10">
        <f t="shared" si="225"/>
        <v>46477</v>
      </c>
      <c r="BU53" s="10">
        <f t="shared" si="225"/>
        <v>46507</v>
      </c>
      <c r="BV53" s="10">
        <f t="shared" si="225"/>
        <v>46538</v>
      </c>
      <c r="BW53" s="10">
        <f t="shared" si="225"/>
        <v>46568</v>
      </c>
      <c r="BX53" s="10">
        <f t="shared" si="225"/>
        <v>46599</v>
      </c>
      <c r="BY53" s="10">
        <f t="shared" si="225"/>
        <v>46630</v>
      </c>
      <c r="BZ53" s="10">
        <f t="shared" si="225"/>
        <v>46660</v>
      </c>
      <c r="CA53" s="10">
        <f t="shared" si="225"/>
        <v>46691</v>
      </c>
      <c r="CB53" s="10">
        <f t="shared" si="225"/>
        <v>46721</v>
      </c>
      <c r="CC53" s="10">
        <f t="shared" si="225"/>
        <v>46752</v>
      </c>
      <c r="CD53" s="10">
        <f t="shared" si="225"/>
        <v>46783</v>
      </c>
      <c r="CE53" s="10">
        <f t="shared" si="225"/>
        <v>46812</v>
      </c>
      <c r="CF53" s="10">
        <f t="shared" si="225"/>
        <v>46843</v>
      </c>
      <c r="CG53" s="10">
        <f t="shared" si="225"/>
        <v>46873</v>
      </c>
      <c r="CH53" s="10">
        <f t="shared" si="225"/>
        <v>46904</v>
      </c>
      <c r="CI53" s="10">
        <f t="shared" si="225"/>
        <v>46934</v>
      </c>
      <c r="CJ53" s="10">
        <f t="shared" si="225"/>
        <v>46965</v>
      </c>
      <c r="CK53" s="10">
        <f t="shared" si="225"/>
        <v>46996</v>
      </c>
      <c r="CL53" s="10">
        <f t="shared" si="225"/>
        <v>47026</v>
      </c>
      <c r="CM53" s="10">
        <f t="shared" si="225"/>
        <v>47057</v>
      </c>
      <c r="CN53" s="10">
        <f t="shared" si="225"/>
        <v>47087</v>
      </c>
      <c r="CO53" s="10">
        <f t="shared" si="225"/>
        <v>47118</v>
      </c>
      <c r="CP53" s="10">
        <f t="shared" si="225"/>
        <v>47149</v>
      </c>
      <c r="CQ53" s="10">
        <f t="shared" si="225"/>
        <v>47177</v>
      </c>
      <c r="CR53" s="10">
        <f t="shared" si="225"/>
        <v>47208</v>
      </c>
      <c r="CS53" s="10">
        <f t="shared" si="225"/>
        <v>47238</v>
      </c>
      <c r="CT53" s="10">
        <f t="shared" si="225"/>
        <v>47269</v>
      </c>
      <c r="CU53" s="10">
        <f t="shared" si="225"/>
        <v>47299</v>
      </c>
      <c r="CV53" s="10">
        <f t="shared" si="225"/>
        <v>47330</v>
      </c>
      <c r="CW53" s="10">
        <f t="shared" si="225"/>
        <v>47361</v>
      </c>
      <c r="CX53" s="10">
        <f t="shared" si="225"/>
        <v>47391</v>
      </c>
      <c r="CY53" s="10">
        <f t="shared" si="225"/>
        <v>47422</v>
      </c>
      <c r="CZ53" s="10">
        <f t="shared" si="225"/>
        <v>47452</v>
      </c>
      <c r="DA53" s="10">
        <f t="shared" si="225"/>
        <v>47483</v>
      </c>
      <c r="DB53" s="10">
        <f t="shared" si="225"/>
        <v>47514</v>
      </c>
      <c r="DC53" s="10">
        <f t="shared" si="225"/>
        <v>47542</v>
      </c>
      <c r="DD53" s="10">
        <f t="shared" si="225"/>
        <v>47573</v>
      </c>
      <c r="DE53" s="10">
        <f t="shared" si="225"/>
        <v>47603</v>
      </c>
      <c r="DF53" s="10">
        <f t="shared" si="225"/>
        <v>47634</v>
      </c>
      <c r="DG53" s="10">
        <f t="shared" si="225"/>
        <v>47664</v>
      </c>
      <c r="DH53" s="10">
        <f t="shared" si="225"/>
        <v>47695</v>
      </c>
      <c r="DI53" s="10">
        <f t="shared" si="225"/>
        <v>47726</v>
      </c>
      <c r="DJ53" s="10">
        <f t="shared" si="225"/>
        <v>47756</v>
      </c>
      <c r="DK53" s="10">
        <f t="shared" si="225"/>
        <v>47787</v>
      </c>
      <c r="DL53" s="10">
        <f t="shared" si="225"/>
        <v>47817</v>
      </c>
      <c r="DM53" s="10">
        <f t="shared" si="225"/>
        <v>47848</v>
      </c>
      <c r="DN53" s="10">
        <f t="shared" si="225"/>
        <v>47879</v>
      </c>
      <c r="DO53" s="10">
        <f t="shared" si="225"/>
        <v>47907</v>
      </c>
      <c r="DP53" s="10">
        <f t="shared" si="225"/>
        <v>47938</v>
      </c>
      <c r="DQ53" s="10">
        <f t="shared" si="225"/>
        <v>47968</v>
      </c>
      <c r="DR53" s="10">
        <f t="shared" si="225"/>
        <v>47999</v>
      </c>
      <c r="DS53" s="10">
        <f t="shared" si="225"/>
        <v>48029</v>
      </c>
      <c r="DT53" s="10">
        <f t="shared" si="225"/>
        <v>48060</v>
      </c>
      <c r="DU53" s="10">
        <f t="shared" si="225"/>
        <v>48091</v>
      </c>
      <c r="DV53" s="10">
        <f t="shared" si="225"/>
        <v>48121</v>
      </c>
      <c r="DW53" s="10">
        <f t="shared" si="225"/>
        <v>48152</v>
      </c>
      <c r="DX53" s="10">
        <f t="shared" si="225"/>
        <v>48182</v>
      </c>
      <c r="DY53" s="10">
        <f t="shared" si="225"/>
        <v>48213</v>
      </c>
      <c r="DZ53" s="10">
        <f t="shared" si="225"/>
        <v>48244</v>
      </c>
      <c r="EA53" s="10">
        <f t="shared" si="225"/>
        <v>48273</v>
      </c>
      <c r="EB53" s="10">
        <f t="shared" ref="EB53:EE53" si="226">EB41</f>
        <v>48304</v>
      </c>
      <c r="EC53" s="10">
        <f t="shared" si="226"/>
        <v>48334</v>
      </c>
      <c r="ED53" s="10">
        <f t="shared" si="226"/>
        <v>48365</v>
      </c>
      <c r="EE53" s="10">
        <f t="shared" si="226"/>
        <v>48395</v>
      </c>
    </row>
    <row r="54" spans="1:135" x14ac:dyDescent="0.35">
      <c r="B54" s="33" t="s">
        <v>46</v>
      </c>
      <c r="C54" s="28">
        <v>0</v>
      </c>
      <c r="D54" s="13">
        <f>IF(D12&gt;$L$8,0,C59)</f>
        <v>3498375</v>
      </c>
      <c r="E54" s="13">
        <f t="shared" ref="E54:BP54" si="227">IF(E12&gt;$L$8,0,D59)</f>
        <v>3525568.418884994</v>
      </c>
      <c r="F54" s="13">
        <f t="shared" si="227"/>
        <v>3552924.2325619454</v>
      </c>
      <c r="G54" s="13">
        <f t="shared" si="227"/>
        <v>3579154.2045419742</v>
      </c>
      <c r="H54" s="13">
        <f t="shared" si="227"/>
        <v>3606824.106668625</v>
      </c>
      <c r="I54" s="13">
        <f t="shared" si="227"/>
        <v>3633350.9564169315</v>
      </c>
      <c r="J54" s="13">
        <f t="shared" si="227"/>
        <v>3661339.4524441971</v>
      </c>
      <c r="K54" s="13">
        <f t="shared" si="227"/>
        <v>3689496.3260823432</v>
      </c>
      <c r="L54" s="13">
        <f t="shared" si="227"/>
        <v>3713807.186555515</v>
      </c>
      <c r="M54" s="13">
        <f t="shared" si="227"/>
        <v>3742259.7722186232</v>
      </c>
      <c r="N54" s="13">
        <f t="shared" si="227"/>
        <v>3769525.959708239</v>
      </c>
      <c r="O54" s="13">
        <f t="shared" si="227"/>
        <v>3798308.2589058317</v>
      </c>
      <c r="P54" s="13">
        <f t="shared" si="227"/>
        <v>3825886.3107103282</v>
      </c>
      <c r="Q54" s="13">
        <f t="shared" si="227"/>
        <v>3855003.1041419227</v>
      </c>
      <c r="R54" s="13">
        <f t="shared" si="227"/>
        <v>3884296.7202747972</v>
      </c>
      <c r="S54" s="13">
        <f t="shared" si="227"/>
        <v>3912358.7889561341</v>
      </c>
      <c r="T54" s="13">
        <f t="shared" si="227"/>
        <v>3941994.4025172079</v>
      </c>
      <c r="U54" s="13">
        <f t="shared" si="227"/>
        <v>3970380.1337388828</v>
      </c>
      <c r="V54" s="13">
        <f t="shared" si="227"/>
        <v>4000362.7456530691</v>
      </c>
      <c r="W54" s="13">
        <f t="shared" si="227"/>
        <v>4030528.8089962848</v>
      </c>
      <c r="X54" s="13">
        <f t="shared" si="227"/>
        <v>4056492.888985212</v>
      </c>
      <c r="Y54" s="13">
        <f t="shared" si="227"/>
        <v>4086981.0772182331</v>
      </c>
      <c r="Z54" s="13">
        <f t="shared" si="227"/>
        <v>4116173.2055406617</v>
      </c>
      <c r="AA54" s="13">
        <f t="shared" si="227"/>
        <v>4147020.7486827266</v>
      </c>
      <c r="AB54" s="13">
        <f t="shared" si="227"/>
        <v>4176553.2060123784</v>
      </c>
      <c r="AC54" s="13">
        <f t="shared" si="227"/>
        <v>4207765.415057133</v>
      </c>
      <c r="AD54" s="13">
        <f t="shared" si="227"/>
        <v>4239170.4451633664</v>
      </c>
      <c r="AE54" s="13">
        <f t="shared" si="227"/>
        <v>4269231.2792543955</v>
      </c>
      <c r="AF54" s="13">
        <f t="shared" si="227"/>
        <v>4301009.3097812943</v>
      </c>
      <c r="AG54" s="13">
        <f t="shared" si="227"/>
        <v>4331423.5922918506</v>
      </c>
      <c r="AH54" s="13">
        <f t="shared" si="227"/>
        <v>4363580.1820172211</v>
      </c>
      <c r="AI54" s="13">
        <f t="shared" si="227"/>
        <v>4395936.947674186</v>
      </c>
      <c r="AJ54" s="13">
        <f t="shared" si="227"/>
        <v>4425305.1849524798</v>
      </c>
      <c r="AK54" s="13">
        <f t="shared" si="227"/>
        <v>4458031.3850221094</v>
      </c>
      <c r="AL54" s="13">
        <f t="shared" si="227"/>
        <v>4489344.2063229103</v>
      </c>
      <c r="AM54" s="13">
        <f t="shared" si="227"/>
        <v>4522463.1126128202</v>
      </c>
      <c r="AN54" s="13">
        <f t="shared" si="227"/>
        <v>4554148.3305839561</v>
      </c>
      <c r="AO54" s="13">
        <f t="shared" si="227"/>
        <v>4587665.8602202693</v>
      </c>
      <c r="AP54" s="13">
        <f t="shared" si="227"/>
        <v>4621394.1857088218</v>
      </c>
      <c r="AQ54" s="13">
        <f t="shared" si="227"/>
        <v>4653657.737408963</v>
      </c>
      <c r="AR54" s="13">
        <f t="shared" si="227"/>
        <v>4687793.9701147703</v>
      </c>
      <c r="AS54" s="13">
        <f t="shared" si="227"/>
        <v>4720444.548212748</v>
      </c>
      <c r="AT54" s="13">
        <f t="shared" si="227"/>
        <v>4754994.8847676385</v>
      </c>
      <c r="AU54" s="13">
        <f t="shared" si="227"/>
        <v>4789764.2009208621</v>
      </c>
      <c r="AV54" s="13">
        <f t="shared" si="227"/>
        <v>4819541.0365172178</v>
      </c>
      <c r="AW54" s="13">
        <f t="shared" si="227"/>
        <v>4854695.2921663206</v>
      </c>
      <c r="AX54" s="13">
        <f t="shared" si="227"/>
        <v>4888311.2960079024</v>
      </c>
      <c r="AY54" s="13">
        <f t="shared" si="227"/>
        <v>4923895.0067959474</v>
      </c>
      <c r="AZ54" s="13">
        <f t="shared" si="227"/>
        <v>4957918.771019442</v>
      </c>
      <c r="BA54" s="13">
        <f t="shared" si="227"/>
        <v>4993938.5288137281</v>
      </c>
      <c r="BB54" s="13">
        <f t="shared" si="227"/>
        <v>5030188.8696066225</v>
      </c>
      <c r="BC54" s="13">
        <f t="shared" si="227"/>
        <v>5064846.0463929474</v>
      </c>
      <c r="BD54" s="13">
        <f t="shared" si="227"/>
        <v>5101542.7742604194</v>
      </c>
      <c r="BE54" s="13">
        <f t="shared" si="227"/>
        <v>5136624.0225558551</v>
      </c>
      <c r="BF54" s="13">
        <f t="shared" si="227"/>
        <v>5173774.0443410808</v>
      </c>
      <c r="BG54" s="13">
        <f t="shared" si="227"/>
        <v>5211163.7547740135</v>
      </c>
      <c r="BH54" s="13">
        <f t="shared" si="227"/>
        <v>5243123.2357736062</v>
      </c>
      <c r="BI54" s="13">
        <f t="shared" si="227"/>
        <v>5280934.7660317924</v>
      </c>
      <c r="BJ54" s="13">
        <f t="shared" si="227"/>
        <v>5317074.5984841483</v>
      </c>
      <c r="BK54" s="13">
        <f t="shared" si="227"/>
        <v>5355356.557232121</v>
      </c>
      <c r="BL54" s="13">
        <f t="shared" si="227"/>
        <v>0</v>
      </c>
      <c r="BM54" s="13">
        <f t="shared" si="227"/>
        <v>0</v>
      </c>
      <c r="BN54" s="13">
        <f t="shared" si="227"/>
        <v>0</v>
      </c>
      <c r="BO54" s="13">
        <f t="shared" si="227"/>
        <v>0</v>
      </c>
      <c r="BP54" s="13">
        <f t="shared" si="227"/>
        <v>0</v>
      </c>
      <c r="BQ54" s="13">
        <f t="shared" ref="BQ54:EB54" si="228">IF(BQ12&gt;$L$8,0,BP59)</f>
        <v>0</v>
      </c>
      <c r="BR54" s="13">
        <f t="shared" si="228"/>
        <v>0</v>
      </c>
      <c r="BS54" s="13">
        <f t="shared" si="228"/>
        <v>0</v>
      </c>
      <c r="BT54" s="13">
        <f t="shared" si="228"/>
        <v>0</v>
      </c>
      <c r="BU54" s="13">
        <f t="shared" si="228"/>
        <v>0</v>
      </c>
      <c r="BV54" s="13">
        <f t="shared" si="228"/>
        <v>0</v>
      </c>
      <c r="BW54" s="13">
        <f t="shared" si="228"/>
        <v>0</v>
      </c>
      <c r="BX54" s="13">
        <f t="shared" si="228"/>
        <v>0</v>
      </c>
      <c r="BY54" s="13">
        <f t="shared" si="228"/>
        <v>0</v>
      </c>
      <c r="BZ54" s="13">
        <f t="shared" si="228"/>
        <v>0</v>
      </c>
      <c r="CA54" s="13">
        <f t="shared" si="228"/>
        <v>0</v>
      </c>
      <c r="CB54" s="13">
        <f t="shared" si="228"/>
        <v>0</v>
      </c>
      <c r="CC54" s="13">
        <f t="shared" si="228"/>
        <v>0</v>
      </c>
      <c r="CD54" s="13">
        <f t="shared" si="228"/>
        <v>0</v>
      </c>
      <c r="CE54" s="13">
        <f t="shared" si="228"/>
        <v>0</v>
      </c>
      <c r="CF54" s="13">
        <f t="shared" si="228"/>
        <v>0</v>
      </c>
      <c r="CG54" s="13">
        <f t="shared" si="228"/>
        <v>0</v>
      </c>
      <c r="CH54" s="13">
        <f t="shared" si="228"/>
        <v>0</v>
      </c>
      <c r="CI54" s="13">
        <f t="shared" si="228"/>
        <v>0</v>
      </c>
      <c r="CJ54" s="13">
        <f t="shared" si="228"/>
        <v>0</v>
      </c>
      <c r="CK54" s="13">
        <f t="shared" si="228"/>
        <v>0</v>
      </c>
      <c r="CL54" s="13">
        <f t="shared" si="228"/>
        <v>0</v>
      </c>
      <c r="CM54" s="13">
        <f t="shared" si="228"/>
        <v>0</v>
      </c>
      <c r="CN54" s="13">
        <f t="shared" si="228"/>
        <v>0</v>
      </c>
      <c r="CO54" s="13">
        <f t="shared" si="228"/>
        <v>0</v>
      </c>
      <c r="CP54" s="13">
        <f t="shared" si="228"/>
        <v>0</v>
      </c>
      <c r="CQ54" s="13">
        <f t="shared" si="228"/>
        <v>0</v>
      </c>
      <c r="CR54" s="13">
        <f t="shared" si="228"/>
        <v>0</v>
      </c>
      <c r="CS54" s="13">
        <f t="shared" si="228"/>
        <v>0</v>
      </c>
      <c r="CT54" s="13">
        <f t="shared" si="228"/>
        <v>0</v>
      </c>
      <c r="CU54" s="13">
        <f t="shared" si="228"/>
        <v>0</v>
      </c>
      <c r="CV54" s="13">
        <f t="shared" si="228"/>
        <v>0</v>
      </c>
      <c r="CW54" s="13">
        <f t="shared" si="228"/>
        <v>0</v>
      </c>
      <c r="CX54" s="13">
        <f t="shared" si="228"/>
        <v>0</v>
      </c>
      <c r="CY54" s="13">
        <f t="shared" si="228"/>
        <v>0</v>
      </c>
      <c r="CZ54" s="13">
        <f t="shared" si="228"/>
        <v>0</v>
      </c>
      <c r="DA54" s="13">
        <f t="shared" si="228"/>
        <v>0</v>
      </c>
      <c r="DB54" s="13">
        <f t="shared" si="228"/>
        <v>0</v>
      </c>
      <c r="DC54" s="13">
        <f t="shared" si="228"/>
        <v>0</v>
      </c>
      <c r="DD54" s="13">
        <f t="shared" si="228"/>
        <v>0</v>
      </c>
      <c r="DE54" s="13">
        <f t="shared" si="228"/>
        <v>0</v>
      </c>
      <c r="DF54" s="13">
        <f t="shared" si="228"/>
        <v>0</v>
      </c>
      <c r="DG54" s="13">
        <f t="shared" si="228"/>
        <v>0</v>
      </c>
      <c r="DH54" s="13">
        <f t="shared" si="228"/>
        <v>0</v>
      </c>
      <c r="DI54" s="13">
        <f t="shared" si="228"/>
        <v>0</v>
      </c>
      <c r="DJ54" s="13">
        <f t="shared" si="228"/>
        <v>0</v>
      </c>
      <c r="DK54" s="13">
        <f t="shared" si="228"/>
        <v>0</v>
      </c>
      <c r="DL54" s="13">
        <f t="shared" si="228"/>
        <v>0</v>
      </c>
      <c r="DM54" s="13">
        <f t="shared" si="228"/>
        <v>0</v>
      </c>
      <c r="DN54" s="13">
        <f t="shared" si="228"/>
        <v>0</v>
      </c>
      <c r="DO54" s="13">
        <f t="shared" si="228"/>
        <v>0</v>
      </c>
      <c r="DP54" s="13">
        <f t="shared" si="228"/>
        <v>0</v>
      </c>
      <c r="DQ54" s="13">
        <f t="shared" si="228"/>
        <v>0</v>
      </c>
      <c r="DR54" s="13">
        <f t="shared" si="228"/>
        <v>0</v>
      </c>
      <c r="DS54" s="13">
        <f t="shared" si="228"/>
        <v>0</v>
      </c>
      <c r="DT54" s="13">
        <f t="shared" si="228"/>
        <v>0</v>
      </c>
      <c r="DU54" s="13">
        <f t="shared" si="228"/>
        <v>0</v>
      </c>
      <c r="DV54" s="13">
        <f t="shared" si="228"/>
        <v>0</v>
      </c>
      <c r="DW54" s="13">
        <f t="shared" si="228"/>
        <v>0</v>
      </c>
      <c r="DX54" s="13">
        <f t="shared" si="228"/>
        <v>0</v>
      </c>
      <c r="DY54" s="13">
        <f t="shared" si="228"/>
        <v>0</v>
      </c>
      <c r="DZ54" s="13">
        <f t="shared" si="228"/>
        <v>0</v>
      </c>
      <c r="EA54" s="13">
        <f t="shared" si="228"/>
        <v>0</v>
      </c>
      <c r="EB54" s="13">
        <f t="shared" si="228"/>
        <v>0</v>
      </c>
      <c r="EC54" s="13">
        <f t="shared" ref="EC54:EE54" si="229">IF(EC12&gt;$L$8,0,EB59)</f>
        <v>0</v>
      </c>
      <c r="ED54" s="13">
        <f t="shared" si="229"/>
        <v>0</v>
      </c>
      <c r="EE54" s="13">
        <f t="shared" si="229"/>
        <v>0</v>
      </c>
    </row>
    <row r="55" spans="1:135" x14ac:dyDescent="0.35">
      <c r="B55" s="34" t="s">
        <v>59</v>
      </c>
      <c r="C55" s="28">
        <v>0</v>
      </c>
      <c r="D55" s="13">
        <f>D54*(1+$C$5)^((D53-C53)/365)-D54</f>
        <v>39148.841994664166</v>
      </c>
      <c r="E55" s="13">
        <f t="shared" ref="E55:BP55" si="230">E54*(1+$C$5)^((E53-D53)/365)-E54</f>
        <v>39453.152098418679</v>
      </c>
      <c r="F55" s="13">
        <f t="shared" si="230"/>
        <v>38469.803893840406</v>
      </c>
      <c r="G55" s="13">
        <f t="shared" si="230"/>
        <v>40052.8080689325</v>
      </c>
      <c r="H55" s="13">
        <f t="shared" si="230"/>
        <v>39053.412620360497</v>
      </c>
      <c r="I55" s="13">
        <f t="shared" si="230"/>
        <v>40659.301105206832</v>
      </c>
      <c r="J55" s="13">
        <f t="shared" si="230"/>
        <v>40972.508582575712</v>
      </c>
      <c r="K55" s="13">
        <f t="shared" si="230"/>
        <v>37271.915338893421</v>
      </c>
      <c r="L55" s="13">
        <f t="shared" si="230"/>
        <v>41559.652908881661</v>
      </c>
      <c r="M55" s="13">
        <f t="shared" si="230"/>
        <v>40519.861987951677</v>
      </c>
      <c r="N55" s="13">
        <f t="shared" si="230"/>
        <v>42183.178244585637</v>
      </c>
      <c r="O55" s="13">
        <f t="shared" si="230"/>
        <v>41126.735129698645</v>
      </c>
      <c r="P55" s="13">
        <f t="shared" si="230"/>
        <v>42813.883207931183</v>
      </c>
      <c r="Q55" s="13">
        <f t="shared" si="230"/>
        <v>43139.716986598447</v>
      </c>
      <c r="R55" s="13">
        <f t="shared" si="230"/>
        <v>42057.78770202212</v>
      </c>
      <c r="S55" s="13">
        <f t="shared" si="230"/>
        <v>43781.56031165272</v>
      </c>
      <c r="T55" s="13">
        <f t="shared" si="230"/>
        <v>42682.517748515122</v>
      </c>
      <c r="U55" s="13">
        <f t="shared" si="230"/>
        <v>44430.852757207584</v>
      </c>
      <c r="V55" s="13">
        <f t="shared" si="230"/>
        <v>44766.375546049792</v>
      </c>
      <c r="W55" s="13">
        <f t="shared" si="230"/>
        <v>40717.083109118044</v>
      </c>
      <c r="X55" s="13">
        <f t="shared" si="230"/>
        <v>45394.504352266435</v>
      </c>
      <c r="Y55" s="13">
        <f t="shared" si="230"/>
        <v>44252.382056864444</v>
      </c>
      <c r="Z55" s="13">
        <f t="shared" si="230"/>
        <v>46062.361652590334</v>
      </c>
      <c r="AA55" s="13">
        <f t="shared" si="230"/>
        <v>44902.470332297031</v>
      </c>
      <c r="AB55" s="13">
        <f t="shared" si="230"/>
        <v>46738.048821091652</v>
      </c>
      <c r="AC55" s="13">
        <f t="shared" si="230"/>
        <v>47087.331513826735</v>
      </c>
      <c r="AD55" s="13">
        <f t="shared" si="230"/>
        <v>45900.234573931433</v>
      </c>
      <c r="AE55" s="13">
        <f t="shared" si="230"/>
        <v>47775.170126189478</v>
      </c>
      <c r="AF55" s="13">
        <f t="shared" si="230"/>
        <v>46569.803874921985</v>
      </c>
      <c r="AG55" s="13">
        <f t="shared" si="230"/>
        <v>48471.138121725991</v>
      </c>
      <c r="AH55" s="13">
        <f t="shared" si="230"/>
        <v>48830.988981124014</v>
      </c>
      <c r="AI55" s="13">
        <f t="shared" si="230"/>
        <v>46002.786065677181</v>
      </c>
      <c r="AJ55" s="13">
        <f t="shared" si="230"/>
        <v>49521.727506020106</v>
      </c>
      <c r="AK55" s="13">
        <f t="shared" si="230"/>
        <v>48269.983233141713</v>
      </c>
      <c r="AL55" s="13">
        <f t="shared" si="230"/>
        <v>50238.361237145029</v>
      </c>
      <c r="AM55" s="13">
        <f t="shared" si="230"/>
        <v>48967.627135097049</v>
      </c>
      <c r="AN55" s="13">
        <f t="shared" si="230"/>
        <v>50963.556912650354</v>
      </c>
      <c r="AO55" s="13">
        <f t="shared" si="230"/>
        <v>51338.637477708049</v>
      </c>
      <c r="AP55" s="13">
        <f t="shared" si="230"/>
        <v>50038.817718371749</v>
      </c>
      <c r="AQ55" s="13">
        <f t="shared" si="230"/>
        <v>52077.124796246178</v>
      </c>
      <c r="AR55" s="13">
        <f t="shared" si="230"/>
        <v>50757.771041744389</v>
      </c>
      <c r="AS55" s="13">
        <f t="shared" si="230"/>
        <v>52824.507882246748</v>
      </c>
      <c r="AT55" s="13">
        <f t="shared" si="230"/>
        <v>53211.146154773422</v>
      </c>
      <c r="AU55" s="13">
        <f t="shared" si="230"/>
        <v>48387.007334291004</v>
      </c>
      <c r="AV55" s="13">
        <f t="shared" si="230"/>
        <v>53933.454968496226</v>
      </c>
      <c r="AW55" s="13">
        <f t="shared" si="230"/>
        <v>52564.919381722808</v>
      </c>
      <c r="AX55" s="13">
        <f t="shared" si="230"/>
        <v>54703.033993824385</v>
      </c>
      <c r="AY55" s="13">
        <f t="shared" si="230"/>
        <v>53314.18935683649</v>
      </c>
      <c r="AZ55" s="13">
        <f t="shared" si="230"/>
        <v>55481.981945622712</v>
      </c>
      <c r="BA55" s="13">
        <f t="shared" si="230"/>
        <v>55885.063892691396</v>
      </c>
      <c r="BB55" s="13">
        <f t="shared" si="230"/>
        <v>54465.10161665082</v>
      </c>
      <c r="BC55" s="13">
        <f t="shared" si="230"/>
        <v>56678.560073615983</v>
      </c>
      <c r="BD55" s="13">
        <f t="shared" si="230"/>
        <v>55237.696397573687</v>
      </c>
      <c r="BE55" s="13">
        <f t="shared" si="230"/>
        <v>57481.797190133482</v>
      </c>
      <c r="BF55" s="13">
        <f t="shared" si="230"/>
        <v>57897.527445743792</v>
      </c>
      <c r="BG55" s="13">
        <f t="shared" si="230"/>
        <v>52644.056835608557</v>
      </c>
      <c r="BH55" s="13">
        <f t="shared" si="230"/>
        <v>58673.585054732859</v>
      </c>
      <c r="BI55" s="13">
        <f t="shared" si="230"/>
        <v>57180.089280687273</v>
      </c>
      <c r="BJ55" s="13">
        <f t="shared" si="230"/>
        <v>59501.14362522494</v>
      </c>
      <c r="BK55" s="13">
        <f t="shared" si="230"/>
        <v>57985.902049410157</v>
      </c>
      <c r="BL55" s="13">
        <f t="shared" si="230"/>
        <v>0</v>
      </c>
      <c r="BM55" s="13">
        <f t="shared" si="230"/>
        <v>0</v>
      </c>
      <c r="BN55" s="13">
        <f t="shared" si="230"/>
        <v>0</v>
      </c>
      <c r="BO55" s="13">
        <f t="shared" si="230"/>
        <v>0</v>
      </c>
      <c r="BP55" s="13">
        <f t="shared" si="230"/>
        <v>0</v>
      </c>
      <c r="BQ55" s="13">
        <f t="shared" ref="BQ55:EB55" si="231">BQ54*(1+$C$5)^((BQ53-BP53)/365)-BQ54</f>
        <v>0</v>
      </c>
      <c r="BR55" s="13">
        <f t="shared" si="231"/>
        <v>0</v>
      </c>
      <c r="BS55" s="13">
        <f t="shared" si="231"/>
        <v>0</v>
      </c>
      <c r="BT55" s="13">
        <f t="shared" si="231"/>
        <v>0</v>
      </c>
      <c r="BU55" s="13">
        <f t="shared" si="231"/>
        <v>0</v>
      </c>
      <c r="BV55" s="13">
        <f t="shared" si="231"/>
        <v>0</v>
      </c>
      <c r="BW55" s="13">
        <f t="shared" si="231"/>
        <v>0</v>
      </c>
      <c r="BX55" s="13">
        <f t="shared" si="231"/>
        <v>0</v>
      </c>
      <c r="BY55" s="13">
        <f t="shared" si="231"/>
        <v>0</v>
      </c>
      <c r="BZ55" s="13">
        <f t="shared" si="231"/>
        <v>0</v>
      </c>
      <c r="CA55" s="13">
        <f t="shared" si="231"/>
        <v>0</v>
      </c>
      <c r="CB55" s="13">
        <f t="shared" si="231"/>
        <v>0</v>
      </c>
      <c r="CC55" s="13">
        <f t="shared" si="231"/>
        <v>0</v>
      </c>
      <c r="CD55" s="13">
        <f t="shared" si="231"/>
        <v>0</v>
      </c>
      <c r="CE55" s="13">
        <f t="shared" si="231"/>
        <v>0</v>
      </c>
      <c r="CF55" s="13">
        <f t="shared" si="231"/>
        <v>0</v>
      </c>
      <c r="CG55" s="13">
        <f t="shared" si="231"/>
        <v>0</v>
      </c>
      <c r="CH55" s="13">
        <f t="shared" si="231"/>
        <v>0</v>
      </c>
      <c r="CI55" s="13">
        <f t="shared" si="231"/>
        <v>0</v>
      </c>
      <c r="CJ55" s="13">
        <f t="shared" si="231"/>
        <v>0</v>
      </c>
      <c r="CK55" s="13">
        <f t="shared" si="231"/>
        <v>0</v>
      </c>
      <c r="CL55" s="13">
        <f t="shared" si="231"/>
        <v>0</v>
      </c>
      <c r="CM55" s="13">
        <f t="shared" si="231"/>
        <v>0</v>
      </c>
      <c r="CN55" s="13">
        <f t="shared" si="231"/>
        <v>0</v>
      </c>
      <c r="CO55" s="13">
        <f t="shared" si="231"/>
        <v>0</v>
      </c>
      <c r="CP55" s="13">
        <f t="shared" si="231"/>
        <v>0</v>
      </c>
      <c r="CQ55" s="13">
        <f t="shared" si="231"/>
        <v>0</v>
      </c>
      <c r="CR55" s="13">
        <f t="shared" si="231"/>
        <v>0</v>
      </c>
      <c r="CS55" s="13">
        <f t="shared" si="231"/>
        <v>0</v>
      </c>
      <c r="CT55" s="13">
        <f t="shared" si="231"/>
        <v>0</v>
      </c>
      <c r="CU55" s="13">
        <f t="shared" si="231"/>
        <v>0</v>
      </c>
      <c r="CV55" s="13">
        <f t="shared" si="231"/>
        <v>0</v>
      </c>
      <c r="CW55" s="13">
        <f t="shared" si="231"/>
        <v>0</v>
      </c>
      <c r="CX55" s="13">
        <f t="shared" si="231"/>
        <v>0</v>
      </c>
      <c r="CY55" s="13">
        <f t="shared" si="231"/>
        <v>0</v>
      </c>
      <c r="CZ55" s="13">
        <f t="shared" si="231"/>
        <v>0</v>
      </c>
      <c r="DA55" s="13">
        <f t="shared" si="231"/>
        <v>0</v>
      </c>
      <c r="DB55" s="13">
        <f t="shared" si="231"/>
        <v>0</v>
      </c>
      <c r="DC55" s="13">
        <f t="shared" si="231"/>
        <v>0</v>
      </c>
      <c r="DD55" s="13">
        <f t="shared" si="231"/>
        <v>0</v>
      </c>
      <c r="DE55" s="13">
        <f t="shared" si="231"/>
        <v>0</v>
      </c>
      <c r="DF55" s="13">
        <f t="shared" si="231"/>
        <v>0</v>
      </c>
      <c r="DG55" s="13">
        <f t="shared" si="231"/>
        <v>0</v>
      </c>
      <c r="DH55" s="13">
        <f t="shared" si="231"/>
        <v>0</v>
      </c>
      <c r="DI55" s="13">
        <f t="shared" si="231"/>
        <v>0</v>
      </c>
      <c r="DJ55" s="13">
        <f t="shared" si="231"/>
        <v>0</v>
      </c>
      <c r="DK55" s="13">
        <f t="shared" si="231"/>
        <v>0</v>
      </c>
      <c r="DL55" s="13">
        <f t="shared" si="231"/>
        <v>0</v>
      </c>
      <c r="DM55" s="13">
        <f t="shared" si="231"/>
        <v>0</v>
      </c>
      <c r="DN55" s="13">
        <f t="shared" si="231"/>
        <v>0</v>
      </c>
      <c r="DO55" s="13">
        <f t="shared" si="231"/>
        <v>0</v>
      </c>
      <c r="DP55" s="13">
        <f t="shared" si="231"/>
        <v>0</v>
      </c>
      <c r="DQ55" s="13">
        <f t="shared" si="231"/>
        <v>0</v>
      </c>
      <c r="DR55" s="13">
        <f t="shared" si="231"/>
        <v>0</v>
      </c>
      <c r="DS55" s="13">
        <f t="shared" si="231"/>
        <v>0</v>
      </c>
      <c r="DT55" s="13">
        <f t="shared" si="231"/>
        <v>0</v>
      </c>
      <c r="DU55" s="13">
        <f t="shared" si="231"/>
        <v>0</v>
      </c>
      <c r="DV55" s="13">
        <f t="shared" si="231"/>
        <v>0</v>
      </c>
      <c r="DW55" s="13">
        <f t="shared" si="231"/>
        <v>0</v>
      </c>
      <c r="DX55" s="13">
        <f t="shared" si="231"/>
        <v>0</v>
      </c>
      <c r="DY55" s="13">
        <f t="shared" si="231"/>
        <v>0</v>
      </c>
      <c r="DZ55" s="13">
        <f t="shared" si="231"/>
        <v>0</v>
      </c>
      <c r="EA55" s="13">
        <f t="shared" si="231"/>
        <v>0</v>
      </c>
      <c r="EB55" s="13">
        <f t="shared" si="231"/>
        <v>0</v>
      </c>
      <c r="EC55" s="13">
        <f t="shared" ref="EC55:EE55" si="232">EC54*(1+$C$5)^((EC53-EB53)/365)-EC54</f>
        <v>0</v>
      </c>
      <c r="ED55" s="13">
        <f t="shared" si="232"/>
        <v>0</v>
      </c>
      <c r="EE55" s="13">
        <f t="shared" si="232"/>
        <v>0</v>
      </c>
    </row>
    <row r="56" spans="1:135" x14ac:dyDescent="0.35">
      <c r="B56" s="34" t="s">
        <v>48</v>
      </c>
      <c r="C56" s="13">
        <f>C44</f>
        <v>-3498375</v>
      </c>
      <c r="D56" s="13">
        <f>D44</f>
        <v>0</v>
      </c>
      <c r="E56" s="13">
        <f t="shared" ref="E56:BP56" si="233">E44</f>
        <v>0</v>
      </c>
      <c r="F56" s="13">
        <f t="shared" si="233"/>
        <v>0</v>
      </c>
      <c r="G56" s="13">
        <f t="shared" si="233"/>
        <v>0</v>
      </c>
      <c r="H56" s="13">
        <f t="shared" si="233"/>
        <v>0</v>
      </c>
      <c r="I56" s="13">
        <f t="shared" si="233"/>
        <v>0</v>
      </c>
      <c r="J56" s="13">
        <f t="shared" si="233"/>
        <v>0</v>
      </c>
      <c r="K56" s="13">
        <f t="shared" si="233"/>
        <v>0</v>
      </c>
      <c r="L56" s="13">
        <f t="shared" si="233"/>
        <v>0</v>
      </c>
      <c r="M56" s="13">
        <f t="shared" si="233"/>
        <v>0</v>
      </c>
      <c r="N56" s="13">
        <f t="shared" si="233"/>
        <v>0</v>
      </c>
      <c r="O56" s="13">
        <f t="shared" si="233"/>
        <v>0</v>
      </c>
      <c r="P56" s="13">
        <f t="shared" si="233"/>
        <v>0</v>
      </c>
      <c r="Q56" s="13">
        <f t="shared" si="233"/>
        <v>0</v>
      </c>
      <c r="R56" s="13">
        <f t="shared" si="233"/>
        <v>0</v>
      </c>
      <c r="S56" s="13">
        <f t="shared" si="233"/>
        <v>0</v>
      </c>
      <c r="T56" s="13">
        <f t="shared" si="233"/>
        <v>0</v>
      </c>
      <c r="U56" s="13">
        <f t="shared" si="233"/>
        <v>0</v>
      </c>
      <c r="V56" s="13">
        <f t="shared" si="233"/>
        <v>0</v>
      </c>
      <c r="W56" s="13">
        <f t="shared" si="233"/>
        <v>0</v>
      </c>
      <c r="X56" s="13">
        <f t="shared" si="233"/>
        <v>0</v>
      </c>
      <c r="Y56" s="13">
        <f t="shared" si="233"/>
        <v>0</v>
      </c>
      <c r="Z56" s="13">
        <f t="shared" si="233"/>
        <v>0</v>
      </c>
      <c r="AA56" s="13">
        <f t="shared" si="233"/>
        <v>0</v>
      </c>
      <c r="AB56" s="13">
        <f t="shared" si="233"/>
        <v>0</v>
      </c>
      <c r="AC56" s="13">
        <f t="shared" si="233"/>
        <v>0</v>
      </c>
      <c r="AD56" s="13">
        <f t="shared" si="233"/>
        <v>0</v>
      </c>
      <c r="AE56" s="13">
        <f t="shared" si="233"/>
        <v>0</v>
      </c>
      <c r="AF56" s="13">
        <f t="shared" si="233"/>
        <v>0</v>
      </c>
      <c r="AG56" s="13">
        <f t="shared" si="233"/>
        <v>0</v>
      </c>
      <c r="AH56" s="13">
        <f t="shared" si="233"/>
        <v>0</v>
      </c>
      <c r="AI56" s="13">
        <f t="shared" si="233"/>
        <v>0</v>
      </c>
      <c r="AJ56" s="13">
        <f t="shared" si="233"/>
        <v>0</v>
      </c>
      <c r="AK56" s="13">
        <f t="shared" si="233"/>
        <v>0</v>
      </c>
      <c r="AL56" s="13">
        <f t="shared" si="233"/>
        <v>0</v>
      </c>
      <c r="AM56" s="13">
        <f t="shared" si="233"/>
        <v>0</v>
      </c>
      <c r="AN56" s="13">
        <f t="shared" si="233"/>
        <v>0</v>
      </c>
      <c r="AO56" s="13">
        <f t="shared" si="233"/>
        <v>0</v>
      </c>
      <c r="AP56" s="13">
        <f t="shared" si="233"/>
        <v>0</v>
      </c>
      <c r="AQ56" s="13">
        <f t="shared" si="233"/>
        <v>0</v>
      </c>
      <c r="AR56" s="13">
        <f t="shared" si="233"/>
        <v>0</v>
      </c>
      <c r="AS56" s="13">
        <f t="shared" si="233"/>
        <v>0</v>
      </c>
      <c r="AT56" s="13">
        <f t="shared" si="233"/>
        <v>0</v>
      </c>
      <c r="AU56" s="13">
        <f t="shared" si="233"/>
        <v>0</v>
      </c>
      <c r="AV56" s="13">
        <f t="shared" si="233"/>
        <v>0</v>
      </c>
      <c r="AW56" s="13">
        <f t="shared" si="233"/>
        <v>0</v>
      </c>
      <c r="AX56" s="13">
        <f t="shared" si="233"/>
        <v>0</v>
      </c>
      <c r="AY56" s="13">
        <f t="shared" si="233"/>
        <v>0</v>
      </c>
      <c r="AZ56" s="13">
        <f t="shared" si="233"/>
        <v>0</v>
      </c>
      <c r="BA56" s="13">
        <f t="shared" si="233"/>
        <v>0</v>
      </c>
      <c r="BB56" s="13">
        <f t="shared" si="233"/>
        <v>0</v>
      </c>
      <c r="BC56" s="13">
        <f t="shared" si="233"/>
        <v>0</v>
      </c>
      <c r="BD56" s="13">
        <f t="shared" si="233"/>
        <v>0</v>
      </c>
      <c r="BE56" s="13">
        <f t="shared" si="233"/>
        <v>0</v>
      </c>
      <c r="BF56" s="13">
        <f t="shared" si="233"/>
        <v>0</v>
      </c>
      <c r="BG56" s="13">
        <f t="shared" si="233"/>
        <v>0</v>
      </c>
      <c r="BH56" s="13">
        <f t="shared" si="233"/>
        <v>0</v>
      </c>
      <c r="BI56" s="13">
        <f t="shared" si="233"/>
        <v>0</v>
      </c>
      <c r="BJ56" s="13">
        <f t="shared" si="233"/>
        <v>0</v>
      </c>
      <c r="BK56" s="13">
        <f t="shared" si="233"/>
        <v>0</v>
      </c>
      <c r="BL56" s="13">
        <f t="shared" si="233"/>
        <v>0</v>
      </c>
      <c r="BM56" s="13">
        <f t="shared" si="233"/>
        <v>0</v>
      </c>
      <c r="BN56" s="13">
        <f t="shared" si="233"/>
        <v>0</v>
      </c>
      <c r="BO56" s="13">
        <f t="shared" si="233"/>
        <v>0</v>
      </c>
      <c r="BP56" s="13">
        <f t="shared" si="233"/>
        <v>0</v>
      </c>
      <c r="BQ56" s="13">
        <f t="shared" ref="BQ56:EB56" si="234">BQ44</f>
        <v>0</v>
      </c>
      <c r="BR56" s="13">
        <f t="shared" si="234"/>
        <v>0</v>
      </c>
      <c r="BS56" s="13">
        <f t="shared" si="234"/>
        <v>0</v>
      </c>
      <c r="BT56" s="13">
        <f t="shared" si="234"/>
        <v>0</v>
      </c>
      <c r="BU56" s="13">
        <f t="shared" si="234"/>
        <v>0</v>
      </c>
      <c r="BV56" s="13">
        <f t="shared" si="234"/>
        <v>0</v>
      </c>
      <c r="BW56" s="13">
        <f t="shared" si="234"/>
        <v>0</v>
      </c>
      <c r="BX56" s="13">
        <f t="shared" si="234"/>
        <v>0</v>
      </c>
      <c r="BY56" s="13">
        <f t="shared" si="234"/>
        <v>0</v>
      </c>
      <c r="BZ56" s="13">
        <f t="shared" si="234"/>
        <v>0</v>
      </c>
      <c r="CA56" s="13">
        <f t="shared" si="234"/>
        <v>0</v>
      </c>
      <c r="CB56" s="13">
        <f t="shared" si="234"/>
        <v>0</v>
      </c>
      <c r="CC56" s="13">
        <f t="shared" si="234"/>
        <v>0</v>
      </c>
      <c r="CD56" s="13">
        <f t="shared" si="234"/>
        <v>0</v>
      </c>
      <c r="CE56" s="13">
        <f t="shared" si="234"/>
        <v>0</v>
      </c>
      <c r="CF56" s="13">
        <f t="shared" si="234"/>
        <v>0</v>
      </c>
      <c r="CG56" s="13">
        <f t="shared" si="234"/>
        <v>0</v>
      </c>
      <c r="CH56" s="13">
        <f t="shared" si="234"/>
        <v>0</v>
      </c>
      <c r="CI56" s="13">
        <f t="shared" si="234"/>
        <v>0</v>
      </c>
      <c r="CJ56" s="13">
        <f t="shared" si="234"/>
        <v>0</v>
      </c>
      <c r="CK56" s="13">
        <f t="shared" si="234"/>
        <v>0</v>
      </c>
      <c r="CL56" s="13">
        <f t="shared" si="234"/>
        <v>0</v>
      </c>
      <c r="CM56" s="13">
        <f t="shared" si="234"/>
        <v>0</v>
      </c>
      <c r="CN56" s="13">
        <f t="shared" si="234"/>
        <v>0</v>
      </c>
      <c r="CO56" s="13">
        <f t="shared" si="234"/>
        <v>0</v>
      </c>
      <c r="CP56" s="13">
        <f t="shared" si="234"/>
        <v>0</v>
      </c>
      <c r="CQ56" s="13">
        <f t="shared" si="234"/>
        <v>0</v>
      </c>
      <c r="CR56" s="13">
        <f t="shared" si="234"/>
        <v>0</v>
      </c>
      <c r="CS56" s="13">
        <f t="shared" si="234"/>
        <v>0</v>
      </c>
      <c r="CT56" s="13">
        <f t="shared" si="234"/>
        <v>0</v>
      </c>
      <c r="CU56" s="13">
        <f t="shared" si="234"/>
        <v>0</v>
      </c>
      <c r="CV56" s="13">
        <f t="shared" si="234"/>
        <v>0</v>
      </c>
      <c r="CW56" s="13">
        <f t="shared" si="234"/>
        <v>0</v>
      </c>
      <c r="CX56" s="13">
        <f t="shared" si="234"/>
        <v>0</v>
      </c>
      <c r="CY56" s="13">
        <f t="shared" si="234"/>
        <v>0</v>
      </c>
      <c r="CZ56" s="13">
        <f t="shared" si="234"/>
        <v>0</v>
      </c>
      <c r="DA56" s="13">
        <f t="shared" si="234"/>
        <v>0</v>
      </c>
      <c r="DB56" s="13">
        <f t="shared" si="234"/>
        <v>0</v>
      </c>
      <c r="DC56" s="13">
        <f t="shared" si="234"/>
        <v>0</v>
      </c>
      <c r="DD56" s="13">
        <f t="shared" si="234"/>
        <v>0</v>
      </c>
      <c r="DE56" s="13">
        <f t="shared" si="234"/>
        <v>0</v>
      </c>
      <c r="DF56" s="13">
        <f t="shared" si="234"/>
        <v>0</v>
      </c>
      <c r="DG56" s="13">
        <f t="shared" si="234"/>
        <v>0</v>
      </c>
      <c r="DH56" s="13">
        <f t="shared" si="234"/>
        <v>0</v>
      </c>
      <c r="DI56" s="13">
        <f t="shared" si="234"/>
        <v>0</v>
      </c>
      <c r="DJ56" s="13">
        <f t="shared" si="234"/>
        <v>0</v>
      </c>
      <c r="DK56" s="13">
        <f t="shared" si="234"/>
        <v>0</v>
      </c>
      <c r="DL56" s="13">
        <f t="shared" si="234"/>
        <v>0</v>
      </c>
      <c r="DM56" s="13">
        <f t="shared" si="234"/>
        <v>0</v>
      </c>
      <c r="DN56" s="13">
        <f t="shared" si="234"/>
        <v>0</v>
      </c>
      <c r="DO56" s="13">
        <f t="shared" si="234"/>
        <v>0</v>
      </c>
      <c r="DP56" s="13">
        <f t="shared" si="234"/>
        <v>0</v>
      </c>
      <c r="DQ56" s="13">
        <f t="shared" si="234"/>
        <v>0</v>
      </c>
      <c r="DR56" s="13">
        <f t="shared" si="234"/>
        <v>0</v>
      </c>
      <c r="DS56" s="13">
        <f t="shared" si="234"/>
        <v>0</v>
      </c>
      <c r="DT56" s="13">
        <f t="shared" si="234"/>
        <v>0</v>
      </c>
      <c r="DU56" s="13">
        <f t="shared" si="234"/>
        <v>0</v>
      </c>
      <c r="DV56" s="13">
        <f t="shared" si="234"/>
        <v>0</v>
      </c>
      <c r="DW56" s="13">
        <f t="shared" si="234"/>
        <v>0</v>
      </c>
      <c r="DX56" s="13">
        <f t="shared" si="234"/>
        <v>0</v>
      </c>
      <c r="DY56" s="13">
        <f t="shared" si="234"/>
        <v>0</v>
      </c>
      <c r="DZ56" s="13">
        <f t="shared" si="234"/>
        <v>0</v>
      </c>
      <c r="EA56" s="13">
        <f t="shared" si="234"/>
        <v>0</v>
      </c>
      <c r="EB56" s="13">
        <f t="shared" si="234"/>
        <v>0</v>
      </c>
      <c r="EC56" s="13">
        <f t="shared" ref="EC56:EE56" si="235">EC44</f>
        <v>0</v>
      </c>
      <c r="ED56" s="13">
        <f t="shared" si="235"/>
        <v>0</v>
      </c>
      <c r="EE56" s="13">
        <f t="shared" si="235"/>
        <v>0</v>
      </c>
    </row>
    <row r="57" spans="1:135" x14ac:dyDescent="0.35">
      <c r="B57" s="34" t="s">
        <v>58</v>
      </c>
      <c r="C57" s="13">
        <f>SUM(C32,C46)</f>
        <v>0</v>
      </c>
      <c r="D57" s="13">
        <f>SUM(D32,D46)</f>
        <v>11955.423109670224</v>
      </c>
      <c r="E57" s="13">
        <f t="shared" ref="E57:BP57" si="236">SUM(E32,E46)</f>
        <v>12097.338421467313</v>
      </c>
      <c r="F57" s="13">
        <f t="shared" si="236"/>
        <v>12239.831913811442</v>
      </c>
      <c r="G57" s="13">
        <f t="shared" si="236"/>
        <v>12382.905942281766</v>
      </c>
      <c r="H57" s="13">
        <f t="shared" si="236"/>
        <v>12526.562872054285</v>
      </c>
      <c r="I57" s="13">
        <f t="shared" si="236"/>
        <v>12670.805077941084</v>
      </c>
      <c r="J57" s="13">
        <f t="shared" si="236"/>
        <v>12815.634944429497</v>
      </c>
      <c r="K57" s="13">
        <f t="shared" si="236"/>
        <v>12961.05486572155</v>
      </c>
      <c r="L57" s="13">
        <f t="shared" si="236"/>
        <v>13107.067245773555</v>
      </c>
      <c r="M57" s="13">
        <f t="shared" si="236"/>
        <v>13253.674498335829</v>
      </c>
      <c r="N57" s="13">
        <f t="shared" si="236"/>
        <v>13400.879046992632</v>
      </c>
      <c r="O57" s="13">
        <f t="shared" si="236"/>
        <v>13548.68332520217</v>
      </c>
      <c r="P57" s="13">
        <f t="shared" si="236"/>
        <v>13697.089776336898</v>
      </c>
      <c r="Q57" s="13">
        <f t="shared" si="236"/>
        <v>13846.100853723838</v>
      </c>
      <c r="R57" s="13">
        <f t="shared" si="236"/>
        <v>13995.719020685174</v>
      </c>
      <c r="S57" s="13">
        <f t="shared" si="236"/>
        <v>14145.946750579007</v>
      </c>
      <c r="T57" s="13">
        <f t="shared" si="236"/>
        <v>14296.786526840162</v>
      </c>
      <c r="U57" s="13">
        <f t="shared" si="236"/>
        <v>14448.240843021298</v>
      </c>
      <c r="V57" s="13">
        <f t="shared" si="236"/>
        <v>14600.312202834126</v>
      </c>
      <c r="W57" s="13">
        <f t="shared" si="236"/>
        <v>14753.003120190779</v>
      </c>
      <c r="X57" s="13">
        <f t="shared" si="236"/>
        <v>14906.316119245388</v>
      </c>
      <c r="Y57" s="13">
        <f t="shared" si="236"/>
        <v>15060.253734435775</v>
      </c>
      <c r="Z57" s="13">
        <f t="shared" si="236"/>
        <v>15214.818510525422</v>
      </c>
      <c r="AA57" s="13">
        <f t="shared" si="236"/>
        <v>15370.013002645437</v>
      </c>
      <c r="AB57" s="13">
        <f t="shared" si="236"/>
        <v>15525.839776336899</v>
      </c>
      <c r="AC57" s="13">
        <f t="shared" si="236"/>
        <v>15682.301407593175</v>
      </c>
      <c r="AD57" s="13">
        <f t="shared" si="236"/>
        <v>15839.400482902598</v>
      </c>
      <c r="AE57" s="13">
        <f t="shared" si="236"/>
        <v>15997.139599291117</v>
      </c>
      <c r="AF57" s="13">
        <f t="shared" si="236"/>
        <v>16155.521364365328</v>
      </c>
      <c r="AG57" s="13">
        <f t="shared" si="236"/>
        <v>16314.548396355518</v>
      </c>
      <c r="AH57" s="13">
        <f t="shared" si="236"/>
        <v>16474.223324158993</v>
      </c>
      <c r="AI57" s="13">
        <f t="shared" si="236"/>
        <v>16634.548787383479</v>
      </c>
      <c r="AJ57" s="13">
        <f t="shared" si="236"/>
        <v>16795.527436390807</v>
      </c>
      <c r="AK57" s="13">
        <f t="shared" si="236"/>
        <v>16957.161932340721</v>
      </c>
      <c r="AL57" s="13">
        <f t="shared" si="236"/>
        <v>17119.454947234844</v>
      </c>
      <c r="AM57" s="13">
        <f t="shared" si="236"/>
        <v>17282.409163960871</v>
      </c>
      <c r="AN57" s="13">
        <f t="shared" si="236"/>
        <v>17446.027276336896</v>
      </c>
      <c r="AO57" s="13">
        <f t="shared" si="236"/>
        <v>17610.311989155995</v>
      </c>
      <c r="AP57" s="13">
        <f t="shared" si="236"/>
        <v>17775.266018230886</v>
      </c>
      <c r="AQ57" s="13">
        <f t="shared" si="236"/>
        <v>17940.892090438825</v>
      </c>
      <c r="AR57" s="13">
        <f t="shared" si="236"/>
        <v>18107.192943766746</v>
      </c>
      <c r="AS57" s="13">
        <f t="shared" si="236"/>
        <v>18274.171327356453</v>
      </c>
      <c r="AT57" s="13">
        <f t="shared" si="236"/>
        <v>18441.830001550097</v>
      </c>
      <c r="AU57" s="13">
        <f t="shared" si="236"/>
        <v>18610.171737935816</v>
      </c>
      <c r="AV57" s="13">
        <f t="shared" si="236"/>
        <v>18779.199319393505</v>
      </c>
      <c r="AW57" s="13">
        <f t="shared" si="236"/>
        <v>18948.915540140919</v>
      </c>
      <c r="AX57" s="13">
        <f t="shared" si="236"/>
        <v>19119.32320577975</v>
      </c>
      <c r="AY57" s="13">
        <f t="shared" si="236"/>
        <v>19290.425133342069</v>
      </c>
      <c r="AZ57" s="13">
        <f t="shared" si="236"/>
        <v>19462.22415133689</v>
      </c>
      <c r="BA57" s="13">
        <f t="shared" si="236"/>
        <v>19634.723099796956</v>
      </c>
      <c r="BB57" s="13">
        <f t="shared" si="236"/>
        <v>19807.924830325581</v>
      </c>
      <c r="BC57" s="13">
        <f t="shared" si="236"/>
        <v>19981.832206143928</v>
      </c>
      <c r="BD57" s="13">
        <f t="shared" si="236"/>
        <v>20156.448102138245</v>
      </c>
      <c r="BE57" s="13">
        <f t="shared" si="236"/>
        <v>20331.775404907432</v>
      </c>
      <c r="BF57" s="13">
        <f t="shared" si="236"/>
        <v>20507.817012810759</v>
      </c>
      <c r="BG57" s="13">
        <f t="shared" si="236"/>
        <v>20684.575836015752</v>
      </c>
      <c r="BH57" s="13">
        <f t="shared" si="236"/>
        <v>20862.054796546348</v>
      </c>
      <c r="BI57" s="13">
        <f t="shared" si="236"/>
        <v>21040.256828331119</v>
      </c>
      <c r="BJ57" s="13">
        <f t="shared" si="236"/>
        <v>21219.184877251893</v>
      </c>
      <c r="BK57" s="13">
        <f t="shared" si="236"/>
        <v>4483106.6481143078</v>
      </c>
      <c r="BL57" s="13">
        <f t="shared" si="236"/>
        <v>0</v>
      </c>
      <c r="BM57" s="13">
        <f t="shared" si="236"/>
        <v>0</v>
      </c>
      <c r="BN57" s="13">
        <f t="shared" si="236"/>
        <v>0</v>
      </c>
      <c r="BO57" s="13">
        <f t="shared" si="236"/>
        <v>0</v>
      </c>
      <c r="BP57" s="13">
        <f t="shared" si="236"/>
        <v>0</v>
      </c>
      <c r="BQ57" s="13">
        <f t="shared" ref="BQ57:EB57" si="237">SUM(BQ32,BQ46)</f>
        <v>0</v>
      </c>
      <c r="BR57" s="13">
        <f t="shared" si="237"/>
        <v>0</v>
      </c>
      <c r="BS57" s="13">
        <f t="shared" si="237"/>
        <v>0</v>
      </c>
      <c r="BT57" s="13">
        <f t="shared" si="237"/>
        <v>0</v>
      </c>
      <c r="BU57" s="13">
        <f t="shared" si="237"/>
        <v>0</v>
      </c>
      <c r="BV57" s="13">
        <f t="shared" si="237"/>
        <v>0</v>
      </c>
      <c r="BW57" s="13">
        <f t="shared" si="237"/>
        <v>0</v>
      </c>
      <c r="BX57" s="13">
        <f t="shared" si="237"/>
        <v>0</v>
      </c>
      <c r="BY57" s="13">
        <f t="shared" si="237"/>
        <v>0</v>
      </c>
      <c r="BZ57" s="13">
        <f t="shared" si="237"/>
        <v>0</v>
      </c>
      <c r="CA57" s="13">
        <f t="shared" si="237"/>
        <v>0</v>
      </c>
      <c r="CB57" s="13">
        <f t="shared" si="237"/>
        <v>0</v>
      </c>
      <c r="CC57" s="13">
        <f t="shared" si="237"/>
        <v>0</v>
      </c>
      <c r="CD57" s="13">
        <f t="shared" si="237"/>
        <v>0</v>
      </c>
      <c r="CE57" s="13">
        <f t="shared" si="237"/>
        <v>0</v>
      </c>
      <c r="CF57" s="13">
        <f t="shared" si="237"/>
        <v>0</v>
      </c>
      <c r="CG57" s="13">
        <f t="shared" si="237"/>
        <v>0</v>
      </c>
      <c r="CH57" s="13">
        <f t="shared" si="237"/>
        <v>0</v>
      </c>
      <c r="CI57" s="13">
        <f t="shared" si="237"/>
        <v>0</v>
      </c>
      <c r="CJ57" s="13">
        <f t="shared" si="237"/>
        <v>0</v>
      </c>
      <c r="CK57" s="13">
        <f t="shared" si="237"/>
        <v>0</v>
      </c>
      <c r="CL57" s="13">
        <f t="shared" si="237"/>
        <v>0</v>
      </c>
      <c r="CM57" s="13">
        <f t="shared" si="237"/>
        <v>0</v>
      </c>
      <c r="CN57" s="13">
        <f t="shared" si="237"/>
        <v>0</v>
      </c>
      <c r="CO57" s="13">
        <f t="shared" si="237"/>
        <v>0</v>
      </c>
      <c r="CP57" s="13">
        <f t="shared" si="237"/>
        <v>0</v>
      </c>
      <c r="CQ57" s="13">
        <f t="shared" si="237"/>
        <v>0</v>
      </c>
      <c r="CR57" s="13">
        <f t="shared" si="237"/>
        <v>0</v>
      </c>
      <c r="CS57" s="13">
        <f t="shared" si="237"/>
        <v>0</v>
      </c>
      <c r="CT57" s="13">
        <f t="shared" si="237"/>
        <v>0</v>
      </c>
      <c r="CU57" s="13">
        <f t="shared" si="237"/>
        <v>0</v>
      </c>
      <c r="CV57" s="13">
        <f t="shared" si="237"/>
        <v>0</v>
      </c>
      <c r="CW57" s="13">
        <f t="shared" si="237"/>
        <v>0</v>
      </c>
      <c r="CX57" s="13">
        <f t="shared" si="237"/>
        <v>0</v>
      </c>
      <c r="CY57" s="13">
        <f t="shared" si="237"/>
        <v>0</v>
      </c>
      <c r="CZ57" s="13">
        <f t="shared" si="237"/>
        <v>0</v>
      </c>
      <c r="DA57" s="13">
        <f t="shared" si="237"/>
        <v>0</v>
      </c>
      <c r="DB57" s="13">
        <f t="shared" si="237"/>
        <v>0</v>
      </c>
      <c r="DC57" s="13">
        <f t="shared" si="237"/>
        <v>0</v>
      </c>
      <c r="DD57" s="13">
        <f t="shared" si="237"/>
        <v>0</v>
      </c>
      <c r="DE57" s="13">
        <f t="shared" si="237"/>
        <v>0</v>
      </c>
      <c r="DF57" s="13">
        <f t="shared" si="237"/>
        <v>0</v>
      </c>
      <c r="DG57" s="13">
        <f t="shared" si="237"/>
        <v>0</v>
      </c>
      <c r="DH57" s="13">
        <f t="shared" si="237"/>
        <v>0</v>
      </c>
      <c r="DI57" s="13">
        <f t="shared" si="237"/>
        <v>0</v>
      </c>
      <c r="DJ57" s="13">
        <f t="shared" si="237"/>
        <v>0</v>
      </c>
      <c r="DK57" s="13">
        <f t="shared" si="237"/>
        <v>0</v>
      </c>
      <c r="DL57" s="13">
        <f t="shared" si="237"/>
        <v>0</v>
      </c>
      <c r="DM57" s="13">
        <f t="shared" si="237"/>
        <v>0</v>
      </c>
      <c r="DN57" s="13">
        <f t="shared" si="237"/>
        <v>0</v>
      </c>
      <c r="DO57" s="13">
        <f t="shared" si="237"/>
        <v>0</v>
      </c>
      <c r="DP57" s="13">
        <f t="shared" si="237"/>
        <v>0</v>
      </c>
      <c r="DQ57" s="13">
        <f t="shared" si="237"/>
        <v>0</v>
      </c>
      <c r="DR57" s="13">
        <f t="shared" si="237"/>
        <v>0</v>
      </c>
      <c r="DS57" s="13">
        <f t="shared" si="237"/>
        <v>0</v>
      </c>
      <c r="DT57" s="13">
        <f t="shared" si="237"/>
        <v>0</v>
      </c>
      <c r="DU57" s="13">
        <f t="shared" si="237"/>
        <v>0</v>
      </c>
      <c r="DV57" s="13">
        <f t="shared" si="237"/>
        <v>0</v>
      </c>
      <c r="DW57" s="13">
        <f t="shared" si="237"/>
        <v>0</v>
      </c>
      <c r="DX57" s="13">
        <f t="shared" si="237"/>
        <v>0</v>
      </c>
      <c r="DY57" s="13">
        <f t="shared" si="237"/>
        <v>0</v>
      </c>
      <c r="DZ57" s="13">
        <f t="shared" si="237"/>
        <v>0</v>
      </c>
      <c r="EA57" s="13">
        <f t="shared" si="237"/>
        <v>0</v>
      </c>
      <c r="EB57" s="13">
        <f t="shared" si="237"/>
        <v>0</v>
      </c>
      <c r="EC57" s="13">
        <f t="shared" ref="EC57:EE57" si="238">SUM(EC32,EC46)</f>
        <v>0</v>
      </c>
      <c r="ED57" s="13">
        <f t="shared" si="238"/>
        <v>0</v>
      </c>
      <c r="EE57" s="13">
        <f t="shared" si="238"/>
        <v>0</v>
      </c>
    </row>
    <row r="58" spans="1:135" x14ac:dyDescent="0.35">
      <c r="B58" s="34" t="s">
        <v>49</v>
      </c>
      <c r="C58" s="28">
        <v>0</v>
      </c>
      <c r="D58" s="37">
        <f>MIN(D54+D55-D56-D57,D51*$F$5)</f>
        <v>0</v>
      </c>
      <c r="E58" s="37">
        <f t="shared" ref="E58:BP58" si="239">MIN(E54+E55-E56-E57,E51*$F$5)</f>
        <v>0</v>
      </c>
      <c r="F58" s="37">
        <f t="shared" si="239"/>
        <v>0</v>
      </c>
      <c r="G58" s="37">
        <f t="shared" si="239"/>
        <v>0</v>
      </c>
      <c r="H58" s="37">
        <f t="shared" si="239"/>
        <v>0</v>
      </c>
      <c r="I58" s="37">
        <f t="shared" si="239"/>
        <v>0</v>
      </c>
      <c r="J58" s="37">
        <f t="shared" si="239"/>
        <v>0</v>
      </c>
      <c r="K58" s="37">
        <f t="shared" si="239"/>
        <v>0</v>
      </c>
      <c r="L58" s="37">
        <f t="shared" si="239"/>
        <v>0</v>
      </c>
      <c r="M58" s="37">
        <f t="shared" si="239"/>
        <v>0</v>
      </c>
      <c r="N58" s="37">
        <f t="shared" si="239"/>
        <v>0</v>
      </c>
      <c r="O58" s="37">
        <f t="shared" si="239"/>
        <v>0</v>
      </c>
      <c r="P58" s="37">
        <f t="shared" si="239"/>
        <v>0</v>
      </c>
      <c r="Q58" s="37">
        <f t="shared" si="239"/>
        <v>0</v>
      </c>
      <c r="R58" s="37">
        <f t="shared" si="239"/>
        <v>0</v>
      </c>
      <c r="S58" s="37">
        <f t="shared" si="239"/>
        <v>0</v>
      </c>
      <c r="T58" s="37">
        <f t="shared" si="239"/>
        <v>0</v>
      </c>
      <c r="U58" s="37">
        <f t="shared" si="239"/>
        <v>0</v>
      </c>
      <c r="V58" s="37">
        <f t="shared" si="239"/>
        <v>0</v>
      </c>
      <c r="W58" s="37">
        <f t="shared" si="239"/>
        <v>0</v>
      </c>
      <c r="X58" s="37">
        <f t="shared" si="239"/>
        <v>0</v>
      </c>
      <c r="Y58" s="37">
        <f t="shared" si="239"/>
        <v>0</v>
      </c>
      <c r="Z58" s="37">
        <f t="shared" si="239"/>
        <v>0</v>
      </c>
      <c r="AA58" s="37">
        <f t="shared" si="239"/>
        <v>0</v>
      </c>
      <c r="AB58" s="37">
        <f t="shared" si="239"/>
        <v>0</v>
      </c>
      <c r="AC58" s="37">
        <f t="shared" si="239"/>
        <v>0</v>
      </c>
      <c r="AD58" s="37">
        <f t="shared" si="239"/>
        <v>0</v>
      </c>
      <c r="AE58" s="37">
        <f t="shared" si="239"/>
        <v>0</v>
      </c>
      <c r="AF58" s="37">
        <f t="shared" si="239"/>
        <v>0</v>
      </c>
      <c r="AG58" s="37">
        <f t="shared" si="239"/>
        <v>0</v>
      </c>
      <c r="AH58" s="37">
        <f t="shared" si="239"/>
        <v>0</v>
      </c>
      <c r="AI58" s="37">
        <f t="shared" si="239"/>
        <v>0</v>
      </c>
      <c r="AJ58" s="37">
        <f t="shared" si="239"/>
        <v>0</v>
      </c>
      <c r="AK58" s="37">
        <f t="shared" si="239"/>
        <v>0</v>
      </c>
      <c r="AL58" s="37">
        <f t="shared" si="239"/>
        <v>0</v>
      </c>
      <c r="AM58" s="37">
        <f t="shared" si="239"/>
        <v>0</v>
      </c>
      <c r="AN58" s="37">
        <f t="shared" si="239"/>
        <v>0</v>
      </c>
      <c r="AO58" s="37">
        <f t="shared" si="239"/>
        <v>0</v>
      </c>
      <c r="AP58" s="37">
        <f t="shared" si="239"/>
        <v>0</v>
      </c>
      <c r="AQ58" s="37">
        <f t="shared" si="239"/>
        <v>0</v>
      </c>
      <c r="AR58" s="37">
        <f t="shared" si="239"/>
        <v>0</v>
      </c>
      <c r="AS58" s="37">
        <f t="shared" si="239"/>
        <v>0</v>
      </c>
      <c r="AT58" s="37">
        <f t="shared" si="239"/>
        <v>0</v>
      </c>
      <c r="AU58" s="37">
        <f t="shared" si="239"/>
        <v>0</v>
      </c>
      <c r="AV58" s="37">
        <f t="shared" si="239"/>
        <v>0</v>
      </c>
      <c r="AW58" s="37">
        <f t="shared" si="239"/>
        <v>0</v>
      </c>
      <c r="AX58" s="37">
        <f t="shared" si="239"/>
        <v>0</v>
      </c>
      <c r="AY58" s="37">
        <f t="shared" si="239"/>
        <v>0</v>
      </c>
      <c r="AZ58" s="37">
        <f t="shared" si="239"/>
        <v>0</v>
      </c>
      <c r="BA58" s="37">
        <f t="shared" si="239"/>
        <v>0</v>
      </c>
      <c r="BB58" s="37">
        <f t="shared" si="239"/>
        <v>0</v>
      </c>
      <c r="BC58" s="37">
        <f t="shared" si="239"/>
        <v>0</v>
      </c>
      <c r="BD58" s="37">
        <f t="shared" si="239"/>
        <v>0</v>
      </c>
      <c r="BE58" s="37">
        <f t="shared" si="239"/>
        <v>0</v>
      </c>
      <c r="BF58" s="37">
        <f t="shared" si="239"/>
        <v>2.2464519133791329E-12</v>
      </c>
      <c r="BG58" s="37">
        <f t="shared" si="239"/>
        <v>0</v>
      </c>
      <c r="BH58" s="37">
        <f t="shared" si="239"/>
        <v>0</v>
      </c>
      <c r="BI58" s="37">
        <f t="shared" si="239"/>
        <v>0</v>
      </c>
      <c r="BJ58" s="37">
        <f t="shared" si="239"/>
        <v>0</v>
      </c>
      <c r="BK58" s="37">
        <f t="shared" si="239"/>
        <v>0</v>
      </c>
      <c r="BL58" s="37">
        <f t="shared" si="239"/>
        <v>0</v>
      </c>
      <c r="BM58" s="37">
        <f t="shared" si="239"/>
        <v>0</v>
      </c>
      <c r="BN58" s="37">
        <f t="shared" si="239"/>
        <v>0</v>
      </c>
      <c r="BO58" s="37">
        <f t="shared" si="239"/>
        <v>0</v>
      </c>
      <c r="BP58" s="37">
        <f t="shared" si="239"/>
        <v>0</v>
      </c>
      <c r="BQ58" s="37">
        <f t="shared" ref="BQ58:EB58" si="240">MIN(BQ54+BQ55-BQ56-BQ57,BQ51*$F$5)</f>
        <v>0</v>
      </c>
      <c r="BR58" s="37">
        <f t="shared" si="240"/>
        <v>0</v>
      </c>
      <c r="BS58" s="37">
        <f t="shared" si="240"/>
        <v>0</v>
      </c>
      <c r="BT58" s="37">
        <f t="shared" si="240"/>
        <v>0</v>
      </c>
      <c r="BU58" s="37">
        <f t="shared" si="240"/>
        <v>0</v>
      </c>
      <c r="BV58" s="37">
        <f t="shared" si="240"/>
        <v>0</v>
      </c>
      <c r="BW58" s="37">
        <f t="shared" si="240"/>
        <v>0</v>
      </c>
      <c r="BX58" s="37">
        <f t="shared" si="240"/>
        <v>0</v>
      </c>
      <c r="BY58" s="37">
        <f t="shared" si="240"/>
        <v>0</v>
      </c>
      <c r="BZ58" s="37">
        <f t="shared" si="240"/>
        <v>0</v>
      </c>
      <c r="CA58" s="37">
        <f t="shared" si="240"/>
        <v>0</v>
      </c>
      <c r="CB58" s="37">
        <f t="shared" si="240"/>
        <v>0</v>
      </c>
      <c r="CC58" s="37">
        <f t="shared" si="240"/>
        <v>0</v>
      </c>
      <c r="CD58" s="37">
        <f t="shared" si="240"/>
        <v>0</v>
      </c>
      <c r="CE58" s="37">
        <f t="shared" si="240"/>
        <v>0</v>
      </c>
      <c r="CF58" s="37">
        <f t="shared" si="240"/>
        <v>0</v>
      </c>
      <c r="CG58" s="37">
        <f t="shared" si="240"/>
        <v>0</v>
      </c>
      <c r="CH58" s="37">
        <f t="shared" si="240"/>
        <v>0</v>
      </c>
      <c r="CI58" s="37">
        <f t="shared" si="240"/>
        <v>0</v>
      </c>
      <c r="CJ58" s="37">
        <f t="shared" si="240"/>
        <v>0</v>
      </c>
      <c r="CK58" s="37">
        <f t="shared" si="240"/>
        <v>0</v>
      </c>
      <c r="CL58" s="37">
        <f t="shared" si="240"/>
        <v>0</v>
      </c>
      <c r="CM58" s="37">
        <f t="shared" si="240"/>
        <v>0</v>
      </c>
      <c r="CN58" s="37">
        <f t="shared" si="240"/>
        <v>0</v>
      </c>
      <c r="CO58" s="37">
        <f t="shared" si="240"/>
        <v>0</v>
      </c>
      <c r="CP58" s="37">
        <f t="shared" si="240"/>
        <v>0</v>
      </c>
      <c r="CQ58" s="37">
        <f t="shared" si="240"/>
        <v>0</v>
      </c>
      <c r="CR58" s="37">
        <f t="shared" si="240"/>
        <v>0</v>
      </c>
      <c r="CS58" s="37">
        <f t="shared" si="240"/>
        <v>0</v>
      </c>
      <c r="CT58" s="37">
        <f t="shared" si="240"/>
        <v>0</v>
      </c>
      <c r="CU58" s="37">
        <f t="shared" si="240"/>
        <v>0</v>
      </c>
      <c r="CV58" s="37">
        <f t="shared" si="240"/>
        <v>0</v>
      </c>
      <c r="CW58" s="37">
        <f t="shared" si="240"/>
        <v>0</v>
      </c>
      <c r="CX58" s="37">
        <f t="shared" si="240"/>
        <v>0</v>
      </c>
      <c r="CY58" s="37">
        <f t="shared" si="240"/>
        <v>0</v>
      </c>
      <c r="CZ58" s="37">
        <f t="shared" si="240"/>
        <v>0</v>
      </c>
      <c r="DA58" s="37">
        <f t="shared" si="240"/>
        <v>0</v>
      </c>
      <c r="DB58" s="37">
        <f t="shared" si="240"/>
        <v>0</v>
      </c>
      <c r="DC58" s="37">
        <f t="shared" si="240"/>
        <v>0</v>
      </c>
      <c r="DD58" s="37">
        <f t="shared" si="240"/>
        <v>0</v>
      </c>
      <c r="DE58" s="37">
        <f t="shared" si="240"/>
        <v>0</v>
      </c>
      <c r="DF58" s="37">
        <f t="shared" si="240"/>
        <v>0</v>
      </c>
      <c r="DG58" s="37">
        <f t="shared" si="240"/>
        <v>0</v>
      </c>
      <c r="DH58" s="37">
        <f t="shared" si="240"/>
        <v>0</v>
      </c>
      <c r="DI58" s="37">
        <f t="shared" si="240"/>
        <v>0</v>
      </c>
      <c r="DJ58" s="37">
        <f t="shared" si="240"/>
        <v>0</v>
      </c>
      <c r="DK58" s="37">
        <f t="shared" si="240"/>
        <v>0</v>
      </c>
      <c r="DL58" s="37">
        <f t="shared" si="240"/>
        <v>0</v>
      </c>
      <c r="DM58" s="37">
        <f t="shared" si="240"/>
        <v>0</v>
      </c>
      <c r="DN58" s="37">
        <f t="shared" si="240"/>
        <v>0</v>
      </c>
      <c r="DO58" s="37">
        <f t="shared" si="240"/>
        <v>0</v>
      </c>
      <c r="DP58" s="37">
        <f t="shared" si="240"/>
        <v>0</v>
      </c>
      <c r="DQ58" s="37">
        <f t="shared" si="240"/>
        <v>0</v>
      </c>
      <c r="DR58" s="37">
        <f t="shared" si="240"/>
        <v>0</v>
      </c>
      <c r="DS58" s="37">
        <f t="shared" si="240"/>
        <v>0</v>
      </c>
      <c r="DT58" s="37">
        <f t="shared" si="240"/>
        <v>0</v>
      </c>
      <c r="DU58" s="37">
        <f t="shared" si="240"/>
        <v>0</v>
      </c>
      <c r="DV58" s="37">
        <f t="shared" si="240"/>
        <v>0</v>
      </c>
      <c r="DW58" s="37">
        <f t="shared" si="240"/>
        <v>0</v>
      </c>
      <c r="DX58" s="37">
        <f t="shared" si="240"/>
        <v>0</v>
      </c>
      <c r="DY58" s="37">
        <f t="shared" si="240"/>
        <v>0</v>
      </c>
      <c r="DZ58" s="37">
        <f t="shared" si="240"/>
        <v>0</v>
      </c>
      <c r="EA58" s="37">
        <f t="shared" si="240"/>
        <v>0</v>
      </c>
      <c r="EB58" s="37">
        <f t="shared" si="240"/>
        <v>0</v>
      </c>
      <c r="EC58" s="37">
        <f t="shared" ref="EC58:EE58" si="241">MIN(EC54+EC55-EC56-EC57,EC51*$F$5)</f>
        <v>0</v>
      </c>
      <c r="ED58" s="37">
        <f t="shared" si="241"/>
        <v>0</v>
      </c>
      <c r="EE58" s="37">
        <f t="shared" si="241"/>
        <v>0</v>
      </c>
    </row>
    <row r="59" spans="1:135" x14ac:dyDescent="0.35">
      <c r="A59" s="47" t="s">
        <v>55</v>
      </c>
      <c r="B59" s="34" t="s">
        <v>50</v>
      </c>
      <c r="C59" s="13">
        <f>C54+C55-C56-C57-C58</f>
        <v>3498375</v>
      </c>
      <c r="D59" s="13">
        <f t="shared" ref="D59:BO59" si="242">D54+D55-D56-D57-D58</f>
        <v>3525568.418884994</v>
      </c>
      <c r="E59" s="13">
        <f t="shared" si="242"/>
        <v>3552924.2325619454</v>
      </c>
      <c r="F59" s="13">
        <f t="shared" si="242"/>
        <v>3579154.2045419742</v>
      </c>
      <c r="G59" s="13">
        <f t="shared" si="242"/>
        <v>3606824.106668625</v>
      </c>
      <c r="H59" s="13">
        <f t="shared" si="242"/>
        <v>3633350.9564169315</v>
      </c>
      <c r="I59" s="13">
        <f t="shared" si="242"/>
        <v>3661339.4524441971</v>
      </c>
      <c r="J59" s="13">
        <f t="shared" si="242"/>
        <v>3689496.3260823432</v>
      </c>
      <c r="K59" s="13">
        <f t="shared" si="242"/>
        <v>3713807.186555515</v>
      </c>
      <c r="L59" s="13">
        <f t="shared" si="242"/>
        <v>3742259.7722186232</v>
      </c>
      <c r="M59" s="13">
        <f t="shared" si="242"/>
        <v>3769525.959708239</v>
      </c>
      <c r="N59" s="13">
        <f t="shared" si="242"/>
        <v>3798308.2589058317</v>
      </c>
      <c r="O59" s="13">
        <f t="shared" si="242"/>
        <v>3825886.3107103282</v>
      </c>
      <c r="P59" s="13">
        <f t="shared" si="242"/>
        <v>3855003.1041419227</v>
      </c>
      <c r="Q59" s="13">
        <f t="shared" si="242"/>
        <v>3884296.7202747972</v>
      </c>
      <c r="R59" s="13">
        <f t="shared" si="242"/>
        <v>3912358.7889561341</v>
      </c>
      <c r="S59" s="13">
        <f t="shared" si="242"/>
        <v>3941994.4025172079</v>
      </c>
      <c r="T59" s="13">
        <f t="shared" si="242"/>
        <v>3970380.1337388828</v>
      </c>
      <c r="U59" s="13">
        <f t="shared" si="242"/>
        <v>4000362.7456530691</v>
      </c>
      <c r="V59" s="13">
        <f t="shared" si="242"/>
        <v>4030528.8089962848</v>
      </c>
      <c r="W59" s="13">
        <f t="shared" si="242"/>
        <v>4056492.888985212</v>
      </c>
      <c r="X59" s="13">
        <f t="shared" si="242"/>
        <v>4086981.0772182331</v>
      </c>
      <c r="Y59" s="13">
        <f t="shared" si="242"/>
        <v>4116173.2055406617</v>
      </c>
      <c r="Z59" s="13">
        <f t="shared" si="242"/>
        <v>4147020.7486827266</v>
      </c>
      <c r="AA59" s="13">
        <f t="shared" si="242"/>
        <v>4176553.2060123784</v>
      </c>
      <c r="AB59" s="13">
        <f t="shared" si="242"/>
        <v>4207765.415057133</v>
      </c>
      <c r="AC59" s="13">
        <f t="shared" si="242"/>
        <v>4239170.4451633664</v>
      </c>
      <c r="AD59" s="13">
        <f t="shared" si="242"/>
        <v>4269231.2792543955</v>
      </c>
      <c r="AE59" s="13">
        <f t="shared" si="242"/>
        <v>4301009.3097812943</v>
      </c>
      <c r="AF59" s="13">
        <f t="shared" si="242"/>
        <v>4331423.5922918506</v>
      </c>
      <c r="AG59" s="13">
        <f t="shared" si="242"/>
        <v>4363580.1820172211</v>
      </c>
      <c r="AH59" s="13">
        <f t="shared" si="242"/>
        <v>4395936.947674186</v>
      </c>
      <c r="AI59" s="13">
        <f t="shared" si="242"/>
        <v>4425305.1849524798</v>
      </c>
      <c r="AJ59" s="13">
        <f t="shared" si="242"/>
        <v>4458031.3850221094</v>
      </c>
      <c r="AK59" s="13">
        <f t="shared" si="242"/>
        <v>4489344.2063229103</v>
      </c>
      <c r="AL59" s="13">
        <f t="shared" si="242"/>
        <v>4522463.1126128202</v>
      </c>
      <c r="AM59" s="13">
        <f t="shared" si="242"/>
        <v>4554148.3305839561</v>
      </c>
      <c r="AN59" s="13">
        <f t="shared" si="242"/>
        <v>4587665.8602202693</v>
      </c>
      <c r="AO59" s="13">
        <f t="shared" si="242"/>
        <v>4621394.1857088218</v>
      </c>
      <c r="AP59" s="13">
        <f t="shared" si="242"/>
        <v>4653657.737408963</v>
      </c>
      <c r="AQ59" s="13">
        <f t="shared" si="242"/>
        <v>4687793.9701147703</v>
      </c>
      <c r="AR59" s="13">
        <f t="shared" si="242"/>
        <v>4720444.548212748</v>
      </c>
      <c r="AS59" s="13">
        <f t="shared" si="242"/>
        <v>4754994.8847676385</v>
      </c>
      <c r="AT59" s="13">
        <f t="shared" si="242"/>
        <v>4789764.2009208621</v>
      </c>
      <c r="AU59" s="13">
        <f t="shared" si="242"/>
        <v>4819541.0365172178</v>
      </c>
      <c r="AV59" s="13">
        <f t="shared" si="242"/>
        <v>4854695.2921663206</v>
      </c>
      <c r="AW59" s="13">
        <f t="shared" si="242"/>
        <v>4888311.2960079024</v>
      </c>
      <c r="AX59" s="13">
        <f t="shared" si="242"/>
        <v>4923895.0067959474</v>
      </c>
      <c r="AY59" s="13">
        <f t="shared" si="242"/>
        <v>4957918.771019442</v>
      </c>
      <c r="AZ59" s="13">
        <f t="shared" si="242"/>
        <v>4993938.5288137281</v>
      </c>
      <c r="BA59" s="13">
        <f t="shared" si="242"/>
        <v>5030188.8696066225</v>
      </c>
      <c r="BB59" s="13">
        <f t="shared" si="242"/>
        <v>5064846.0463929474</v>
      </c>
      <c r="BC59" s="13">
        <f t="shared" si="242"/>
        <v>5101542.7742604194</v>
      </c>
      <c r="BD59" s="13">
        <f t="shared" si="242"/>
        <v>5136624.0225558551</v>
      </c>
      <c r="BE59" s="13">
        <f t="shared" si="242"/>
        <v>5173774.0443410808</v>
      </c>
      <c r="BF59" s="13">
        <f t="shared" si="242"/>
        <v>5211163.7547740135</v>
      </c>
      <c r="BG59" s="13">
        <f t="shared" si="242"/>
        <v>5243123.2357736062</v>
      </c>
      <c r="BH59" s="13">
        <f t="shared" si="242"/>
        <v>5280934.7660317924</v>
      </c>
      <c r="BI59" s="13">
        <f t="shared" si="242"/>
        <v>5317074.5984841483</v>
      </c>
      <c r="BJ59" s="13">
        <f t="shared" si="242"/>
        <v>5355356.557232121</v>
      </c>
      <c r="BK59" s="13">
        <f t="shared" si="242"/>
        <v>930235.81116722338</v>
      </c>
      <c r="BL59" s="13">
        <f t="shared" si="242"/>
        <v>0</v>
      </c>
      <c r="BM59" s="13">
        <f t="shared" si="242"/>
        <v>0</v>
      </c>
      <c r="BN59" s="13">
        <f t="shared" si="242"/>
        <v>0</v>
      </c>
      <c r="BO59" s="13">
        <f t="shared" si="242"/>
        <v>0</v>
      </c>
      <c r="BP59" s="13">
        <f t="shared" ref="BP59:EA59" si="243">BP54+BP55-BP56-BP57-BP58</f>
        <v>0</v>
      </c>
      <c r="BQ59" s="13">
        <f t="shared" si="243"/>
        <v>0</v>
      </c>
      <c r="BR59" s="13">
        <f t="shared" si="243"/>
        <v>0</v>
      </c>
      <c r="BS59" s="13">
        <f t="shared" si="243"/>
        <v>0</v>
      </c>
      <c r="BT59" s="13">
        <f t="shared" si="243"/>
        <v>0</v>
      </c>
      <c r="BU59" s="13">
        <f t="shared" si="243"/>
        <v>0</v>
      </c>
      <c r="BV59" s="13">
        <f t="shared" si="243"/>
        <v>0</v>
      </c>
      <c r="BW59" s="13">
        <f t="shared" si="243"/>
        <v>0</v>
      </c>
      <c r="BX59" s="13">
        <f t="shared" si="243"/>
        <v>0</v>
      </c>
      <c r="BY59" s="13">
        <f t="shared" si="243"/>
        <v>0</v>
      </c>
      <c r="BZ59" s="13">
        <f t="shared" si="243"/>
        <v>0</v>
      </c>
      <c r="CA59" s="13">
        <f t="shared" si="243"/>
        <v>0</v>
      </c>
      <c r="CB59" s="13">
        <f t="shared" si="243"/>
        <v>0</v>
      </c>
      <c r="CC59" s="13">
        <f t="shared" si="243"/>
        <v>0</v>
      </c>
      <c r="CD59" s="13">
        <f t="shared" si="243"/>
        <v>0</v>
      </c>
      <c r="CE59" s="13">
        <f t="shared" si="243"/>
        <v>0</v>
      </c>
      <c r="CF59" s="13">
        <f t="shared" si="243"/>
        <v>0</v>
      </c>
      <c r="CG59" s="13">
        <f t="shared" si="243"/>
        <v>0</v>
      </c>
      <c r="CH59" s="13">
        <f t="shared" si="243"/>
        <v>0</v>
      </c>
      <c r="CI59" s="13">
        <f t="shared" si="243"/>
        <v>0</v>
      </c>
      <c r="CJ59" s="13">
        <f t="shared" si="243"/>
        <v>0</v>
      </c>
      <c r="CK59" s="13">
        <f t="shared" si="243"/>
        <v>0</v>
      </c>
      <c r="CL59" s="13">
        <f t="shared" si="243"/>
        <v>0</v>
      </c>
      <c r="CM59" s="13">
        <f t="shared" si="243"/>
        <v>0</v>
      </c>
      <c r="CN59" s="13">
        <f t="shared" si="243"/>
        <v>0</v>
      </c>
      <c r="CO59" s="13">
        <f t="shared" si="243"/>
        <v>0</v>
      </c>
      <c r="CP59" s="13">
        <f t="shared" si="243"/>
        <v>0</v>
      </c>
      <c r="CQ59" s="13">
        <f t="shared" si="243"/>
        <v>0</v>
      </c>
      <c r="CR59" s="13">
        <f t="shared" si="243"/>
        <v>0</v>
      </c>
      <c r="CS59" s="13">
        <f t="shared" si="243"/>
        <v>0</v>
      </c>
      <c r="CT59" s="13">
        <f t="shared" si="243"/>
        <v>0</v>
      </c>
      <c r="CU59" s="13">
        <f t="shared" si="243"/>
        <v>0</v>
      </c>
      <c r="CV59" s="13">
        <f t="shared" si="243"/>
        <v>0</v>
      </c>
      <c r="CW59" s="13">
        <f t="shared" si="243"/>
        <v>0</v>
      </c>
      <c r="CX59" s="13">
        <f t="shared" si="243"/>
        <v>0</v>
      </c>
      <c r="CY59" s="13">
        <f t="shared" si="243"/>
        <v>0</v>
      </c>
      <c r="CZ59" s="13">
        <f t="shared" si="243"/>
        <v>0</v>
      </c>
      <c r="DA59" s="13">
        <f t="shared" si="243"/>
        <v>0</v>
      </c>
      <c r="DB59" s="13">
        <f t="shared" si="243"/>
        <v>0</v>
      </c>
      <c r="DC59" s="13">
        <f t="shared" si="243"/>
        <v>0</v>
      </c>
      <c r="DD59" s="13">
        <f t="shared" si="243"/>
        <v>0</v>
      </c>
      <c r="DE59" s="13">
        <f t="shared" si="243"/>
        <v>0</v>
      </c>
      <c r="DF59" s="13">
        <f t="shared" si="243"/>
        <v>0</v>
      </c>
      <c r="DG59" s="13">
        <f t="shared" si="243"/>
        <v>0</v>
      </c>
      <c r="DH59" s="13">
        <f t="shared" si="243"/>
        <v>0</v>
      </c>
      <c r="DI59" s="13">
        <f t="shared" si="243"/>
        <v>0</v>
      </c>
      <c r="DJ59" s="13">
        <f t="shared" si="243"/>
        <v>0</v>
      </c>
      <c r="DK59" s="13">
        <f t="shared" si="243"/>
        <v>0</v>
      </c>
      <c r="DL59" s="13">
        <f t="shared" si="243"/>
        <v>0</v>
      </c>
      <c r="DM59" s="13">
        <f t="shared" si="243"/>
        <v>0</v>
      </c>
      <c r="DN59" s="13">
        <f t="shared" si="243"/>
        <v>0</v>
      </c>
      <c r="DO59" s="13">
        <f t="shared" si="243"/>
        <v>0</v>
      </c>
      <c r="DP59" s="13">
        <f t="shared" si="243"/>
        <v>0</v>
      </c>
      <c r="DQ59" s="13">
        <f t="shared" si="243"/>
        <v>0</v>
      </c>
      <c r="DR59" s="13">
        <f t="shared" si="243"/>
        <v>0</v>
      </c>
      <c r="DS59" s="13">
        <f t="shared" si="243"/>
        <v>0</v>
      </c>
      <c r="DT59" s="13">
        <f t="shared" si="243"/>
        <v>0</v>
      </c>
      <c r="DU59" s="13">
        <f t="shared" si="243"/>
        <v>0</v>
      </c>
      <c r="DV59" s="13">
        <f t="shared" si="243"/>
        <v>0</v>
      </c>
      <c r="DW59" s="13">
        <f t="shared" si="243"/>
        <v>0</v>
      </c>
      <c r="DX59" s="13">
        <f t="shared" si="243"/>
        <v>0</v>
      </c>
      <c r="DY59" s="13">
        <f t="shared" si="243"/>
        <v>0</v>
      </c>
      <c r="DZ59" s="13">
        <f t="shared" si="243"/>
        <v>0</v>
      </c>
      <c r="EA59" s="13">
        <f t="shared" si="243"/>
        <v>0</v>
      </c>
      <c r="EB59" s="13">
        <f t="shared" ref="EB59:EE59" si="244">EB54+EB55-EB56-EB57-EB58</f>
        <v>0</v>
      </c>
      <c r="EC59" s="13">
        <f t="shared" si="244"/>
        <v>0</v>
      </c>
      <c r="ED59" s="13">
        <f t="shared" si="244"/>
        <v>0</v>
      </c>
      <c r="EE59" s="13">
        <f t="shared" si="244"/>
        <v>0</v>
      </c>
    </row>
    <row r="60" spans="1:135" x14ac:dyDescent="0.35">
      <c r="A60" s="48">
        <f>XIRR(C60:EE60,$C$13:$EE$13)</f>
        <v>0.1025881826877594</v>
      </c>
      <c r="B60" s="41" t="s">
        <v>51</v>
      </c>
      <c r="C60" s="42">
        <f>SUM(C56:C58)</f>
        <v>-3498375</v>
      </c>
      <c r="D60" s="42">
        <f>SUM(D56:D58)</f>
        <v>11955.423109670224</v>
      </c>
      <c r="E60" s="42">
        <f t="shared" ref="E60:BP60" si="245">SUM(E56:E58)</f>
        <v>12097.338421467313</v>
      </c>
      <c r="F60" s="42">
        <f t="shared" si="245"/>
        <v>12239.831913811442</v>
      </c>
      <c r="G60" s="42">
        <f t="shared" si="245"/>
        <v>12382.905942281766</v>
      </c>
      <c r="H60" s="42">
        <f t="shared" si="245"/>
        <v>12526.562872054285</v>
      </c>
      <c r="I60" s="42">
        <f t="shared" si="245"/>
        <v>12670.805077941084</v>
      </c>
      <c r="J60" s="42">
        <f t="shared" si="245"/>
        <v>12815.634944429497</v>
      </c>
      <c r="K60" s="42">
        <f t="shared" si="245"/>
        <v>12961.05486572155</v>
      </c>
      <c r="L60" s="42">
        <f t="shared" si="245"/>
        <v>13107.067245773555</v>
      </c>
      <c r="M60" s="42">
        <f t="shared" si="245"/>
        <v>13253.674498335829</v>
      </c>
      <c r="N60" s="42">
        <f t="shared" si="245"/>
        <v>13400.879046992632</v>
      </c>
      <c r="O60" s="42">
        <f t="shared" si="245"/>
        <v>13548.68332520217</v>
      </c>
      <c r="P60" s="42">
        <f t="shared" si="245"/>
        <v>13697.089776336898</v>
      </c>
      <c r="Q60" s="42">
        <f t="shared" si="245"/>
        <v>13846.100853723838</v>
      </c>
      <c r="R60" s="42">
        <f t="shared" si="245"/>
        <v>13995.719020685174</v>
      </c>
      <c r="S60" s="42">
        <f t="shared" si="245"/>
        <v>14145.946750579007</v>
      </c>
      <c r="T60" s="42">
        <f t="shared" si="245"/>
        <v>14296.786526840162</v>
      </c>
      <c r="U60" s="42">
        <f t="shared" si="245"/>
        <v>14448.240843021298</v>
      </c>
      <c r="V60" s="42">
        <f t="shared" si="245"/>
        <v>14600.312202834126</v>
      </c>
      <c r="W60" s="42">
        <f t="shared" si="245"/>
        <v>14753.003120190779</v>
      </c>
      <c r="X60" s="42">
        <f t="shared" si="245"/>
        <v>14906.316119245388</v>
      </c>
      <c r="Y60" s="42">
        <f t="shared" si="245"/>
        <v>15060.253734435775</v>
      </c>
      <c r="Z60" s="42">
        <f t="shared" si="245"/>
        <v>15214.818510525422</v>
      </c>
      <c r="AA60" s="42">
        <f t="shared" si="245"/>
        <v>15370.013002645437</v>
      </c>
      <c r="AB60" s="42">
        <f t="shared" si="245"/>
        <v>15525.839776336899</v>
      </c>
      <c r="AC60" s="42">
        <f t="shared" si="245"/>
        <v>15682.301407593175</v>
      </c>
      <c r="AD60" s="42">
        <f t="shared" si="245"/>
        <v>15839.400482902598</v>
      </c>
      <c r="AE60" s="42">
        <f t="shared" si="245"/>
        <v>15997.139599291117</v>
      </c>
      <c r="AF60" s="42">
        <f t="shared" si="245"/>
        <v>16155.521364365328</v>
      </c>
      <c r="AG60" s="42">
        <f t="shared" si="245"/>
        <v>16314.548396355518</v>
      </c>
      <c r="AH60" s="42">
        <f t="shared" si="245"/>
        <v>16474.223324158993</v>
      </c>
      <c r="AI60" s="42">
        <f t="shared" si="245"/>
        <v>16634.548787383479</v>
      </c>
      <c r="AJ60" s="42">
        <f t="shared" si="245"/>
        <v>16795.527436390807</v>
      </c>
      <c r="AK60" s="42">
        <f t="shared" si="245"/>
        <v>16957.161932340721</v>
      </c>
      <c r="AL60" s="42">
        <f t="shared" si="245"/>
        <v>17119.454947234844</v>
      </c>
      <c r="AM60" s="42">
        <f t="shared" si="245"/>
        <v>17282.409163960871</v>
      </c>
      <c r="AN60" s="42">
        <f t="shared" si="245"/>
        <v>17446.027276336896</v>
      </c>
      <c r="AO60" s="42">
        <f t="shared" si="245"/>
        <v>17610.311989155995</v>
      </c>
      <c r="AP60" s="42">
        <f t="shared" si="245"/>
        <v>17775.266018230886</v>
      </c>
      <c r="AQ60" s="42">
        <f t="shared" si="245"/>
        <v>17940.892090438825</v>
      </c>
      <c r="AR60" s="42">
        <f t="shared" si="245"/>
        <v>18107.192943766746</v>
      </c>
      <c r="AS60" s="42">
        <f t="shared" si="245"/>
        <v>18274.171327356453</v>
      </c>
      <c r="AT60" s="42">
        <f t="shared" si="245"/>
        <v>18441.830001550097</v>
      </c>
      <c r="AU60" s="42">
        <f t="shared" si="245"/>
        <v>18610.171737935816</v>
      </c>
      <c r="AV60" s="42">
        <f t="shared" si="245"/>
        <v>18779.199319393505</v>
      </c>
      <c r="AW60" s="42">
        <f t="shared" si="245"/>
        <v>18948.915540140919</v>
      </c>
      <c r="AX60" s="42">
        <f t="shared" si="245"/>
        <v>19119.32320577975</v>
      </c>
      <c r="AY60" s="42">
        <f t="shared" si="245"/>
        <v>19290.425133342069</v>
      </c>
      <c r="AZ60" s="42">
        <f t="shared" si="245"/>
        <v>19462.22415133689</v>
      </c>
      <c r="BA60" s="42">
        <f t="shared" si="245"/>
        <v>19634.723099796956</v>
      </c>
      <c r="BB60" s="42">
        <f t="shared" si="245"/>
        <v>19807.924830325581</v>
      </c>
      <c r="BC60" s="42">
        <f t="shared" si="245"/>
        <v>19981.832206143928</v>
      </c>
      <c r="BD60" s="42">
        <f t="shared" si="245"/>
        <v>20156.448102138245</v>
      </c>
      <c r="BE60" s="42">
        <f t="shared" si="245"/>
        <v>20331.775404907432</v>
      </c>
      <c r="BF60" s="42">
        <f t="shared" si="245"/>
        <v>20507.817012810763</v>
      </c>
      <c r="BG60" s="42">
        <f t="shared" si="245"/>
        <v>20684.575836015752</v>
      </c>
      <c r="BH60" s="42">
        <f t="shared" si="245"/>
        <v>20862.054796546348</v>
      </c>
      <c r="BI60" s="42">
        <f t="shared" si="245"/>
        <v>21040.256828331119</v>
      </c>
      <c r="BJ60" s="42">
        <f t="shared" si="245"/>
        <v>21219.184877251893</v>
      </c>
      <c r="BK60" s="42">
        <f t="shared" si="245"/>
        <v>4483106.6481143078</v>
      </c>
      <c r="BL60" s="42">
        <f t="shared" si="245"/>
        <v>0</v>
      </c>
      <c r="BM60" s="42">
        <f t="shared" si="245"/>
        <v>0</v>
      </c>
      <c r="BN60" s="42">
        <f t="shared" si="245"/>
        <v>0</v>
      </c>
      <c r="BO60" s="42">
        <f t="shared" si="245"/>
        <v>0</v>
      </c>
      <c r="BP60" s="42">
        <f t="shared" si="245"/>
        <v>0</v>
      </c>
      <c r="BQ60" s="42">
        <f t="shared" ref="BQ60:EB60" si="246">SUM(BQ56:BQ58)</f>
        <v>0</v>
      </c>
      <c r="BR60" s="42">
        <f t="shared" si="246"/>
        <v>0</v>
      </c>
      <c r="BS60" s="42">
        <f t="shared" si="246"/>
        <v>0</v>
      </c>
      <c r="BT60" s="42">
        <f t="shared" si="246"/>
        <v>0</v>
      </c>
      <c r="BU60" s="42">
        <f t="shared" si="246"/>
        <v>0</v>
      </c>
      <c r="BV60" s="42">
        <f t="shared" si="246"/>
        <v>0</v>
      </c>
      <c r="BW60" s="42">
        <f t="shared" si="246"/>
        <v>0</v>
      </c>
      <c r="BX60" s="42">
        <f t="shared" si="246"/>
        <v>0</v>
      </c>
      <c r="BY60" s="42">
        <f t="shared" si="246"/>
        <v>0</v>
      </c>
      <c r="BZ60" s="42">
        <f t="shared" si="246"/>
        <v>0</v>
      </c>
      <c r="CA60" s="42">
        <f t="shared" si="246"/>
        <v>0</v>
      </c>
      <c r="CB60" s="42">
        <f t="shared" si="246"/>
        <v>0</v>
      </c>
      <c r="CC60" s="42">
        <f t="shared" si="246"/>
        <v>0</v>
      </c>
      <c r="CD60" s="42">
        <f t="shared" si="246"/>
        <v>0</v>
      </c>
      <c r="CE60" s="42">
        <f t="shared" si="246"/>
        <v>0</v>
      </c>
      <c r="CF60" s="42">
        <f t="shared" si="246"/>
        <v>0</v>
      </c>
      <c r="CG60" s="42">
        <f t="shared" si="246"/>
        <v>0</v>
      </c>
      <c r="CH60" s="42">
        <f t="shared" si="246"/>
        <v>0</v>
      </c>
      <c r="CI60" s="42">
        <f t="shared" si="246"/>
        <v>0</v>
      </c>
      <c r="CJ60" s="42">
        <f t="shared" si="246"/>
        <v>0</v>
      </c>
      <c r="CK60" s="42">
        <f t="shared" si="246"/>
        <v>0</v>
      </c>
      <c r="CL60" s="42">
        <f t="shared" si="246"/>
        <v>0</v>
      </c>
      <c r="CM60" s="42">
        <f t="shared" si="246"/>
        <v>0</v>
      </c>
      <c r="CN60" s="42">
        <f t="shared" si="246"/>
        <v>0</v>
      </c>
      <c r="CO60" s="42">
        <f t="shared" si="246"/>
        <v>0</v>
      </c>
      <c r="CP60" s="42">
        <f t="shared" si="246"/>
        <v>0</v>
      </c>
      <c r="CQ60" s="42">
        <f t="shared" si="246"/>
        <v>0</v>
      </c>
      <c r="CR60" s="42">
        <f t="shared" si="246"/>
        <v>0</v>
      </c>
      <c r="CS60" s="42">
        <f t="shared" si="246"/>
        <v>0</v>
      </c>
      <c r="CT60" s="42">
        <f t="shared" si="246"/>
        <v>0</v>
      </c>
      <c r="CU60" s="42">
        <f t="shared" si="246"/>
        <v>0</v>
      </c>
      <c r="CV60" s="42">
        <f t="shared" si="246"/>
        <v>0</v>
      </c>
      <c r="CW60" s="42">
        <f t="shared" si="246"/>
        <v>0</v>
      </c>
      <c r="CX60" s="42">
        <f t="shared" si="246"/>
        <v>0</v>
      </c>
      <c r="CY60" s="42">
        <f t="shared" si="246"/>
        <v>0</v>
      </c>
      <c r="CZ60" s="42">
        <f t="shared" si="246"/>
        <v>0</v>
      </c>
      <c r="DA60" s="42">
        <f t="shared" si="246"/>
        <v>0</v>
      </c>
      <c r="DB60" s="42">
        <f t="shared" si="246"/>
        <v>0</v>
      </c>
      <c r="DC60" s="42">
        <f t="shared" si="246"/>
        <v>0</v>
      </c>
      <c r="DD60" s="42">
        <f t="shared" si="246"/>
        <v>0</v>
      </c>
      <c r="DE60" s="42">
        <f t="shared" si="246"/>
        <v>0</v>
      </c>
      <c r="DF60" s="42">
        <f t="shared" si="246"/>
        <v>0</v>
      </c>
      <c r="DG60" s="42">
        <f t="shared" si="246"/>
        <v>0</v>
      </c>
      <c r="DH60" s="42">
        <f t="shared" si="246"/>
        <v>0</v>
      </c>
      <c r="DI60" s="42">
        <f t="shared" si="246"/>
        <v>0</v>
      </c>
      <c r="DJ60" s="42">
        <f t="shared" si="246"/>
        <v>0</v>
      </c>
      <c r="DK60" s="42">
        <f t="shared" si="246"/>
        <v>0</v>
      </c>
      <c r="DL60" s="42">
        <f t="shared" si="246"/>
        <v>0</v>
      </c>
      <c r="DM60" s="42">
        <f t="shared" si="246"/>
        <v>0</v>
      </c>
      <c r="DN60" s="42">
        <f t="shared" si="246"/>
        <v>0</v>
      </c>
      <c r="DO60" s="42">
        <f t="shared" si="246"/>
        <v>0</v>
      </c>
      <c r="DP60" s="42">
        <f t="shared" si="246"/>
        <v>0</v>
      </c>
      <c r="DQ60" s="42">
        <f t="shared" si="246"/>
        <v>0</v>
      </c>
      <c r="DR60" s="42">
        <f t="shared" si="246"/>
        <v>0</v>
      </c>
      <c r="DS60" s="42">
        <f t="shared" si="246"/>
        <v>0</v>
      </c>
      <c r="DT60" s="42">
        <f t="shared" si="246"/>
        <v>0</v>
      </c>
      <c r="DU60" s="42">
        <f t="shared" si="246"/>
        <v>0</v>
      </c>
      <c r="DV60" s="42">
        <f t="shared" si="246"/>
        <v>0</v>
      </c>
      <c r="DW60" s="42">
        <f t="shared" si="246"/>
        <v>0</v>
      </c>
      <c r="DX60" s="42">
        <f t="shared" si="246"/>
        <v>0</v>
      </c>
      <c r="DY60" s="42">
        <f t="shared" si="246"/>
        <v>0</v>
      </c>
      <c r="DZ60" s="42">
        <f t="shared" si="246"/>
        <v>0</v>
      </c>
      <c r="EA60" s="42">
        <f t="shared" si="246"/>
        <v>0</v>
      </c>
      <c r="EB60" s="42">
        <f t="shared" si="246"/>
        <v>0</v>
      </c>
      <c r="EC60" s="42">
        <f t="shared" ref="EC60:EE60" si="247">SUM(EC56:EC58)</f>
        <v>0</v>
      </c>
      <c r="ED60" s="42">
        <f t="shared" si="247"/>
        <v>0</v>
      </c>
      <c r="EE60" s="42">
        <f t="shared" si="247"/>
        <v>0</v>
      </c>
    </row>
    <row r="61" spans="1:135" x14ac:dyDescent="0.35">
      <c r="A61" s="47"/>
      <c r="B61" s="34" t="s">
        <v>53</v>
      </c>
      <c r="C61" s="37">
        <f>C58/$F$5*$E$5</f>
        <v>0</v>
      </c>
      <c r="D61" s="37">
        <f t="shared" ref="D61:BO61" si="248">D58/$F$5*$E$5</f>
        <v>0</v>
      </c>
      <c r="E61" s="37">
        <f t="shared" si="248"/>
        <v>0</v>
      </c>
      <c r="F61" s="37">
        <f t="shared" si="248"/>
        <v>0</v>
      </c>
      <c r="G61" s="37">
        <f t="shared" si="248"/>
        <v>0</v>
      </c>
      <c r="H61" s="37">
        <f t="shared" si="248"/>
        <v>0</v>
      </c>
      <c r="I61" s="37">
        <f t="shared" si="248"/>
        <v>0</v>
      </c>
      <c r="J61" s="37">
        <f t="shared" si="248"/>
        <v>0</v>
      </c>
      <c r="K61" s="37">
        <f t="shared" si="248"/>
        <v>0</v>
      </c>
      <c r="L61" s="37">
        <f t="shared" si="248"/>
        <v>0</v>
      </c>
      <c r="M61" s="37">
        <f t="shared" si="248"/>
        <v>0</v>
      </c>
      <c r="N61" s="37">
        <f t="shared" si="248"/>
        <v>0</v>
      </c>
      <c r="O61" s="37">
        <f t="shared" si="248"/>
        <v>0</v>
      </c>
      <c r="P61" s="37">
        <f t="shared" si="248"/>
        <v>0</v>
      </c>
      <c r="Q61" s="37">
        <f t="shared" si="248"/>
        <v>0</v>
      </c>
      <c r="R61" s="37">
        <f t="shared" si="248"/>
        <v>0</v>
      </c>
      <c r="S61" s="37">
        <f t="shared" si="248"/>
        <v>0</v>
      </c>
      <c r="T61" s="37">
        <f t="shared" si="248"/>
        <v>0</v>
      </c>
      <c r="U61" s="37">
        <f t="shared" si="248"/>
        <v>0</v>
      </c>
      <c r="V61" s="37">
        <f t="shared" si="248"/>
        <v>0</v>
      </c>
      <c r="W61" s="37">
        <f t="shared" si="248"/>
        <v>0</v>
      </c>
      <c r="X61" s="37">
        <f t="shared" si="248"/>
        <v>0</v>
      </c>
      <c r="Y61" s="37">
        <f t="shared" si="248"/>
        <v>0</v>
      </c>
      <c r="Z61" s="37">
        <f t="shared" si="248"/>
        <v>0</v>
      </c>
      <c r="AA61" s="37">
        <f t="shared" si="248"/>
        <v>0</v>
      </c>
      <c r="AB61" s="37">
        <f t="shared" si="248"/>
        <v>0</v>
      </c>
      <c r="AC61" s="37">
        <f t="shared" si="248"/>
        <v>0</v>
      </c>
      <c r="AD61" s="37">
        <f t="shared" si="248"/>
        <v>0</v>
      </c>
      <c r="AE61" s="37">
        <f t="shared" si="248"/>
        <v>0</v>
      </c>
      <c r="AF61" s="37">
        <f t="shared" si="248"/>
        <v>0</v>
      </c>
      <c r="AG61" s="37">
        <f t="shared" si="248"/>
        <v>0</v>
      </c>
      <c r="AH61" s="37">
        <f t="shared" si="248"/>
        <v>0</v>
      </c>
      <c r="AI61" s="37">
        <f t="shared" si="248"/>
        <v>0</v>
      </c>
      <c r="AJ61" s="37">
        <f t="shared" si="248"/>
        <v>0</v>
      </c>
      <c r="AK61" s="37">
        <f t="shared" si="248"/>
        <v>0</v>
      </c>
      <c r="AL61" s="37">
        <f t="shared" si="248"/>
        <v>0</v>
      </c>
      <c r="AM61" s="37">
        <f t="shared" si="248"/>
        <v>0</v>
      </c>
      <c r="AN61" s="37">
        <f t="shared" si="248"/>
        <v>0</v>
      </c>
      <c r="AO61" s="37">
        <f t="shared" si="248"/>
        <v>0</v>
      </c>
      <c r="AP61" s="37">
        <f t="shared" si="248"/>
        <v>0</v>
      </c>
      <c r="AQ61" s="37">
        <f t="shared" si="248"/>
        <v>0</v>
      </c>
      <c r="AR61" s="37">
        <f t="shared" si="248"/>
        <v>0</v>
      </c>
      <c r="AS61" s="37">
        <f t="shared" si="248"/>
        <v>0</v>
      </c>
      <c r="AT61" s="37">
        <f t="shared" si="248"/>
        <v>0</v>
      </c>
      <c r="AU61" s="37">
        <f t="shared" si="248"/>
        <v>0</v>
      </c>
      <c r="AV61" s="37">
        <f t="shared" si="248"/>
        <v>0</v>
      </c>
      <c r="AW61" s="37">
        <f t="shared" si="248"/>
        <v>0</v>
      </c>
      <c r="AX61" s="37">
        <f t="shared" si="248"/>
        <v>0</v>
      </c>
      <c r="AY61" s="37">
        <f t="shared" si="248"/>
        <v>0</v>
      </c>
      <c r="AZ61" s="37">
        <f t="shared" si="248"/>
        <v>0</v>
      </c>
      <c r="BA61" s="37">
        <f t="shared" si="248"/>
        <v>0</v>
      </c>
      <c r="BB61" s="37">
        <f t="shared" si="248"/>
        <v>0</v>
      </c>
      <c r="BC61" s="37">
        <f t="shared" si="248"/>
        <v>0</v>
      </c>
      <c r="BD61" s="37">
        <f t="shared" si="248"/>
        <v>0</v>
      </c>
      <c r="BE61" s="37">
        <f t="shared" si="248"/>
        <v>0</v>
      </c>
      <c r="BF61" s="37">
        <f t="shared" si="248"/>
        <v>1.39152689371258E-12</v>
      </c>
      <c r="BG61" s="37">
        <f t="shared" si="248"/>
        <v>0</v>
      </c>
      <c r="BH61" s="37">
        <f t="shared" si="248"/>
        <v>0</v>
      </c>
      <c r="BI61" s="37">
        <f t="shared" si="248"/>
        <v>0</v>
      </c>
      <c r="BJ61" s="37">
        <f t="shared" si="248"/>
        <v>0</v>
      </c>
      <c r="BK61" s="37">
        <f t="shared" si="248"/>
        <v>0</v>
      </c>
      <c r="BL61" s="37">
        <f t="shared" si="248"/>
        <v>0</v>
      </c>
      <c r="BM61" s="37">
        <f t="shared" si="248"/>
        <v>0</v>
      </c>
      <c r="BN61" s="37">
        <f t="shared" si="248"/>
        <v>0</v>
      </c>
      <c r="BO61" s="37">
        <f t="shared" si="248"/>
        <v>0</v>
      </c>
      <c r="BP61" s="37">
        <f t="shared" ref="BP61:EA61" si="249">BP58/$F$5*$E$5</f>
        <v>0</v>
      </c>
      <c r="BQ61" s="37">
        <f t="shared" si="249"/>
        <v>0</v>
      </c>
      <c r="BR61" s="37">
        <f t="shared" si="249"/>
        <v>0</v>
      </c>
      <c r="BS61" s="37">
        <f t="shared" si="249"/>
        <v>0</v>
      </c>
      <c r="BT61" s="37">
        <f t="shared" si="249"/>
        <v>0</v>
      </c>
      <c r="BU61" s="37">
        <f t="shared" si="249"/>
        <v>0</v>
      </c>
      <c r="BV61" s="37">
        <f t="shared" si="249"/>
        <v>0</v>
      </c>
      <c r="BW61" s="37">
        <f t="shared" si="249"/>
        <v>0</v>
      </c>
      <c r="BX61" s="37">
        <f t="shared" si="249"/>
        <v>0</v>
      </c>
      <c r="BY61" s="37">
        <f t="shared" si="249"/>
        <v>0</v>
      </c>
      <c r="BZ61" s="37">
        <f t="shared" si="249"/>
        <v>0</v>
      </c>
      <c r="CA61" s="37">
        <f t="shared" si="249"/>
        <v>0</v>
      </c>
      <c r="CB61" s="37">
        <f t="shared" si="249"/>
        <v>0</v>
      </c>
      <c r="CC61" s="37">
        <f t="shared" si="249"/>
        <v>0</v>
      </c>
      <c r="CD61" s="37">
        <f t="shared" si="249"/>
        <v>0</v>
      </c>
      <c r="CE61" s="37">
        <f t="shared" si="249"/>
        <v>0</v>
      </c>
      <c r="CF61" s="37">
        <f t="shared" si="249"/>
        <v>0</v>
      </c>
      <c r="CG61" s="37">
        <f t="shared" si="249"/>
        <v>0</v>
      </c>
      <c r="CH61" s="37">
        <f t="shared" si="249"/>
        <v>0</v>
      </c>
      <c r="CI61" s="37">
        <f t="shared" si="249"/>
        <v>0</v>
      </c>
      <c r="CJ61" s="37">
        <f t="shared" si="249"/>
        <v>0</v>
      </c>
      <c r="CK61" s="37">
        <f t="shared" si="249"/>
        <v>0</v>
      </c>
      <c r="CL61" s="37">
        <f t="shared" si="249"/>
        <v>0</v>
      </c>
      <c r="CM61" s="37">
        <f t="shared" si="249"/>
        <v>0</v>
      </c>
      <c r="CN61" s="37">
        <f t="shared" si="249"/>
        <v>0</v>
      </c>
      <c r="CO61" s="37">
        <f t="shared" si="249"/>
        <v>0</v>
      </c>
      <c r="CP61" s="37">
        <f t="shared" si="249"/>
        <v>0</v>
      </c>
      <c r="CQ61" s="37">
        <f t="shared" si="249"/>
        <v>0</v>
      </c>
      <c r="CR61" s="37">
        <f t="shared" si="249"/>
        <v>0</v>
      </c>
      <c r="CS61" s="37">
        <f t="shared" si="249"/>
        <v>0</v>
      </c>
      <c r="CT61" s="37">
        <f t="shared" si="249"/>
        <v>0</v>
      </c>
      <c r="CU61" s="37">
        <f t="shared" si="249"/>
        <v>0</v>
      </c>
      <c r="CV61" s="37">
        <f t="shared" si="249"/>
        <v>0</v>
      </c>
      <c r="CW61" s="37">
        <f t="shared" si="249"/>
        <v>0</v>
      </c>
      <c r="CX61" s="37">
        <f t="shared" si="249"/>
        <v>0</v>
      </c>
      <c r="CY61" s="37">
        <f t="shared" si="249"/>
        <v>0</v>
      </c>
      <c r="CZ61" s="37">
        <f t="shared" si="249"/>
        <v>0</v>
      </c>
      <c r="DA61" s="37">
        <f t="shared" si="249"/>
        <v>0</v>
      </c>
      <c r="DB61" s="37">
        <f t="shared" si="249"/>
        <v>0</v>
      </c>
      <c r="DC61" s="37">
        <f t="shared" si="249"/>
        <v>0</v>
      </c>
      <c r="DD61" s="37">
        <f t="shared" si="249"/>
        <v>0</v>
      </c>
      <c r="DE61" s="37">
        <f t="shared" si="249"/>
        <v>0</v>
      </c>
      <c r="DF61" s="37">
        <f t="shared" si="249"/>
        <v>0</v>
      </c>
      <c r="DG61" s="37">
        <f t="shared" si="249"/>
        <v>0</v>
      </c>
      <c r="DH61" s="37">
        <f t="shared" si="249"/>
        <v>0</v>
      </c>
      <c r="DI61" s="37">
        <f t="shared" si="249"/>
        <v>0</v>
      </c>
      <c r="DJ61" s="37">
        <f t="shared" si="249"/>
        <v>0</v>
      </c>
      <c r="DK61" s="37">
        <f t="shared" si="249"/>
        <v>0</v>
      </c>
      <c r="DL61" s="37">
        <f t="shared" si="249"/>
        <v>0</v>
      </c>
      <c r="DM61" s="37">
        <f t="shared" si="249"/>
        <v>0</v>
      </c>
      <c r="DN61" s="37">
        <f t="shared" si="249"/>
        <v>0</v>
      </c>
      <c r="DO61" s="37">
        <f t="shared" si="249"/>
        <v>0</v>
      </c>
      <c r="DP61" s="37">
        <f t="shared" si="249"/>
        <v>0</v>
      </c>
      <c r="DQ61" s="37">
        <f t="shared" si="249"/>
        <v>0</v>
      </c>
      <c r="DR61" s="37">
        <f t="shared" si="249"/>
        <v>0</v>
      </c>
      <c r="DS61" s="37">
        <f t="shared" si="249"/>
        <v>0</v>
      </c>
      <c r="DT61" s="37">
        <f t="shared" si="249"/>
        <v>0</v>
      </c>
      <c r="DU61" s="37">
        <f t="shared" si="249"/>
        <v>0</v>
      </c>
      <c r="DV61" s="37">
        <f t="shared" si="249"/>
        <v>0</v>
      </c>
      <c r="DW61" s="37">
        <f t="shared" si="249"/>
        <v>0</v>
      </c>
      <c r="DX61" s="37">
        <f t="shared" si="249"/>
        <v>0</v>
      </c>
      <c r="DY61" s="37">
        <f t="shared" si="249"/>
        <v>0</v>
      </c>
      <c r="DZ61" s="37">
        <f t="shared" si="249"/>
        <v>0</v>
      </c>
      <c r="EA61" s="37">
        <f t="shared" si="249"/>
        <v>0</v>
      </c>
      <c r="EB61" s="37">
        <f t="shared" ref="EB61:EE61" si="250">EB58/$F$5*$E$5</f>
        <v>0</v>
      </c>
      <c r="EC61" s="37">
        <f t="shared" si="250"/>
        <v>0</v>
      </c>
      <c r="ED61" s="37">
        <f t="shared" si="250"/>
        <v>0</v>
      </c>
      <c r="EE61" s="37">
        <f t="shared" si="250"/>
        <v>0</v>
      </c>
    </row>
    <row r="62" spans="1:135" x14ac:dyDescent="0.35">
      <c r="B62" s="35" t="s">
        <v>56</v>
      </c>
      <c r="C62" s="39">
        <f>SUM(C61,C58)</f>
        <v>0</v>
      </c>
      <c r="D62" s="39">
        <f t="shared" ref="D62:BO62" si="251">SUM(D61,D58)</f>
        <v>0</v>
      </c>
      <c r="E62" s="39">
        <f t="shared" si="251"/>
        <v>0</v>
      </c>
      <c r="F62" s="39">
        <f t="shared" si="251"/>
        <v>0</v>
      </c>
      <c r="G62" s="39">
        <f t="shared" si="251"/>
        <v>0</v>
      </c>
      <c r="H62" s="39">
        <f t="shared" si="251"/>
        <v>0</v>
      </c>
      <c r="I62" s="39">
        <f t="shared" si="251"/>
        <v>0</v>
      </c>
      <c r="J62" s="39">
        <f t="shared" si="251"/>
        <v>0</v>
      </c>
      <c r="K62" s="39">
        <f t="shared" si="251"/>
        <v>0</v>
      </c>
      <c r="L62" s="39">
        <f t="shared" si="251"/>
        <v>0</v>
      </c>
      <c r="M62" s="39">
        <f t="shared" si="251"/>
        <v>0</v>
      </c>
      <c r="N62" s="39">
        <f t="shared" si="251"/>
        <v>0</v>
      </c>
      <c r="O62" s="39">
        <f t="shared" si="251"/>
        <v>0</v>
      </c>
      <c r="P62" s="39">
        <f t="shared" si="251"/>
        <v>0</v>
      </c>
      <c r="Q62" s="39">
        <f t="shared" si="251"/>
        <v>0</v>
      </c>
      <c r="R62" s="39">
        <f t="shared" si="251"/>
        <v>0</v>
      </c>
      <c r="S62" s="39">
        <f t="shared" si="251"/>
        <v>0</v>
      </c>
      <c r="T62" s="39">
        <f t="shared" si="251"/>
        <v>0</v>
      </c>
      <c r="U62" s="39">
        <f t="shared" si="251"/>
        <v>0</v>
      </c>
      <c r="V62" s="39">
        <f t="shared" si="251"/>
        <v>0</v>
      </c>
      <c r="W62" s="39">
        <f t="shared" si="251"/>
        <v>0</v>
      </c>
      <c r="X62" s="39">
        <f t="shared" si="251"/>
        <v>0</v>
      </c>
      <c r="Y62" s="39">
        <f t="shared" si="251"/>
        <v>0</v>
      </c>
      <c r="Z62" s="39">
        <f t="shared" si="251"/>
        <v>0</v>
      </c>
      <c r="AA62" s="39">
        <f t="shared" si="251"/>
        <v>0</v>
      </c>
      <c r="AB62" s="39">
        <f t="shared" si="251"/>
        <v>0</v>
      </c>
      <c r="AC62" s="39">
        <f t="shared" si="251"/>
        <v>0</v>
      </c>
      <c r="AD62" s="39">
        <f t="shared" si="251"/>
        <v>0</v>
      </c>
      <c r="AE62" s="39">
        <f t="shared" si="251"/>
        <v>0</v>
      </c>
      <c r="AF62" s="39">
        <f t="shared" si="251"/>
        <v>0</v>
      </c>
      <c r="AG62" s="39">
        <f t="shared" si="251"/>
        <v>0</v>
      </c>
      <c r="AH62" s="39">
        <f t="shared" si="251"/>
        <v>0</v>
      </c>
      <c r="AI62" s="39">
        <f t="shared" si="251"/>
        <v>0</v>
      </c>
      <c r="AJ62" s="39">
        <f t="shared" si="251"/>
        <v>0</v>
      </c>
      <c r="AK62" s="39">
        <f t="shared" si="251"/>
        <v>0</v>
      </c>
      <c r="AL62" s="39">
        <f t="shared" si="251"/>
        <v>0</v>
      </c>
      <c r="AM62" s="39">
        <f t="shared" si="251"/>
        <v>0</v>
      </c>
      <c r="AN62" s="39">
        <f t="shared" si="251"/>
        <v>0</v>
      </c>
      <c r="AO62" s="39">
        <f t="shared" si="251"/>
        <v>0</v>
      </c>
      <c r="AP62" s="39">
        <f t="shared" si="251"/>
        <v>0</v>
      </c>
      <c r="AQ62" s="39">
        <f t="shared" si="251"/>
        <v>0</v>
      </c>
      <c r="AR62" s="39">
        <f t="shared" si="251"/>
        <v>0</v>
      </c>
      <c r="AS62" s="39">
        <f t="shared" si="251"/>
        <v>0</v>
      </c>
      <c r="AT62" s="39">
        <f t="shared" si="251"/>
        <v>0</v>
      </c>
      <c r="AU62" s="39">
        <f t="shared" si="251"/>
        <v>0</v>
      </c>
      <c r="AV62" s="39">
        <f t="shared" si="251"/>
        <v>0</v>
      </c>
      <c r="AW62" s="39">
        <f t="shared" si="251"/>
        <v>0</v>
      </c>
      <c r="AX62" s="39">
        <f t="shared" si="251"/>
        <v>0</v>
      </c>
      <c r="AY62" s="39">
        <f t="shared" si="251"/>
        <v>0</v>
      </c>
      <c r="AZ62" s="39">
        <f t="shared" si="251"/>
        <v>0</v>
      </c>
      <c r="BA62" s="39">
        <f t="shared" si="251"/>
        <v>0</v>
      </c>
      <c r="BB62" s="39">
        <f t="shared" si="251"/>
        <v>0</v>
      </c>
      <c r="BC62" s="39">
        <f t="shared" si="251"/>
        <v>0</v>
      </c>
      <c r="BD62" s="39">
        <f t="shared" si="251"/>
        <v>0</v>
      </c>
      <c r="BE62" s="39">
        <f t="shared" si="251"/>
        <v>0</v>
      </c>
      <c r="BF62" s="39">
        <f t="shared" si="251"/>
        <v>3.637978807091713E-12</v>
      </c>
      <c r="BG62" s="39">
        <f t="shared" si="251"/>
        <v>0</v>
      </c>
      <c r="BH62" s="39">
        <f t="shared" si="251"/>
        <v>0</v>
      </c>
      <c r="BI62" s="39">
        <f t="shared" si="251"/>
        <v>0</v>
      </c>
      <c r="BJ62" s="39">
        <f t="shared" si="251"/>
        <v>0</v>
      </c>
      <c r="BK62" s="39">
        <f>SUM(BK61,BK58)</f>
        <v>0</v>
      </c>
      <c r="BL62" s="39">
        <f t="shared" si="251"/>
        <v>0</v>
      </c>
      <c r="BM62" s="39">
        <f t="shared" si="251"/>
        <v>0</v>
      </c>
      <c r="BN62" s="39">
        <f t="shared" si="251"/>
        <v>0</v>
      </c>
      <c r="BO62" s="39">
        <f t="shared" si="251"/>
        <v>0</v>
      </c>
      <c r="BP62" s="39">
        <f t="shared" ref="BP62:EA62" si="252">SUM(BP61,BP58)</f>
        <v>0</v>
      </c>
      <c r="BQ62" s="39">
        <f t="shared" si="252"/>
        <v>0</v>
      </c>
      <c r="BR62" s="39">
        <f t="shared" si="252"/>
        <v>0</v>
      </c>
      <c r="BS62" s="39">
        <f t="shared" si="252"/>
        <v>0</v>
      </c>
      <c r="BT62" s="39">
        <f t="shared" si="252"/>
        <v>0</v>
      </c>
      <c r="BU62" s="39">
        <f t="shared" si="252"/>
        <v>0</v>
      </c>
      <c r="BV62" s="39">
        <f t="shared" si="252"/>
        <v>0</v>
      </c>
      <c r="BW62" s="39">
        <f t="shared" si="252"/>
        <v>0</v>
      </c>
      <c r="BX62" s="39">
        <f t="shared" si="252"/>
        <v>0</v>
      </c>
      <c r="BY62" s="39">
        <f t="shared" si="252"/>
        <v>0</v>
      </c>
      <c r="BZ62" s="39">
        <f t="shared" si="252"/>
        <v>0</v>
      </c>
      <c r="CA62" s="39">
        <f t="shared" si="252"/>
        <v>0</v>
      </c>
      <c r="CB62" s="39">
        <f t="shared" si="252"/>
        <v>0</v>
      </c>
      <c r="CC62" s="39">
        <f t="shared" si="252"/>
        <v>0</v>
      </c>
      <c r="CD62" s="39">
        <f t="shared" si="252"/>
        <v>0</v>
      </c>
      <c r="CE62" s="39">
        <f t="shared" si="252"/>
        <v>0</v>
      </c>
      <c r="CF62" s="39">
        <f t="shared" si="252"/>
        <v>0</v>
      </c>
      <c r="CG62" s="39">
        <f t="shared" si="252"/>
        <v>0</v>
      </c>
      <c r="CH62" s="39">
        <f t="shared" si="252"/>
        <v>0</v>
      </c>
      <c r="CI62" s="39">
        <f t="shared" si="252"/>
        <v>0</v>
      </c>
      <c r="CJ62" s="39">
        <f t="shared" si="252"/>
        <v>0</v>
      </c>
      <c r="CK62" s="39">
        <f t="shared" si="252"/>
        <v>0</v>
      </c>
      <c r="CL62" s="39">
        <f t="shared" si="252"/>
        <v>0</v>
      </c>
      <c r="CM62" s="39">
        <f t="shared" si="252"/>
        <v>0</v>
      </c>
      <c r="CN62" s="39">
        <f t="shared" si="252"/>
        <v>0</v>
      </c>
      <c r="CO62" s="39">
        <f t="shared" si="252"/>
        <v>0</v>
      </c>
      <c r="CP62" s="39">
        <f t="shared" si="252"/>
        <v>0</v>
      </c>
      <c r="CQ62" s="39">
        <f t="shared" si="252"/>
        <v>0</v>
      </c>
      <c r="CR62" s="39">
        <f t="shared" si="252"/>
        <v>0</v>
      </c>
      <c r="CS62" s="39">
        <f t="shared" si="252"/>
        <v>0</v>
      </c>
      <c r="CT62" s="39">
        <f t="shared" si="252"/>
        <v>0</v>
      </c>
      <c r="CU62" s="39">
        <f t="shared" si="252"/>
        <v>0</v>
      </c>
      <c r="CV62" s="39">
        <f t="shared" si="252"/>
        <v>0</v>
      </c>
      <c r="CW62" s="39">
        <f t="shared" si="252"/>
        <v>0</v>
      </c>
      <c r="CX62" s="39">
        <f t="shared" si="252"/>
        <v>0</v>
      </c>
      <c r="CY62" s="39">
        <f t="shared" si="252"/>
        <v>0</v>
      </c>
      <c r="CZ62" s="39">
        <f t="shared" si="252"/>
        <v>0</v>
      </c>
      <c r="DA62" s="39">
        <f t="shared" si="252"/>
        <v>0</v>
      </c>
      <c r="DB62" s="39">
        <f t="shared" si="252"/>
        <v>0</v>
      </c>
      <c r="DC62" s="39">
        <f t="shared" si="252"/>
        <v>0</v>
      </c>
      <c r="DD62" s="39">
        <f t="shared" si="252"/>
        <v>0</v>
      </c>
      <c r="DE62" s="39">
        <f t="shared" si="252"/>
        <v>0</v>
      </c>
      <c r="DF62" s="39">
        <f t="shared" si="252"/>
        <v>0</v>
      </c>
      <c r="DG62" s="39">
        <f t="shared" si="252"/>
        <v>0</v>
      </c>
      <c r="DH62" s="39">
        <f t="shared" si="252"/>
        <v>0</v>
      </c>
      <c r="DI62" s="39">
        <f t="shared" si="252"/>
        <v>0</v>
      </c>
      <c r="DJ62" s="39">
        <f t="shared" si="252"/>
        <v>0</v>
      </c>
      <c r="DK62" s="39">
        <f t="shared" si="252"/>
        <v>0</v>
      </c>
      <c r="DL62" s="39">
        <f t="shared" si="252"/>
        <v>0</v>
      </c>
      <c r="DM62" s="39">
        <f t="shared" si="252"/>
        <v>0</v>
      </c>
      <c r="DN62" s="39">
        <f t="shared" si="252"/>
        <v>0</v>
      </c>
      <c r="DO62" s="39">
        <f t="shared" si="252"/>
        <v>0</v>
      </c>
      <c r="DP62" s="39">
        <f t="shared" si="252"/>
        <v>0</v>
      </c>
      <c r="DQ62" s="39">
        <f t="shared" si="252"/>
        <v>0</v>
      </c>
      <c r="DR62" s="39">
        <f t="shared" si="252"/>
        <v>0</v>
      </c>
      <c r="DS62" s="39">
        <f t="shared" si="252"/>
        <v>0</v>
      </c>
      <c r="DT62" s="39">
        <f t="shared" si="252"/>
        <v>0</v>
      </c>
      <c r="DU62" s="39">
        <f t="shared" si="252"/>
        <v>0</v>
      </c>
      <c r="DV62" s="39">
        <f t="shared" si="252"/>
        <v>0</v>
      </c>
      <c r="DW62" s="39">
        <f t="shared" si="252"/>
        <v>0</v>
      </c>
      <c r="DX62" s="39">
        <f t="shared" si="252"/>
        <v>0</v>
      </c>
      <c r="DY62" s="39">
        <f t="shared" si="252"/>
        <v>0</v>
      </c>
      <c r="DZ62" s="39">
        <f t="shared" si="252"/>
        <v>0</v>
      </c>
      <c r="EA62" s="39">
        <f t="shared" si="252"/>
        <v>0</v>
      </c>
      <c r="EB62" s="39">
        <f t="shared" ref="EB62:EE62" si="253">SUM(EB61,EB58)</f>
        <v>0</v>
      </c>
      <c r="EC62" s="39">
        <f t="shared" si="253"/>
        <v>0</v>
      </c>
      <c r="ED62" s="39">
        <f t="shared" si="253"/>
        <v>0</v>
      </c>
      <c r="EE62" s="39">
        <f t="shared" si="253"/>
        <v>0</v>
      </c>
    </row>
    <row r="63" spans="1:135" x14ac:dyDescent="0.35">
      <c r="B63" s="35" t="s">
        <v>57</v>
      </c>
      <c r="C63" s="39">
        <f>MAX(C26-C38-C50-C62,0)</f>
        <v>0</v>
      </c>
      <c r="D63" s="39">
        <f t="shared" ref="D63:BO63" si="254">MAX(D26-D38-D50-D62,0)</f>
        <v>0</v>
      </c>
      <c r="E63" s="39">
        <f t="shared" si="254"/>
        <v>0</v>
      </c>
      <c r="F63" s="39">
        <f t="shared" si="254"/>
        <v>0</v>
      </c>
      <c r="G63" s="39">
        <f t="shared" si="254"/>
        <v>0</v>
      </c>
      <c r="H63" s="39">
        <f t="shared" si="254"/>
        <v>0</v>
      </c>
      <c r="I63" s="39">
        <f t="shared" si="254"/>
        <v>0</v>
      </c>
      <c r="J63" s="39">
        <f t="shared" si="254"/>
        <v>0</v>
      </c>
      <c r="K63" s="39">
        <f t="shared" si="254"/>
        <v>0</v>
      </c>
      <c r="L63" s="39">
        <f t="shared" si="254"/>
        <v>0</v>
      </c>
      <c r="M63" s="39">
        <f t="shared" si="254"/>
        <v>0</v>
      </c>
      <c r="N63" s="39">
        <f t="shared" si="254"/>
        <v>0</v>
      </c>
      <c r="O63" s="39">
        <f t="shared" si="254"/>
        <v>0</v>
      </c>
      <c r="P63" s="39">
        <f t="shared" si="254"/>
        <v>0</v>
      </c>
      <c r="Q63" s="39">
        <f t="shared" si="254"/>
        <v>0</v>
      </c>
      <c r="R63" s="39">
        <f t="shared" si="254"/>
        <v>0</v>
      </c>
      <c r="S63" s="39">
        <f t="shared" si="254"/>
        <v>0</v>
      </c>
      <c r="T63" s="39">
        <f t="shared" si="254"/>
        <v>0</v>
      </c>
      <c r="U63" s="39">
        <f t="shared" si="254"/>
        <v>0</v>
      </c>
      <c r="V63" s="39">
        <f t="shared" si="254"/>
        <v>0</v>
      </c>
      <c r="W63" s="39">
        <f t="shared" si="254"/>
        <v>0</v>
      </c>
      <c r="X63" s="39">
        <f t="shared" si="254"/>
        <v>0</v>
      </c>
      <c r="Y63" s="39">
        <f t="shared" si="254"/>
        <v>0</v>
      </c>
      <c r="Z63" s="39">
        <f t="shared" si="254"/>
        <v>0</v>
      </c>
      <c r="AA63" s="39">
        <f t="shared" si="254"/>
        <v>0</v>
      </c>
      <c r="AB63" s="39">
        <f t="shared" si="254"/>
        <v>0</v>
      </c>
      <c r="AC63" s="39">
        <f t="shared" si="254"/>
        <v>0</v>
      </c>
      <c r="AD63" s="39">
        <f t="shared" si="254"/>
        <v>0</v>
      </c>
      <c r="AE63" s="39">
        <f t="shared" si="254"/>
        <v>0</v>
      </c>
      <c r="AF63" s="39">
        <f t="shared" si="254"/>
        <v>0</v>
      </c>
      <c r="AG63" s="39">
        <f t="shared" si="254"/>
        <v>0</v>
      </c>
      <c r="AH63" s="39">
        <f t="shared" si="254"/>
        <v>0</v>
      </c>
      <c r="AI63" s="39">
        <f t="shared" si="254"/>
        <v>0</v>
      </c>
      <c r="AJ63" s="39">
        <f t="shared" si="254"/>
        <v>0</v>
      </c>
      <c r="AK63" s="39">
        <f t="shared" si="254"/>
        <v>0</v>
      </c>
      <c r="AL63" s="39">
        <f t="shared" si="254"/>
        <v>0</v>
      </c>
      <c r="AM63" s="39">
        <f t="shared" si="254"/>
        <v>0</v>
      </c>
      <c r="AN63" s="39">
        <f t="shared" si="254"/>
        <v>0</v>
      </c>
      <c r="AO63" s="39">
        <f t="shared" si="254"/>
        <v>0</v>
      </c>
      <c r="AP63" s="39">
        <f t="shared" si="254"/>
        <v>0</v>
      </c>
      <c r="AQ63" s="39">
        <f t="shared" si="254"/>
        <v>0</v>
      </c>
      <c r="AR63" s="39">
        <f t="shared" si="254"/>
        <v>0</v>
      </c>
      <c r="AS63" s="39">
        <f t="shared" si="254"/>
        <v>0</v>
      </c>
      <c r="AT63" s="39">
        <f t="shared" si="254"/>
        <v>0</v>
      </c>
      <c r="AU63" s="39">
        <f t="shared" si="254"/>
        <v>0</v>
      </c>
      <c r="AV63" s="39">
        <f t="shared" si="254"/>
        <v>0</v>
      </c>
      <c r="AW63" s="39">
        <f t="shared" si="254"/>
        <v>0</v>
      </c>
      <c r="AX63" s="39">
        <f t="shared" si="254"/>
        <v>0</v>
      </c>
      <c r="AY63" s="39">
        <f t="shared" si="254"/>
        <v>0</v>
      </c>
      <c r="AZ63" s="39">
        <f t="shared" si="254"/>
        <v>0</v>
      </c>
      <c r="BA63" s="39">
        <f t="shared" si="254"/>
        <v>0</v>
      </c>
      <c r="BB63" s="39">
        <f t="shared" si="254"/>
        <v>0</v>
      </c>
      <c r="BC63" s="39">
        <f t="shared" si="254"/>
        <v>0</v>
      </c>
      <c r="BD63" s="39">
        <f t="shared" si="254"/>
        <v>0</v>
      </c>
      <c r="BE63" s="39">
        <f t="shared" si="254"/>
        <v>0</v>
      </c>
      <c r="BF63" s="39">
        <f t="shared" si="254"/>
        <v>0</v>
      </c>
      <c r="BG63" s="39">
        <f t="shared" si="254"/>
        <v>0</v>
      </c>
      <c r="BH63" s="39">
        <f t="shared" si="254"/>
        <v>0</v>
      </c>
      <c r="BI63" s="39">
        <f t="shared" si="254"/>
        <v>0</v>
      </c>
      <c r="BJ63" s="39">
        <f t="shared" si="254"/>
        <v>0</v>
      </c>
      <c r="BK63" s="39">
        <f>MAX(BK26-BK38-BK50-BK62,0)</f>
        <v>0</v>
      </c>
      <c r="BL63" s="39">
        <f t="shared" si="254"/>
        <v>0</v>
      </c>
      <c r="BM63" s="39">
        <f t="shared" si="254"/>
        <v>0</v>
      </c>
      <c r="BN63" s="39">
        <f t="shared" si="254"/>
        <v>0</v>
      </c>
      <c r="BO63" s="39">
        <f t="shared" si="254"/>
        <v>0</v>
      </c>
      <c r="BP63" s="39">
        <f t="shared" ref="BP63:EA63" si="255">MAX(BP26-BP38-BP50-BP62,0)</f>
        <v>0</v>
      </c>
      <c r="BQ63" s="39">
        <f t="shared" si="255"/>
        <v>0</v>
      </c>
      <c r="BR63" s="39">
        <f t="shared" si="255"/>
        <v>0</v>
      </c>
      <c r="BS63" s="39">
        <f t="shared" si="255"/>
        <v>0</v>
      </c>
      <c r="BT63" s="39">
        <f t="shared" si="255"/>
        <v>0</v>
      </c>
      <c r="BU63" s="39">
        <f t="shared" si="255"/>
        <v>0</v>
      </c>
      <c r="BV63" s="39">
        <f t="shared" si="255"/>
        <v>0</v>
      </c>
      <c r="BW63" s="39">
        <f t="shared" si="255"/>
        <v>0</v>
      </c>
      <c r="BX63" s="39">
        <f t="shared" si="255"/>
        <v>0</v>
      </c>
      <c r="BY63" s="39">
        <f t="shared" si="255"/>
        <v>0</v>
      </c>
      <c r="BZ63" s="39">
        <f t="shared" si="255"/>
        <v>0</v>
      </c>
      <c r="CA63" s="39">
        <f t="shared" si="255"/>
        <v>0</v>
      </c>
      <c r="CB63" s="39">
        <f t="shared" si="255"/>
        <v>0</v>
      </c>
      <c r="CC63" s="39">
        <f t="shared" si="255"/>
        <v>0</v>
      </c>
      <c r="CD63" s="39">
        <f t="shared" si="255"/>
        <v>0</v>
      </c>
      <c r="CE63" s="39">
        <f t="shared" si="255"/>
        <v>0</v>
      </c>
      <c r="CF63" s="39">
        <f t="shared" si="255"/>
        <v>0</v>
      </c>
      <c r="CG63" s="39">
        <f t="shared" si="255"/>
        <v>0</v>
      </c>
      <c r="CH63" s="39">
        <f t="shared" si="255"/>
        <v>0</v>
      </c>
      <c r="CI63" s="39">
        <f t="shared" si="255"/>
        <v>0</v>
      </c>
      <c r="CJ63" s="39">
        <f t="shared" si="255"/>
        <v>0</v>
      </c>
      <c r="CK63" s="39">
        <f t="shared" si="255"/>
        <v>0</v>
      </c>
      <c r="CL63" s="39">
        <f t="shared" si="255"/>
        <v>0</v>
      </c>
      <c r="CM63" s="39">
        <f t="shared" si="255"/>
        <v>0</v>
      </c>
      <c r="CN63" s="39">
        <f t="shared" si="255"/>
        <v>0</v>
      </c>
      <c r="CO63" s="39">
        <f t="shared" si="255"/>
        <v>0</v>
      </c>
      <c r="CP63" s="39">
        <f t="shared" si="255"/>
        <v>0</v>
      </c>
      <c r="CQ63" s="39">
        <f t="shared" si="255"/>
        <v>0</v>
      </c>
      <c r="CR63" s="39">
        <f t="shared" si="255"/>
        <v>0</v>
      </c>
      <c r="CS63" s="39">
        <f t="shared" si="255"/>
        <v>0</v>
      </c>
      <c r="CT63" s="39">
        <f t="shared" si="255"/>
        <v>0</v>
      </c>
      <c r="CU63" s="39">
        <f t="shared" si="255"/>
        <v>0</v>
      </c>
      <c r="CV63" s="39">
        <f t="shared" si="255"/>
        <v>0</v>
      </c>
      <c r="CW63" s="39">
        <f t="shared" si="255"/>
        <v>0</v>
      </c>
      <c r="CX63" s="39">
        <f t="shared" si="255"/>
        <v>0</v>
      </c>
      <c r="CY63" s="39">
        <f t="shared" si="255"/>
        <v>0</v>
      </c>
      <c r="CZ63" s="39">
        <f t="shared" si="255"/>
        <v>0</v>
      </c>
      <c r="DA63" s="39">
        <f t="shared" si="255"/>
        <v>0</v>
      </c>
      <c r="DB63" s="39">
        <f t="shared" si="255"/>
        <v>0</v>
      </c>
      <c r="DC63" s="39">
        <f t="shared" si="255"/>
        <v>0</v>
      </c>
      <c r="DD63" s="39">
        <f t="shared" si="255"/>
        <v>0</v>
      </c>
      <c r="DE63" s="39">
        <f t="shared" si="255"/>
        <v>0</v>
      </c>
      <c r="DF63" s="39">
        <f t="shared" si="255"/>
        <v>0</v>
      </c>
      <c r="DG63" s="39">
        <f t="shared" si="255"/>
        <v>0</v>
      </c>
      <c r="DH63" s="39">
        <f t="shared" si="255"/>
        <v>0</v>
      </c>
      <c r="DI63" s="39">
        <f t="shared" si="255"/>
        <v>0</v>
      </c>
      <c r="DJ63" s="39">
        <f t="shared" si="255"/>
        <v>0</v>
      </c>
      <c r="DK63" s="39">
        <f t="shared" si="255"/>
        <v>0</v>
      </c>
      <c r="DL63" s="39">
        <f t="shared" si="255"/>
        <v>0</v>
      </c>
      <c r="DM63" s="39">
        <f t="shared" si="255"/>
        <v>0</v>
      </c>
      <c r="DN63" s="39">
        <f t="shared" si="255"/>
        <v>0</v>
      </c>
      <c r="DO63" s="39">
        <f t="shared" si="255"/>
        <v>0</v>
      </c>
      <c r="DP63" s="39">
        <f t="shared" si="255"/>
        <v>0</v>
      </c>
      <c r="DQ63" s="39">
        <f t="shared" si="255"/>
        <v>0</v>
      </c>
      <c r="DR63" s="39">
        <f t="shared" si="255"/>
        <v>0</v>
      </c>
      <c r="DS63" s="39">
        <f t="shared" si="255"/>
        <v>0</v>
      </c>
      <c r="DT63" s="39">
        <f t="shared" si="255"/>
        <v>0</v>
      </c>
      <c r="DU63" s="39">
        <f t="shared" si="255"/>
        <v>0</v>
      </c>
      <c r="DV63" s="39">
        <f t="shared" si="255"/>
        <v>0</v>
      </c>
      <c r="DW63" s="39">
        <f t="shared" si="255"/>
        <v>0</v>
      </c>
      <c r="DX63" s="39">
        <f t="shared" si="255"/>
        <v>0</v>
      </c>
      <c r="DY63" s="39">
        <f t="shared" si="255"/>
        <v>0</v>
      </c>
      <c r="DZ63" s="39">
        <f t="shared" si="255"/>
        <v>0</v>
      </c>
      <c r="EA63" s="39">
        <f t="shared" si="255"/>
        <v>0</v>
      </c>
      <c r="EB63" s="39">
        <f t="shared" ref="EB63:EE63" si="256">MAX(EB26-EB38-EB50-EB62,0)</f>
        <v>0</v>
      </c>
      <c r="EC63" s="39">
        <f t="shared" si="256"/>
        <v>0</v>
      </c>
      <c r="ED63" s="39">
        <f t="shared" si="256"/>
        <v>0</v>
      </c>
      <c r="EE63" s="39">
        <f t="shared" si="256"/>
        <v>0</v>
      </c>
    </row>
    <row r="64" spans="1:135" x14ac:dyDescent="0.35"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  <c r="AZ64" s="12"/>
      <c r="BA64" s="12"/>
      <c r="BB64" s="12"/>
      <c r="BC64" s="12"/>
      <c r="BD64" s="12"/>
      <c r="BE64" s="12"/>
      <c r="BF64" s="12"/>
      <c r="BG64" s="12"/>
      <c r="BH64" s="12"/>
      <c r="BI64" s="12"/>
      <c r="BJ64" s="12"/>
      <c r="BK64" s="12"/>
      <c r="BL64" s="12"/>
      <c r="BM64" s="12"/>
      <c r="BN64" s="12"/>
      <c r="BO64" s="12"/>
      <c r="BP64" s="12"/>
      <c r="BQ64" s="12"/>
      <c r="BR64" s="12"/>
      <c r="BS64" s="12"/>
      <c r="BT64" s="12"/>
      <c r="BU64" s="12"/>
      <c r="BV64" s="12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</row>
    <row r="65" spans="2:135" x14ac:dyDescent="0.35">
      <c r="B65" s="49" t="s">
        <v>8</v>
      </c>
      <c r="C65" s="50">
        <f>C53</f>
        <v>44377</v>
      </c>
      <c r="D65" s="50">
        <f t="shared" ref="D65:BO65" si="257">D53</f>
        <v>44408</v>
      </c>
      <c r="E65" s="50">
        <f t="shared" si="257"/>
        <v>44439</v>
      </c>
      <c r="F65" s="50">
        <f t="shared" si="257"/>
        <v>44469</v>
      </c>
      <c r="G65" s="50">
        <f t="shared" si="257"/>
        <v>44500</v>
      </c>
      <c r="H65" s="50">
        <f t="shared" si="257"/>
        <v>44530</v>
      </c>
      <c r="I65" s="50">
        <f t="shared" si="257"/>
        <v>44561</v>
      </c>
      <c r="J65" s="50">
        <f t="shared" si="257"/>
        <v>44592</v>
      </c>
      <c r="K65" s="50">
        <f t="shared" si="257"/>
        <v>44620</v>
      </c>
      <c r="L65" s="50">
        <f t="shared" si="257"/>
        <v>44651</v>
      </c>
      <c r="M65" s="50">
        <f t="shared" si="257"/>
        <v>44681</v>
      </c>
      <c r="N65" s="50">
        <f t="shared" si="257"/>
        <v>44712</v>
      </c>
      <c r="O65" s="50">
        <f t="shared" si="257"/>
        <v>44742</v>
      </c>
      <c r="P65" s="50">
        <f t="shared" si="257"/>
        <v>44773</v>
      </c>
      <c r="Q65" s="50">
        <f t="shared" si="257"/>
        <v>44804</v>
      </c>
      <c r="R65" s="50">
        <f t="shared" si="257"/>
        <v>44834</v>
      </c>
      <c r="S65" s="50">
        <f t="shared" si="257"/>
        <v>44865</v>
      </c>
      <c r="T65" s="50">
        <f t="shared" si="257"/>
        <v>44895</v>
      </c>
      <c r="U65" s="50">
        <f t="shared" si="257"/>
        <v>44926</v>
      </c>
      <c r="V65" s="50">
        <f t="shared" si="257"/>
        <v>44957</v>
      </c>
      <c r="W65" s="50">
        <f t="shared" si="257"/>
        <v>44985</v>
      </c>
      <c r="X65" s="50">
        <f t="shared" si="257"/>
        <v>45016</v>
      </c>
      <c r="Y65" s="50">
        <f t="shared" si="257"/>
        <v>45046</v>
      </c>
      <c r="Z65" s="50">
        <f t="shared" si="257"/>
        <v>45077</v>
      </c>
      <c r="AA65" s="50">
        <f t="shared" si="257"/>
        <v>45107</v>
      </c>
      <c r="AB65" s="50">
        <f t="shared" si="257"/>
        <v>45138</v>
      </c>
      <c r="AC65" s="50">
        <f t="shared" si="257"/>
        <v>45169</v>
      </c>
      <c r="AD65" s="50">
        <f t="shared" si="257"/>
        <v>45199</v>
      </c>
      <c r="AE65" s="50">
        <f t="shared" si="257"/>
        <v>45230</v>
      </c>
      <c r="AF65" s="50">
        <f t="shared" si="257"/>
        <v>45260</v>
      </c>
      <c r="AG65" s="50">
        <f t="shared" si="257"/>
        <v>45291</v>
      </c>
      <c r="AH65" s="50">
        <f t="shared" si="257"/>
        <v>45322</v>
      </c>
      <c r="AI65" s="50">
        <f t="shared" si="257"/>
        <v>45351</v>
      </c>
      <c r="AJ65" s="50">
        <f t="shared" si="257"/>
        <v>45382</v>
      </c>
      <c r="AK65" s="50">
        <f t="shared" si="257"/>
        <v>45412</v>
      </c>
      <c r="AL65" s="50">
        <f t="shared" si="257"/>
        <v>45443</v>
      </c>
      <c r="AM65" s="50">
        <f t="shared" si="257"/>
        <v>45473</v>
      </c>
      <c r="AN65" s="50">
        <f t="shared" si="257"/>
        <v>45504</v>
      </c>
      <c r="AO65" s="50">
        <f t="shared" si="257"/>
        <v>45535</v>
      </c>
      <c r="AP65" s="50">
        <f t="shared" si="257"/>
        <v>45565</v>
      </c>
      <c r="AQ65" s="50">
        <f t="shared" si="257"/>
        <v>45596</v>
      </c>
      <c r="AR65" s="50">
        <f t="shared" si="257"/>
        <v>45626</v>
      </c>
      <c r="AS65" s="50">
        <f t="shared" si="257"/>
        <v>45657</v>
      </c>
      <c r="AT65" s="50">
        <f t="shared" si="257"/>
        <v>45688</v>
      </c>
      <c r="AU65" s="50">
        <f t="shared" si="257"/>
        <v>45716</v>
      </c>
      <c r="AV65" s="50">
        <f t="shared" si="257"/>
        <v>45747</v>
      </c>
      <c r="AW65" s="50">
        <f t="shared" si="257"/>
        <v>45777</v>
      </c>
      <c r="AX65" s="50">
        <f t="shared" si="257"/>
        <v>45808</v>
      </c>
      <c r="AY65" s="50">
        <f t="shared" si="257"/>
        <v>45838</v>
      </c>
      <c r="AZ65" s="50">
        <f t="shared" si="257"/>
        <v>45869</v>
      </c>
      <c r="BA65" s="50">
        <f t="shared" si="257"/>
        <v>45900</v>
      </c>
      <c r="BB65" s="50">
        <f t="shared" si="257"/>
        <v>45930</v>
      </c>
      <c r="BC65" s="50">
        <f t="shared" si="257"/>
        <v>45961</v>
      </c>
      <c r="BD65" s="50">
        <f t="shared" si="257"/>
        <v>45991</v>
      </c>
      <c r="BE65" s="50">
        <f t="shared" si="257"/>
        <v>46022</v>
      </c>
      <c r="BF65" s="50">
        <f t="shared" si="257"/>
        <v>46053</v>
      </c>
      <c r="BG65" s="50">
        <f t="shared" si="257"/>
        <v>46081</v>
      </c>
      <c r="BH65" s="50">
        <f t="shared" si="257"/>
        <v>46112</v>
      </c>
      <c r="BI65" s="50">
        <f t="shared" si="257"/>
        <v>46142</v>
      </c>
      <c r="BJ65" s="50">
        <f t="shared" si="257"/>
        <v>46173</v>
      </c>
      <c r="BK65" s="50">
        <f t="shared" si="257"/>
        <v>46203</v>
      </c>
      <c r="BL65" s="50">
        <f t="shared" si="257"/>
        <v>46234</v>
      </c>
      <c r="BM65" s="50">
        <f t="shared" si="257"/>
        <v>46265</v>
      </c>
      <c r="BN65" s="50">
        <f t="shared" si="257"/>
        <v>46295</v>
      </c>
      <c r="BO65" s="50">
        <f t="shared" si="257"/>
        <v>46326</v>
      </c>
      <c r="BP65" s="50">
        <f t="shared" ref="BP65:EA65" si="258">BP53</f>
        <v>46356</v>
      </c>
      <c r="BQ65" s="50">
        <f t="shared" si="258"/>
        <v>46387</v>
      </c>
      <c r="BR65" s="50">
        <f t="shared" si="258"/>
        <v>46418</v>
      </c>
      <c r="BS65" s="50">
        <f t="shared" si="258"/>
        <v>46446</v>
      </c>
      <c r="BT65" s="50">
        <f t="shared" si="258"/>
        <v>46477</v>
      </c>
      <c r="BU65" s="50">
        <f t="shared" si="258"/>
        <v>46507</v>
      </c>
      <c r="BV65" s="50">
        <f t="shared" si="258"/>
        <v>46538</v>
      </c>
      <c r="BW65" s="50">
        <f t="shared" si="258"/>
        <v>46568</v>
      </c>
      <c r="BX65" s="50">
        <f t="shared" si="258"/>
        <v>46599</v>
      </c>
      <c r="BY65" s="50">
        <f t="shared" si="258"/>
        <v>46630</v>
      </c>
      <c r="BZ65" s="50">
        <f t="shared" si="258"/>
        <v>46660</v>
      </c>
      <c r="CA65" s="50">
        <f t="shared" si="258"/>
        <v>46691</v>
      </c>
      <c r="CB65" s="50">
        <f t="shared" si="258"/>
        <v>46721</v>
      </c>
      <c r="CC65" s="50">
        <f t="shared" si="258"/>
        <v>46752</v>
      </c>
      <c r="CD65" s="50">
        <f t="shared" si="258"/>
        <v>46783</v>
      </c>
      <c r="CE65" s="50">
        <f t="shared" si="258"/>
        <v>46812</v>
      </c>
      <c r="CF65" s="50">
        <f t="shared" si="258"/>
        <v>46843</v>
      </c>
      <c r="CG65" s="50">
        <f t="shared" si="258"/>
        <v>46873</v>
      </c>
      <c r="CH65" s="50">
        <f t="shared" si="258"/>
        <v>46904</v>
      </c>
      <c r="CI65" s="50">
        <f t="shared" si="258"/>
        <v>46934</v>
      </c>
      <c r="CJ65" s="50">
        <f t="shared" si="258"/>
        <v>46965</v>
      </c>
      <c r="CK65" s="50">
        <f t="shared" si="258"/>
        <v>46996</v>
      </c>
      <c r="CL65" s="50">
        <f t="shared" si="258"/>
        <v>47026</v>
      </c>
      <c r="CM65" s="50">
        <f t="shared" si="258"/>
        <v>47057</v>
      </c>
      <c r="CN65" s="50">
        <f t="shared" si="258"/>
        <v>47087</v>
      </c>
      <c r="CO65" s="50">
        <f t="shared" si="258"/>
        <v>47118</v>
      </c>
      <c r="CP65" s="50">
        <f t="shared" si="258"/>
        <v>47149</v>
      </c>
      <c r="CQ65" s="50">
        <f t="shared" si="258"/>
        <v>47177</v>
      </c>
      <c r="CR65" s="50">
        <f t="shared" si="258"/>
        <v>47208</v>
      </c>
      <c r="CS65" s="50">
        <f t="shared" si="258"/>
        <v>47238</v>
      </c>
      <c r="CT65" s="50">
        <f t="shared" si="258"/>
        <v>47269</v>
      </c>
      <c r="CU65" s="50">
        <f t="shared" si="258"/>
        <v>47299</v>
      </c>
      <c r="CV65" s="50">
        <f t="shared" si="258"/>
        <v>47330</v>
      </c>
      <c r="CW65" s="50">
        <f t="shared" si="258"/>
        <v>47361</v>
      </c>
      <c r="CX65" s="50">
        <f t="shared" si="258"/>
        <v>47391</v>
      </c>
      <c r="CY65" s="50">
        <f t="shared" si="258"/>
        <v>47422</v>
      </c>
      <c r="CZ65" s="50">
        <f t="shared" si="258"/>
        <v>47452</v>
      </c>
      <c r="DA65" s="50">
        <f t="shared" si="258"/>
        <v>47483</v>
      </c>
      <c r="DB65" s="50">
        <f t="shared" si="258"/>
        <v>47514</v>
      </c>
      <c r="DC65" s="50">
        <f t="shared" si="258"/>
        <v>47542</v>
      </c>
      <c r="DD65" s="50">
        <f t="shared" si="258"/>
        <v>47573</v>
      </c>
      <c r="DE65" s="50">
        <f t="shared" si="258"/>
        <v>47603</v>
      </c>
      <c r="DF65" s="50">
        <f t="shared" si="258"/>
        <v>47634</v>
      </c>
      <c r="DG65" s="50">
        <f t="shared" si="258"/>
        <v>47664</v>
      </c>
      <c r="DH65" s="50">
        <f t="shared" si="258"/>
        <v>47695</v>
      </c>
      <c r="DI65" s="50">
        <f t="shared" si="258"/>
        <v>47726</v>
      </c>
      <c r="DJ65" s="50">
        <f t="shared" si="258"/>
        <v>47756</v>
      </c>
      <c r="DK65" s="50">
        <f t="shared" si="258"/>
        <v>47787</v>
      </c>
      <c r="DL65" s="50">
        <f t="shared" si="258"/>
        <v>47817</v>
      </c>
      <c r="DM65" s="50">
        <f t="shared" si="258"/>
        <v>47848</v>
      </c>
      <c r="DN65" s="50">
        <f t="shared" si="258"/>
        <v>47879</v>
      </c>
      <c r="DO65" s="50">
        <f t="shared" si="258"/>
        <v>47907</v>
      </c>
      <c r="DP65" s="50">
        <f t="shared" si="258"/>
        <v>47938</v>
      </c>
      <c r="DQ65" s="50">
        <f t="shared" si="258"/>
        <v>47968</v>
      </c>
      <c r="DR65" s="50">
        <f t="shared" si="258"/>
        <v>47999</v>
      </c>
      <c r="DS65" s="50">
        <f t="shared" si="258"/>
        <v>48029</v>
      </c>
      <c r="DT65" s="50">
        <f t="shared" si="258"/>
        <v>48060</v>
      </c>
      <c r="DU65" s="50">
        <f t="shared" si="258"/>
        <v>48091</v>
      </c>
      <c r="DV65" s="50">
        <f t="shared" si="258"/>
        <v>48121</v>
      </c>
      <c r="DW65" s="50">
        <f t="shared" si="258"/>
        <v>48152</v>
      </c>
      <c r="DX65" s="50">
        <f t="shared" si="258"/>
        <v>48182</v>
      </c>
      <c r="DY65" s="50">
        <f t="shared" si="258"/>
        <v>48213</v>
      </c>
      <c r="DZ65" s="50">
        <f t="shared" si="258"/>
        <v>48244</v>
      </c>
      <c r="EA65" s="50">
        <f t="shared" si="258"/>
        <v>48273</v>
      </c>
      <c r="EB65" s="50">
        <f t="shared" ref="EB65:EE65" si="259">EB53</f>
        <v>48304</v>
      </c>
      <c r="EC65" s="50">
        <f t="shared" si="259"/>
        <v>48334</v>
      </c>
      <c r="ED65" s="50">
        <f t="shared" si="259"/>
        <v>48365</v>
      </c>
      <c r="EE65" s="51">
        <f t="shared" si="259"/>
        <v>48395</v>
      </c>
    </row>
    <row r="66" spans="2:135" x14ac:dyDescent="0.35">
      <c r="B66" s="33" t="s">
        <v>49</v>
      </c>
      <c r="C66" s="37">
        <f>C63*$F$6</f>
        <v>0</v>
      </c>
      <c r="D66" s="37">
        <f t="shared" ref="D66:BO66" si="260">D63*$F$6</f>
        <v>0</v>
      </c>
      <c r="E66" s="37">
        <f t="shared" si="260"/>
        <v>0</v>
      </c>
      <c r="F66" s="37">
        <f t="shared" si="260"/>
        <v>0</v>
      </c>
      <c r="G66" s="37">
        <f t="shared" si="260"/>
        <v>0</v>
      </c>
      <c r="H66" s="37">
        <f t="shared" si="260"/>
        <v>0</v>
      </c>
      <c r="I66" s="37">
        <f t="shared" si="260"/>
        <v>0</v>
      </c>
      <c r="J66" s="37">
        <f t="shared" si="260"/>
        <v>0</v>
      </c>
      <c r="K66" s="37">
        <f t="shared" si="260"/>
        <v>0</v>
      </c>
      <c r="L66" s="37">
        <f t="shared" si="260"/>
        <v>0</v>
      </c>
      <c r="M66" s="37">
        <f t="shared" si="260"/>
        <v>0</v>
      </c>
      <c r="N66" s="37">
        <f t="shared" si="260"/>
        <v>0</v>
      </c>
      <c r="O66" s="37">
        <f t="shared" si="260"/>
        <v>0</v>
      </c>
      <c r="P66" s="37">
        <f t="shared" si="260"/>
        <v>0</v>
      </c>
      <c r="Q66" s="37">
        <f t="shared" si="260"/>
        <v>0</v>
      </c>
      <c r="R66" s="37">
        <f t="shared" si="260"/>
        <v>0</v>
      </c>
      <c r="S66" s="37">
        <f t="shared" si="260"/>
        <v>0</v>
      </c>
      <c r="T66" s="37">
        <f t="shared" si="260"/>
        <v>0</v>
      </c>
      <c r="U66" s="37">
        <f t="shared" si="260"/>
        <v>0</v>
      </c>
      <c r="V66" s="37">
        <f t="shared" si="260"/>
        <v>0</v>
      </c>
      <c r="W66" s="37">
        <f t="shared" si="260"/>
        <v>0</v>
      </c>
      <c r="X66" s="37">
        <f t="shared" si="260"/>
        <v>0</v>
      </c>
      <c r="Y66" s="37">
        <f t="shared" si="260"/>
        <v>0</v>
      </c>
      <c r="Z66" s="37">
        <f t="shared" si="260"/>
        <v>0</v>
      </c>
      <c r="AA66" s="37">
        <f t="shared" si="260"/>
        <v>0</v>
      </c>
      <c r="AB66" s="37">
        <f t="shared" si="260"/>
        <v>0</v>
      </c>
      <c r="AC66" s="37">
        <f t="shared" si="260"/>
        <v>0</v>
      </c>
      <c r="AD66" s="37">
        <f t="shared" si="260"/>
        <v>0</v>
      </c>
      <c r="AE66" s="37">
        <f t="shared" si="260"/>
        <v>0</v>
      </c>
      <c r="AF66" s="37">
        <f t="shared" si="260"/>
        <v>0</v>
      </c>
      <c r="AG66" s="37">
        <f t="shared" si="260"/>
        <v>0</v>
      </c>
      <c r="AH66" s="37">
        <f t="shared" si="260"/>
        <v>0</v>
      </c>
      <c r="AI66" s="37">
        <f t="shared" si="260"/>
        <v>0</v>
      </c>
      <c r="AJ66" s="37">
        <f t="shared" si="260"/>
        <v>0</v>
      </c>
      <c r="AK66" s="37">
        <f t="shared" si="260"/>
        <v>0</v>
      </c>
      <c r="AL66" s="37">
        <f t="shared" si="260"/>
        <v>0</v>
      </c>
      <c r="AM66" s="37">
        <f t="shared" si="260"/>
        <v>0</v>
      </c>
      <c r="AN66" s="37">
        <f t="shared" si="260"/>
        <v>0</v>
      </c>
      <c r="AO66" s="37">
        <f t="shared" si="260"/>
        <v>0</v>
      </c>
      <c r="AP66" s="37">
        <f t="shared" si="260"/>
        <v>0</v>
      </c>
      <c r="AQ66" s="37">
        <f t="shared" si="260"/>
        <v>0</v>
      </c>
      <c r="AR66" s="37">
        <f t="shared" si="260"/>
        <v>0</v>
      </c>
      <c r="AS66" s="37">
        <f t="shared" si="260"/>
        <v>0</v>
      </c>
      <c r="AT66" s="37">
        <f t="shared" si="260"/>
        <v>0</v>
      </c>
      <c r="AU66" s="37">
        <f t="shared" si="260"/>
        <v>0</v>
      </c>
      <c r="AV66" s="37">
        <f t="shared" si="260"/>
        <v>0</v>
      </c>
      <c r="AW66" s="37">
        <f t="shared" si="260"/>
        <v>0</v>
      </c>
      <c r="AX66" s="37">
        <f t="shared" si="260"/>
        <v>0</v>
      </c>
      <c r="AY66" s="37">
        <f t="shared" si="260"/>
        <v>0</v>
      </c>
      <c r="AZ66" s="37">
        <f t="shared" si="260"/>
        <v>0</v>
      </c>
      <c r="BA66" s="37">
        <f t="shared" si="260"/>
        <v>0</v>
      </c>
      <c r="BB66" s="37">
        <f t="shared" si="260"/>
        <v>0</v>
      </c>
      <c r="BC66" s="37">
        <f t="shared" si="260"/>
        <v>0</v>
      </c>
      <c r="BD66" s="37">
        <f t="shared" si="260"/>
        <v>0</v>
      </c>
      <c r="BE66" s="37">
        <f t="shared" si="260"/>
        <v>0</v>
      </c>
      <c r="BF66" s="37">
        <f t="shared" si="260"/>
        <v>0</v>
      </c>
      <c r="BG66" s="37">
        <f t="shared" si="260"/>
        <v>0</v>
      </c>
      <c r="BH66" s="37">
        <f t="shared" si="260"/>
        <v>0</v>
      </c>
      <c r="BI66" s="37">
        <f t="shared" si="260"/>
        <v>0</v>
      </c>
      <c r="BJ66" s="37">
        <f t="shared" si="260"/>
        <v>0</v>
      </c>
      <c r="BK66" s="37">
        <f t="shared" si="260"/>
        <v>0</v>
      </c>
      <c r="BL66" s="37">
        <f t="shared" si="260"/>
        <v>0</v>
      </c>
      <c r="BM66" s="37">
        <f t="shared" si="260"/>
        <v>0</v>
      </c>
      <c r="BN66" s="37">
        <f t="shared" si="260"/>
        <v>0</v>
      </c>
      <c r="BO66" s="37">
        <f t="shared" si="260"/>
        <v>0</v>
      </c>
      <c r="BP66" s="37">
        <f t="shared" ref="BP66:EA66" si="261">BP63*$F$6</f>
        <v>0</v>
      </c>
      <c r="BQ66" s="37">
        <f t="shared" si="261"/>
        <v>0</v>
      </c>
      <c r="BR66" s="37">
        <f t="shared" si="261"/>
        <v>0</v>
      </c>
      <c r="BS66" s="37">
        <f t="shared" si="261"/>
        <v>0</v>
      </c>
      <c r="BT66" s="37">
        <f t="shared" si="261"/>
        <v>0</v>
      </c>
      <c r="BU66" s="37">
        <f t="shared" si="261"/>
        <v>0</v>
      </c>
      <c r="BV66" s="37">
        <f t="shared" si="261"/>
        <v>0</v>
      </c>
      <c r="BW66" s="37">
        <f t="shared" si="261"/>
        <v>0</v>
      </c>
      <c r="BX66" s="37">
        <f t="shared" si="261"/>
        <v>0</v>
      </c>
      <c r="BY66" s="37">
        <f t="shared" si="261"/>
        <v>0</v>
      </c>
      <c r="BZ66" s="37">
        <f t="shared" si="261"/>
        <v>0</v>
      </c>
      <c r="CA66" s="37">
        <f t="shared" si="261"/>
        <v>0</v>
      </c>
      <c r="CB66" s="37">
        <f t="shared" si="261"/>
        <v>0</v>
      </c>
      <c r="CC66" s="37">
        <f t="shared" si="261"/>
        <v>0</v>
      </c>
      <c r="CD66" s="37">
        <f t="shared" si="261"/>
        <v>0</v>
      </c>
      <c r="CE66" s="37">
        <f t="shared" si="261"/>
        <v>0</v>
      </c>
      <c r="CF66" s="37">
        <f t="shared" si="261"/>
        <v>0</v>
      </c>
      <c r="CG66" s="37">
        <f t="shared" si="261"/>
        <v>0</v>
      </c>
      <c r="CH66" s="37">
        <f t="shared" si="261"/>
        <v>0</v>
      </c>
      <c r="CI66" s="37">
        <f t="shared" si="261"/>
        <v>0</v>
      </c>
      <c r="CJ66" s="37">
        <f t="shared" si="261"/>
        <v>0</v>
      </c>
      <c r="CK66" s="37">
        <f t="shared" si="261"/>
        <v>0</v>
      </c>
      <c r="CL66" s="37">
        <f t="shared" si="261"/>
        <v>0</v>
      </c>
      <c r="CM66" s="37">
        <f t="shared" si="261"/>
        <v>0</v>
      </c>
      <c r="CN66" s="37">
        <f t="shared" si="261"/>
        <v>0</v>
      </c>
      <c r="CO66" s="37">
        <f t="shared" si="261"/>
        <v>0</v>
      </c>
      <c r="CP66" s="37">
        <f t="shared" si="261"/>
        <v>0</v>
      </c>
      <c r="CQ66" s="37">
        <f t="shared" si="261"/>
        <v>0</v>
      </c>
      <c r="CR66" s="37">
        <f t="shared" si="261"/>
        <v>0</v>
      </c>
      <c r="CS66" s="37">
        <f t="shared" si="261"/>
        <v>0</v>
      </c>
      <c r="CT66" s="37">
        <f t="shared" si="261"/>
        <v>0</v>
      </c>
      <c r="CU66" s="37">
        <f t="shared" si="261"/>
        <v>0</v>
      </c>
      <c r="CV66" s="37">
        <f t="shared" si="261"/>
        <v>0</v>
      </c>
      <c r="CW66" s="37">
        <f t="shared" si="261"/>
        <v>0</v>
      </c>
      <c r="CX66" s="37">
        <f t="shared" si="261"/>
        <v>0</v>
      </c>
      <c r="CY66" s="37">
        <f t="shared" si="261"/>
        <v>0</v>
      </c>
      <c r="CZ66" s="37">
        <f t="shared" si="261"/>
        <v>0</v>
      </c>
      <c r="DA66" s="37">
        <f t="shared" si="261"/>
        <v>0</v>
      </c>
      <c r="DB66" s="37">
        <f t="shared" si="261"/>
        <v>0</v>
      </c>
      <c r="DC66" s="37">
        <f t="shared" si="261"/>
        <v>0</v>
      </c>
      <c r="DD66" s="37">
        <f t="shared" si="261"/>
        <v>0</v>
      </c>
      <c r="DE66" s="37">
        <f t="shared" si="261"/>
        <v>0</v>
      </c>
      <c r="DF66" s="37">
        <f t="shared" si="261"/>
        <v>0</v>
      </c>
      <c r="DG66" s="37">
        <f t="shared" si="261"/>
        <v>0</v>
      </c>
      <c r="DH66" s="37">
        <f t="shared" si="261"/>
        <v>0</v>
      </c>
      <c r="DI66" s="37">
        <f t="shared" si="261"/>
        <v>0</v>
      </c>
      <c r="DJ66" s="37">
        <f t="shared" si="261"/>
        <v>0</v>
      </c>
      <c r="DK66" s="37">
        <f t="shared" si="261"/>
        <v>0</v>
      </c>
      <c r="DL66" s="37">
        <f t="shared" si="261"/>
        <v>0</v>
      </c>
      <c r="DM66" s="37">
        <f t="shared" si="261"/>
        <v>0</v>
      </c>
      <c r="DN66" s="37">
        <f t="shared" si="261"/>
        <v>0</v>
      </c>
      <c r="DO66" s="37">
        <f t="shared" si="261"/>
        <v>0</v>
      </c>
      <c r="DP66" s="37">
        <f t="shared" si="261"/>
        <v>0</v>
      </c>
      <c r="DQ66" s="37">
        <f t="shared" si="261"/>
        <v>0</v>
      </c>
      <c r="DR66" s="37">
        <f t="shared" si="261"/>
        <v>0</v>
      </c>
      <c r="DS66" s="37">
        <f t="shared" si="261"/>
        <v>0</v>
      </c>
      <c r="DT66" s="37">
        <f t="shared" si="261"/>
        <v>0</v>
      </c>
      <c r="DU66" s="37">
        <f t="shared" si="261"/>
        <v>0</v>
      </c>
      <c r="DV66" s="37">
        <f t="shared" si="261"/>
        <v>0</v>
      </c>
      <c r="DW66" s="37">
        <f t="shared" si="261"/>
        <v>0</v>
      </c>
      <c r="DX66" s="37">
        <f t="shared" si="261"/>
        <v>0</v>
      </c>
      <c r="DY66" s="37">
        <f t="shared" si="261"/>
        <v>0</v>
      </c>
      <c r="DZ66" s="37">
        <f t="shared" si="261"/>
        <v>0</v>
      </c>
      <c r="EA66" s="37">
        <f t="shared" si="261"/>
        <v>0</v>
      </c>
      <c r="EB66" s="37">
        <f t="shared" ref="EB66:EE66" si="262">EB63*$F$6</f>
        <v>0</v>
      </c>
      <c r="EC66" s="37">
        <f t="shared" si="262"/>
        <v>0</v>
      </c>
      <c r="ED66" s="37">
        <f t="shared" si="262"/>
        <v>0</v>
      </c>
      <c r="EE66" s="38">
        <f t="shared" si="262"/>
        <v>0</v>
      </c>
    </row>
    <row r="67" spans="2:135" x14ac:dyDescent="0.35">
      <c r="B67" s="34" t="s">
        <v>53</v>
      </c>
      <c r="C67" s="37">
        <f>C63*$E$6</f>
        <v>0</v>
      </c>
      <c r="D67" s="37">
        <f t="shared" ref="D67:BO67" si="263">D63*$E$6</f>
        <v>0</v>
      </c>
      <c r="E67" s="37">
        <f t="shared" si="263"/>
        <v>0</v>
      </c>
      <c r="F67" s="37">
        <f t="shared" si="263"/>
        <v>0</v>
      </c>
      <c r="G67" s="37">
        <f t="shared" si="263"/>
        <v>0</v>
      </c>
      <c r="H67" s="37">
        <f t="shared" si="263"/>
        <v>0</v>
      </c>
      <c r="I67" s="37">
        <f t="shared" si="263"/>
        <v>0</v>
      </c>
      <c r="J67" s="37">
        <f t="shared" si="263"/>
        <v>0</v>
      </c>
      <c r="K67" s="37">
        <f t="shared" si="263"/>
        <v>0</v>
      </c>
      <c r="L67" s="37">
        <f t="shared" si="263"/>
        <v>0</v>
      </c>
      <c r="M67" s="37">
        <f t="shared" si="263"/>
        <v>0</v>
      </c>
      <c r="N67" s="37">
        <f t="shared" si="263"/>
        <v>0</v>
      </c>
      <c r="O67" s="37">
        <f t="shared" si="263"/>
        <v>0</v>
      </c>
      <c r="P67" s="37">
        <f t="shared" si="263"/>
        <v>0</v>
      </c>
      <c r="Q67" s="37">
        <f t="shared" si="263"/>
        <v>0</v>
      </c>
      <c r="R67" s="37">
        <f t="shared" si="263"/>
        <v>0</v>
      </c>
      <c r="S67" s="37">
        <f t="shared" si="263"/>
        <v>0</v>
      </c>
      <c r="T67" s="37">
        <f t="shared" si="263"/>
        <v>0</v>
      </c>
      <c r="U67" s="37">
        <f t="shared" si="263"/>
        <v>0</v>
      </c>
      <c r="V67" s="37">
        <f t="shared" si="263"/>
        <v>0</v>
      </c>
      <c r="W67" s="37">
        <f t="shared" si="263"/>
        <v>0</v>
      </c>
      <c r="X67" s="37">
        <f t="shared" si="263"/>
        <v>0</v>
      </c>
      <c r="Y67" s="37">
        <f t="shared" si="263"/>
        <v>0</v>
      </c>
      <c r="Z67" s="37">
        <f t="shared" si="263"/>
        <v>0</v>
      </c>
      <c r="AA67" s="37">
        <f t="shared" si="263"/>
        <v>0</v>
      </c>
      <c r="AB67" s="37">
        <f t="shared" si="263"/>
        <v>0</v>
      </c>
      <c r="AC67" s="37">
        <f t="shared" si="263"/>
        <v>0</v>
      </c>
      <c r="AD67" s="37">
        <f t="shared" si="263"/>
        <v>0</v>
      </c>
      <c r="AE67" s="37">
        <f t="shared" si="263"/>
        <v>0</v>
      </c>
      <c r="AF67" s="37">
        <f t="shared" si="263"/>
        <v>0</v>
      </c>
      <c r="AG67" s="37">
        <f t="shared" si="263"/>
        <v>0</v>
      </c>
      <c r="AH67" s="37">
        <f t="shared" si="263"/>
        <v>0</v>
      </c>
      <c r="AI67" s="37">
        <f t="shared" si="263"/>
        <v>0</v>
      </c>
      <c r="AJ67" s="37">
        <f t="shared" si="263"/>
        <v>0</v>
      </c>
      <c r="AK67" s="37">
        <f t="shared" si="263"/>
        <v>0</v>
      </c>
      <c r="AL67" s="37">
        <f t="shared" si="263"/>
        <v>0</v>
      </c>
      <c r="AM67" s="37">
        <f t="shared" si="263"/>
        <v>0</v>
      </c>
      <c r="AN67" s="37">
        <f t="shared" si="263"/>
        <v>0</v>
      </c>
      <c r="AO67" s="37">
        <f t="shared" si="263"/>
        <v>0</v>
      </c>
      <c r="AP67" s="37">
        <f t="shared" si="263"/>
        <v>0</v>
      </c>
      <c r="AQ67" s="37">
        <f t="shared" si="263"/>
        <v>0</v>
      </c>
      <c r="AR67" s="37">
        <f t="shared" si="263"/>
        <v>0</v>
      </c>
      <c r="AS67" s="37">
        <f t="shared" si="263"/>
        <v>0</v>
      </c>
      <c r="AT67" s="37">
        <f t="shared" si="263"/>
        <v>0</v>
      </c>
      <c r="AU67" s="37">
        <f t="shared" si="263"/>
        <v>0</v>
      </c>
      <c r="AV67" s="37">
        <f t="shared" si="263"/>
        <v>0</v>
      </c>
      <c r="AW67" s="37">
        <f t="shared" si="263"/>
        <v>0</v>
      </c>
      <c r="AX67" s="37">
        <f t="shared" si="263"/>
        <v>0</v>
      </c>
      <c r="AY67" s="37">
        <f t="shared" si="263"/>
        <v>0</v>
      </c>
      <c r="AZ67" s="37">
        <f t="shared" si="263"/>
        <v>0</v>
      </c>
      <c r="BA67" s="37">
        <f t="shared" si="263"/>
        <v>0</v>
      </c>
      <c r="BB67" s="37">
        <f t="shared" si="263"/>
        <v>0</v>
      </c>
      <c r="BC67" s="37">
        <f t="shared" si="263"/>
        <v>0</v>
      </c>
      <c r="BD67" s="37">
        <f t="shared" si="263"/>
        <v>0</v>
      </c>
      <c r="BE67" s="37">
        <f t="shared" si="263"/>
        <v>0</v>
      </c>
      <c r="BF67" s="37">
        <f t="shared" si="263"/>
        <v>0</v>
      </c>
      <c r="BG67" s="37">
        <f t="shared" si="263"/>
        <v>0</v>
      </c>
      <c r="BH67" s="37">
        <f t="shared" si="263"/>
        <v>0</v>
      </c>
      <c r="BI67" s="37">
        <f t="shared" si="263"/>
        <v>0</v>
      </c>
      <c r="BJ67" s="37">
        <f t="shared" si="263"/>
        <v>0</v>
      </c>
      <c r="BK67" s="37">
        <f t="shared" si="263"/>
        <v>0</v>
      </c>
      <c r="BL67" s="37">
        <f t="shared" si="263"/>
        <v>0</v>
      </c>
      <c r="BM67" s="37">
        <f t="shared" si="263"/>
        <v>0</v>
      </c>
      <c r="BN67" s="37">
        <f t="shared" si="263"/>
        <v>0</v>
      </c>
      <c r="BO67" s="37">
        <f t="shared" si="263"/>
        <v>0</v>
      </c>
      <c r="BP67" s="37">
        <f t="shared" ref="BP67:EA67" si="264">BP63*$E$6</f>
        <v>0</v>
      </c>
      <c r="BQ67" s="37">
        <f t="shared" si="264"/>
        <v>0</v>
      </c>
      <c r="BR67" s="37">
        <f t="shared" si="264"/>
        <v>0</v>
      </c>
      <c r="BS67" s="37">
        <f t="shared" si="264"/>
        <v>0</v>
      </c>
      <c r="BT67" s="37">
        <f t="shared" si="264"/>
        <v>0</v>
      </c>
      <c r="BU67" s="37">
        <f t="shared" si="264"/>
        <v>0</v>
      </c>
      <c r="BV67" s="37">
        <f t="shared" si="264"/>
        <v>0</v>
      </c>
      <c r="BW67" s="37">
        <f t="shared" si="264"/>
        <v>0</v>
      </c>
      <c r="BX67" s="37">
        <f t="shared" si="264"/>
        <v>0</v>
      </c>
      <c r="BY67" s="37">
        <f t="shared" si="264"/>
        <v>0</v>
      </c>
      <c r="BZ67" s="37">
        <f t="shared" si="264"/>
        <v>0</v>
      </c>
      <c r="CA67" s="37">
        <f t="shared" si="264"/>
        <v>0</v>
      </c>
      <c r="CB67" s="37">
        <f t="shared" si="264"/>
        <v>0</v>
      </c>
      <c r="CC67" s="37">
        <f t="shared" si="264"/>
        <v>0</v>
      </c>
      <c r="CD67" s="37">
        <f t="shared" si="264"/>
        <v>0</v>
      </c>
      <c r="CE67" s="37">
        <f t="shared" si="264"/>
        <v>0</v>
      </c>
      <c r="CF67" s="37">
        <f t="shared" si="264"/>
        <v>0</v>
      </c>
      <c r="CG67" s="37">
        <f t="shared" si="264"/>
        <v>0</v>
      </c>
      <c r="CH67" s="37">
        <f t="shared" si="264"/>
        <v>0</v>
      </c>
      <c r="CI67" s="37">
        <f t="shared" si="264"/>
        <v>0</v>
      </c>
      <c r="CJ67" s="37">
        <f t="shared" si="264"/>
        <v>0</v>
      </c>
      <c r="CK67" s="37">
        <f t="shared" si="264"/>
        <v>0</v>
      </c>
      <c r="CL67" s="37">
        <f t="shared" si="264"/>
        <v>0</v>
      </c>
      <c r="CM67" s="37">
        <f t="shared" si="264"/>
        <v>0</v>
      </c>
      <c r="CN67" s="37">
        <f t="shared" si="264"/>
        <v>0</v>
      </c>
      <c r="CO67" s="37">
        <f t="shared" si="264"/>
        <v>0</v>
      </c>
      <c r="CP67" s="37">
        <f t="shared" si="264"/>
        <v>0</v>
      </c>
      <c r="CQ67" s="37">
        <f t="shared" si="264"/>
        <v>0</v>
      </c>
      <c r="CR67" s="37">
        <f t="shared" si="264"/>
        <v>0</v>
      </c>
      <c r="CS67" s="37">
        <f t="shared" si="264"/>
        <v>0</v>
      </c>
      <c r="CT67" s="37">
        <f t="shared" si="264"/>
        <v>0</v>
      </c>
      <c r="CU67" s="37">
        <f t="shared" si="264"/>
        <v>0</v>
      </c>
      <c r="CV67" s="37">
        <f t="shared" si="264"/>
        <v>0</v>
      </c>
      <c r="CW67" s="37">
        <f t="shared" si="264"/>
        <v>0</v>
      </c>
      <c r="CX67" s="37">
        <f t="shared" si="264"/>
        <v>0</v>
      </c>
      <c r="CY67" s="37">
        <f t="shared" si="264"/>
        <v>0</v>
      </c>
      <c r="CZ67" s="37">
        <f t="shared" si="264"/>
        <v>0</v>
      </c>
      <c r="DA67" s="37">
        <f t="shared" si="264"/>
        <v>0</v>
      </c>
      <c r="DB67" s="37">
        <f t="shared" si="264"/>
        <v>0</v>
      </c>
      <c r="DC67" s="37">
        <f t="shared" si="264"/>
        <v>0</v>
      </c>
      <c r="DD67" s="37">
        <f t="shared" si="264"/>
        <v>0</v>
      </c>
      <c r="DE67" s="37">
        <f t="shared" si="264"/>
        <v>0</v>
      </c>
      <c r="DF67" s="37">
        <f t="shared" si="264"/>
        <v>0</v>
      </c>
      <c r="DG67" s="37">
        <f t="shared" si="264"/>
        <v>0</v>
      </c>
      <c r="DH67" s="37">
        <f t="shared" si="264"/>
        <v>0</v>
      </c>
      <c r="DI67" s="37">
        <f t="shared" si="264"/>
        <v>0</v>
      </c>
      <c r="DJ67" s="37">
        <f t="shared" si="264"/>
        <v>0</v>
      </c>
      <c r="DK67" s="37">
        <f t="shared" si="264"/>
        <v>0</v>
      </c>
      <c r="DL67" s="37">
        <f t="shared" si="264"/>
        <v>0</v>
      </c>
      <c r="DM67" s="37">
        <f t="shared" si="264"/>
        <v>0</v>
      </c>
      <c r="DN67" s="37">
        <f t="shared" si="264"/>
        <v>0</v>
      </c>
      <c r="DO67" s="37">
        <f t="shared" si="264"/>
        <v>0</v>
      </c>
      <c r="DP67" s="37">
        <f t="shared" si="264"/>
        <v>0</v>
      </c>
      <c r="DQ67" s="37">
        <f t="shared" si="264"/>
        <v>0</v>
      </c>
      <c r="DR67" s="37">
        <f t="shared" si="264"/>
        <v>0</v>
      </c>
      <c r="DS67" s="37">
        <f t="shared" si="264"/>
        <v>0</v>
      </c>
      <c r="DT67" s="37">
        <f t="shared" si="264"/>
        <v>0</v>
      </c>
      <c r="DU67" s="37">
        <f t="shared" si="264"/>
        <v>0</v>
      </c>
      <c r="DV67" s="37">
        <f t="shared" si="264"/>
        <v>0</v>
      </c>
      <c r="DW67" s="37">
        <f t="shared" si="264"/>
        <v>0</v>
      </c>
      <c r="DX67" s="37">
        <f t="shared" si="264"/>
        <v>0</v>
      </c>
      <c r="DY67" s="37">
        <f t="shared" si="264"/>
        <v>0</v>
      </c>
      <c r="DZ67" s="37">
        <f t="shared" si="264"/>
        <v>0</v>
      </c>
      <c r="EA67" s="37">
        <f t="shared" si="264"/>
        <v>0</v>
      </c>
      <c r="EB67" s="37">
        <f t="shared" ref="EB67:EE67" si="265">EB63*$E$6</f>
        <v>0</v>
      </c>
      <c r="EC67" s="37">
        <f t="shared" si="265"/>
        <v>0</v>
      </c>
      <c r="ED67" s="37">
        <f t="shared" si="265"/>
        <v>0</v>
      </c>
      <c r="EE67" s="38">
        <f t="shared" si="265"/>
        <v>0</v>
      </c>
    </row>
    <row r="68" spans="2:135" x14ac:dyDescent="0.35">
      <c r="B68" s="34" t="s">
        <v>56</v>
      </c>
      <c r="C68" s="37">
        <f>SUM(C66:C67)</f>
        <v>0</v>
      </c>
      <c r="D68" s="37">
        <f t="shared" ref="D68:BO68" si="266">SUM(D66:D67)</f>
        <v>0</v>
      </c>
      <c r="E68" s="37">
        <f t="shared" si="266"/>
        <v>0</v>
      </c>
      <c r="F68" s="37">
        <f t="shared" si="266"/>
        <v>0</v>
      </c>
      <c r="G68" s="37">
        <f t="shared" si="266"/>
        <v>0</v>
      </c>
      <c r="H68" s="37">
        <f t="shared" si="266"/>
        <v>0</v>
      </c>
      <c r="I68" s="37">
        <f t="shared" si="266"/>
        <v>0</v>
      </c>
      <c r="J68" s="37">
        <f t="shared" si="266"/>
        <v>0</v>
      </c>
      <c r="K68" s="37">
        <f t="shared" si="266"/>
        <v>0</v>
      </c>
      <c r="L68" s="37">
        <f t="shared" si="266"/>
        <v>0</v>
      </c>
      <c r="M68" s="37">
        <f t="shared" si="266"/>
        <v>0</v>
      </c>
      <c r="N68" s="37">
        <f t="shared" si="266"/>
        <v>0</v>
      </c>
      <c r="O68" s="37">
        <f t="shared" si="266"/>
        <v>0</v>
      </c>
      <c r="P68" s="37">
        <f t="shared" si="266"/>
        <v>0</v>
      </c>
      <c r="Q68" s="37">
        <f t="shared" si="266"/>
        <v>0</v>
      </c>
      <c r="R68" s="37">
        <f t="shared" si="266"/>
        <v>0</v>
      </c>
      <c r="S68" s="37">
        <f t="shared" si="266"/>
        <v>0</v>
      </c>
      <c r="T68" s="37">
        <f t="shared" si="266"/>
        <v>0</v>
      </c>
      <c r="U68" s="37">
        <f t="shared" si="266"/>
        <v>0</v>
      </c>
      <c r="V68" s="37">
        <f t="shared" si="266"/>
        <v>0</v>
      </c>
      <c r="W68" s="37">
        <f t="shared" si="266"/>
        <v>0</v>
      </c>
      <c r="X68" s="37">
        <f t="shared" si="266"/>
        <v>0</v>
      </c>
      <c r="Y68" s="37">
        <f t="shared" si="266"/>
        <v>0</v>
      </c>
      <c r="Z68" s="37">
        <f t="shared" si="266"/>
        <v>0</v>
      </c>
      <c r="AA68" s="37">
        <f t="shared" si="266"/>
        <v>0</v>
      </c>
      <c r="AB68" s="37">
        <f t="shared" si="266"/>
        <v>0</v>
      </c>
      <c r="AC68" s="37">
        <f t="shared" si="266"/>
        <v>0</v>
      </c>
      <c r="AD68" s="37">
        <f t="shared" si="266"/>
        <v>0</v>
      </c>
      <c r="AE68" s="37">
        <f t="shared" si="266"/>
        <v>0</v>
      </c>
      <c r="AF68" s="37">
        <f t="shared" si="266"/>
        <v>0</v>
      </c>
      <c r="AG68" s="37">
        <f t="shared" si="266"/>
        <v>0</v>
      </c>
      <c r="AH68" s="37">
        <f t="shared" si="266"/>
        <v>0</v>
      </c>
      <c r="AI68" s="37">
        <f t="shared" si="266"/>
        <v>0</v>
      </c>
      <c r="AJ68" s="37">
        <f t="shared" si="266"/>
        <v>0</v>
      </c>
      <c r="AK68" s="37">
        <f t="shared" si="266"/>
        <v>0</v>
      </c>
      <c r="AL68" s="37">
        <f t="shared" si="266"/>
        <v>0</v>
      </c>
      <c r="AM68" s="37">
        <f t="shared" si="266"/>
        <v>0</v>
      </c>
      <c r="AN68" s="37">
        <f t="shared" si="266"/>
        <v>0</v>
      </c>
      <c r="AO68" s="37">
        <f t="shared" si="266"/>
        <v>0</v>
      </c>
      <c r="AP68" s="37">
        <f t="shared" si="266"/>
        <v>0</v>
      </c>
      <c r="AQ68" s="37">
        <f t="shared" si="266"/>
        <v>0</v>
      </c>
      <c r="AR68" s="37">
        <f t="shared" si="266"/>
        <v>0</v>
      </c>
      <c r="AS68" s="37">
        <f t="shared" si="266"/>
        <v>0</v>
      </c>
      <c r="AT68" s="37">
        <f t="shared" si="266"/>
        <v>0</v>
      </c>
      <c r="AU68" s="37">
        <f t="shared" si="266"/>
        <v>0</v>
      </c>
      <c r="AV68" s="37">
        <f t="shared" si="266"/>
        <v>0</v>
      </c>
      <c r="AW68" s="37">
        <f t="shared" si="266"/>
        <v>0</v>
      </c>
      <c r="AX68" s="37">
        <f t="shared" si="266"/>
        <v>0</v>
      </c>
      <c r="AY68" s="37">
        <f t="shared" si="266"/>
        <v>0</v>
      </c>
      <c r="AZ68" s="37">
        <f t="shared" si="266"/>
        <v>0</v>
      </c>
      <c r="BA68" s="37">
        <f t="shared" si="266"/>
        <v>0</v>
      </c>
      <c r="BB68" s="37">
        <f t="shared" si="266"/>
        <v>0</v>
      </c>
      <c r="BC68" s="37">
        <f t="shared" si="266"/>
        <v>0</v>
      </c>
      <c r="BD68" s="37">
        <f t="shared" si="266"/>
        <v>0</v>
      </c>
      <c r="BE68" s="37">
        <f t="shared" si="266"/>
        <v>0</v>
      </c>
      <c r="BF68" s="37">
        <f t="shared" si="266"/>
        <v>0</v>
      </c>
      <c r="BG68" s="37">
        <f t="shared" si="266"/>
        <v>0</v>
      </c>
      <c r="BH68" s="37">
        <f t="shared" si="266"/>
        <v>0</v>
      </c>
      <c r="BI68" s="37">
        <f t="shared" si="266"/>
        <v>0</v>
      </c>
      <c r="BJ68" s="37">
        <f t="shared" si="266"/>
        <v>0</v>
      </c>
      <c r="BK68" s="37">
        <f t="shared" si="266"/>
        <v>0</v>
      </c>
      <c r="BL68" s="37">
        <f t="shared" si="266"/>
        <v>0</v>
      </c>
      <c r="BM68" s="37">
        <f t="shared" si="266"/>
        <v>0</v>
      </c>
      <c r="BN68" s="37">
        <f t="shared" si="266"/>
        <v>0</v>
      </c>
      <c r="BO68" s="37">
        <f t="shared" si="266"/>
        <v>0</v>
      </c>
      <c r="BP68" s="37">
        <f t="shared" ref="BP68:EA68" si="267">SUM(BP66:BP67)</f>
        <v>0</v>
      </c>
      <c r="BQ68" s="37">
        <f t="shared" si="267"/>
        <v>0</v>
      </c>
      <c r="BR68" s="37">
        <f t="shared" si="267"/>
        <v>0</v>
      </c>
      <c r="BS68" s="37">
        <f t="shared" si="267"/>
        <v>0</v>
      </c>
      <c r="BT68" s="37">
        <f t="shared" si="267"/>
        <v>0</v>
      </c>
      <c r="BU68" s="37">
        <f t="shared" si="267"/>
        <v>0</v>
      </c>
      <c r="BV68" s="37">
        <f t="shared" si="267"/>
        <v>0</v>
      </c>
      <c r="BW68" s="37">
        <f t="shared" si="267"/>
        <v>0</v>
      </c>
      <c r="BX68" s="37">
        <f t="shared" si="267"/>
        <v>0</v>
      </c>
      <c r="BY68" s="37">
        <f t="shared" si="267"/>
        <v>0</v>
      </c>
      <c r="BZ68" s="37">
        <f t="shared" si="267"/>
        <v>0</v>
      </c>
      <c r="CA68" s="37">
        <f t="shared" si="267"/>
        <v>0</v>
      </c>
      <c r="CB68" s="37">
        <f t="shared" si="267"/>
        <v>0</v>
      </c>
      <c r="CC68" s="37">
        <f t="shared" si="267"/>
        <v>0</v>
      </c>
      <c r="CD68" s="37">
        <f t="shared" si="267"/>
        <v>0</v>
      </c>
      <c r="CE68" s="37">
        <f t="shared" si="267"/>
        <v>0</v>
      </c>
      <c r="CF68" s="37">
        <f t="shared" si="267"/>
        <v>0</v>
      </c>
      <c r="CG68" s="37">
        <f t="shared" si="267"/>
        <v>0</v>
      </c>
      <c r="CH68" s="37">
        <f t="shared" si="267"/>
        <v>0</v>
      </c>
      <c r="CI68" s="37">
        <f t="shared" si="267"/>
        <v>0</v>
      </c>
      <c r="CJ68" s="37">
        <f t="shared" si="267"/>
        <v>0</v>
      </c>
      <c r="CK68" s="37">
        <f t="shared" si="267"/>
        <v>0</v>
      </c>
      <c r="CL68" s="37">
        <f t="shared" si="267"/>
        <v>0</v>
      </c>
      <c r="CM68" s="37">
        <f t="shared" si="267"/>
        <v>0</v>
      </c>
      <c r="CN68" s="37">
        <f t="shared" si="267"/>
        <v>0</v>
      </c>
      <c r="CO68" s="37">
        <f t="shared" si="267"/>
        <v>0</v>
      </c>
      <c r="CP68" s="37">
        <f t="shared" si="267"/>
        <v>0</v>
      </c>
      <c r="CQ68" s="37">
        <f t="shared" si="267"/>
        <v>0</v>
      </c>
      <c r="CR68" s="37">
        <f t="shared" si="267"/>
        <v>0</v>
      </c>
      <c r="CS68" s="37">
        <f t="shared" si="267"/>
        <v>0</v>
      </c>
      <c r="CT68" s="37">
        <f t="shared" si="267"/>
        <v>0</v>
      </c>
      <c r="CU68" s="37">
        <f t="shared" si="267"/>
        <v>0</v>
      </c>
      <c r="CV68" s="37">
        <f t="shared" si="267"/>
        <v>0</v>
      </c>
      <c r="CW68" s="37">
        <f t="shared" si="267"/>
        <v>0</v>
      </c>
      <c r="CX68" s="37">
        <f t="shared" si="267"/>
        <v>0</v>
      </c>
      <c r="CY68" s="37">
        <f t="shared" si="267"/>
        <v>0</v>
      </c>
      <c r="CZ68" s="37">
        <f t="shared" si="267"/>
        <v>0</v>
      </c>
      <c r="DA68" s="37">
        <f t="shared" si="267"/>
        <v>0</v>
      </c>
      <c r="DB68" s="37">
        <f t="shared" si="267"/>
        <v>0</v>
      </c>
      <c r="DC68" s="37">
        <f t="shared" si="267"/>
        <v>0</v>
      </c>
      <c r="DD68" s="37">
        <f t="shared" si="267"/>
        <v>0</v>
      </c>
      <c r="DE68" s="37">
        <f t="shared" si="267"/>
        <v>0</v>
      </c>
      <c r="DF68" s="37">
        <f t="shared" si="267"/>
        <v>0</v>
      </c>
      <c r="DG68" s="37">
        <f t="shared" si="267"/>
        <v>0</v>
      </c>
      <c r="DH68" s="37">
        <f t="shared" si="267"/>
        <v>0</v>
      </c>
      <c r="DI68" s="37">
        <f t="shared" si="267"/>
        <v>0</v>
      </c>
      <c r="DJ68" s="37">
        <f t="shared" si="267"/>
        <v>0</v>
      </c>
      <c r="DK68" s="37">
        <f t="shared" si="267"/>
        <v>0</v>
      </c>
      <c r="DL68" s="37">
        <f t="shared" si="267"/>
        <v>0</v>
      </c>
      <c r="DM68" s="37">
        <f t="shared" si="267"/>
        <v>0</v>
      </c>
      <c r="DN68" s="37">
        <f t="shared" si="267"/>
        <v>0</v>
      </c>
      <c r="DO68" s="37">
        <f t="shared" si="267"/>
        <v>0</v>
      </c>
      <c r="DP68" s="37">
        <f t="shared" si="267"/>
        <v>0</v>
      </c>
      <c r="DQ68" s="37">
        <f t="shared" si="267"/>
        <v>0</v>
      </c>
      <c r="DR68" s="37">
        <f t="shared" si="267"/>
        <v>0</v>
      </c>
      <c r="DS68" s="37">
        <f t="shared" si="267"/>
        <v>0</v>
      </c>
      <c r="DT68" s="37">
        <f t="shared" si="267"/>
        <v>0</v>
      </c>
      <c r="DU68" s="37">
        <f t="shared" si="267"/>
        <v>0</v>
      </c>
      <c r="DV68" s="37">
        <f t="shared" si="267"/>
        <v>0</v>
      </c>
      <c r="DW68" s="37">
        <f t="shared" si="267"/>
        <v>0</v>
      </c>
      <c r="DX68" s="37">
        <f t="shared" si="267"/>
        <v>0</v>
      </c>
      <c r="DY68" s="37">
        <f t="shared" si="267"/>
        <v>0</v>
      </c>
      <c r="DZ68" s="37">
        <f t="shared" si="267"/>
        <v>0</v>
      </c>
      <c r="EA68" s="37">
        <f t="shared" si="267"/>
        <v>0</v>
      </c>
      <c r="EB68" s="37">
        <f t="shared" ref="EB68:EE68" si="268">SUM(EB66:EB67)</f>
        <v>0</v>
      </c>
      <c r="EC68" s="37">
        <f t="shared" si="268"/>
        <v>0</v>
      </c>
      <c r="ED68" s="37">
        <f t="shared" si="268"/>
        <v>0</v>
      </c>
      <c r="EE68" s="38">
        <f t="shared" si="268"/>
        <v>0</v>
      </c>
    </row>
    <row r="69" spans="2:135" x14ac:dyDescent="0.35">
      <c r="B69" s="35" t="s">
        <v>60</v>
      </c>
      <c r="C69" s="39">
        <f>C63-C68</f>
        <v>0</v>
      </c>
      <c r="D69" s="39">
        <f t="shared" ref="D69:BO69" si="269">D63-D68</f>
        <v>0</v>
      </c>
      <c r="E69" s="39">
        <f t="shared" si="269"/>
        <v>0</v>
      </c>
      <c r="F69" s="39">
        <f t="shared" si="269"/>
        <v>0</v>
      </c>
      <c r="G69" s="39">
        <f t="shared" si="269"/>
        <v>0</v>
      </c>
      <c r="H69" s="39">
        <f t="shared" si="269"/>
        <v>0</v>
      </c>
      <c r="I69" s="39">
        <f t="shared" si="269"/>
        <v>0</v>
      </c>
      <c r="J69" s="39">
        <f t="shared" si="269"/>
        <v>0</v>
      </c>
      <c r="K69" s="39">
        <f t="shared" si="269"/>
        <v>0</v>
      </c>
      <c r="L69" s="39">
        <f t="shared" si="269"/>
        <v>0</v>
      </c>
      <c r="M69" s="39">
        <f t="shared" si="269"/>
        <v>0</v>
      </c>
      <c r="N69" s="39">
        <f t="shared" si="269"/>
        <v>0</v>
      </c>
      <c r="O69" s="39">
        <f t="shared" si="269"/>
        <v>0</v>
      </c>
      <c r="P69" s="39">
        <f t="shared" si="269"/>
        <v>0</v>
      </c>
      <c r="Q69" s="39">
        <f t="shared" si="269"/>
        <v>0</v>
      </c>
      <c r="R69" s="39">
        <f t="shared" si="269"/>
        <v>0</v>
      </c>
      <c r="S69" s="39">
        <f t="shared" si="269"/>
        <v>0</v>
      </c>
      <c r="T69" s="39">
        <f t="shared" si="269"/>
        <v>0</v>
      </c>
      <c r="U69" s="39">
        <f t="shared" si="269"/>
        <v>0</v>
      </c>
      <c r="V69" s="39">
        <f t="shared" si="269"/>
        <v>0</v>
      </c>
      <c r="W69" s="39">
        <f t="shared" si="269"/>
        <v>0</v>
      </c>
      <c r="X69" s="39">
        <f t="shared" si="269"/>
        <v>0</v>
      </c>
      <c r="Y69" s="39">
        <f t="shared" si="269"/>
        <v>0</v>
      </c>
      <c r="Z69" s="39">
        <f t="shared" si="269"/>
        <v>0</v>
      </c>
      <c r="AA69" s="39">
        <f t="shared" si="269"/>
        <v>0</v>
      </c>
      <c r="AB69" s="39">
        <f t="shared" si="269"/>
        <v>0</v>
      </c>
      <c r="AC69" s="39">
        <f t="shared" si="269"/>
        <v>0</v>
      </c>
      <c r="AD69" s="39">
        <f t="shared" si="269"/>
        <v>0</v>
      </c>
      <c r="AE69" s="39">
        <f t="shared" si="269"/>
        <v>0</v>
      </c>
      <c r="AF69" s="39">
        <f t="shared" si="269"/>
        <v>0</v>
      </c>
      <c r="AG69" s="39">
        <f t="shared" si="269"/>
        <v>0</v>
      </c>
      <c r="AH69" s="39">
        <f t="shared" si="269"/>
        <v>0</v>
      </c>
      <c r="AI69" s="39">
        <f t="shared" si="269"/>
        <v>0</v>
      </c>
      <c r="AJ69" s="39">
        <f t="shared" si="269"/>
        <v>0</v>
      </c>
      <c r="AK69" s="39">
        <f t="shared" si="269"/>
        <v>0</v>
      </c>
      <c r="AL69" s="39">
        <f t="shared" si="269"/>
        <v>0</v>
      </c>
      <c r="AM69" s="39">
        <f t="shared" si="269"/>
        <v>0</v>
      </c>
      <c r="AN69" s="39">
        <f t="shared" si="269"/>
        <v>0</v>
      </c>
      <c r="AO69" s="39">
        <f t="shared" si="269"/>
        <v>0</v>
      </c>
      <c r="AP69" s="39">
        <f t="shared" si="269"/>
        <v>0</v>
      </c>
      <c r="AQ69" s="39">
        <f t="shared" si="269"/>
        <v>0</v>
      </c>
      <c r="AR69" s="39">
        <f t="shared" si="269"/>
        <v>0</v>
      </c>
      <c r="AS69" s="39">
        <f t="shared" si="269"/>
        <v>0</v>
      </c>
      <c r="AT69" s="39">
        <f t="shared" si="269"/>
        <v>0</v>
      </c>
      <c r="AU69" s="39">
        <f t="shared" si="269"/>
        <v>0</v>
      </c>
      <c r="AV69" s="39">
        <f t="shared" si="269"/>
        <v>0</v>
      </c>
      <c r="AW69" s="39">
        <f t="shared" si="269"/>
        <v>0</v>
      </c>
      <c r="AX69" s="39">
        <f t="shared" si="269"/>
        <v>0</v>
      </c>
      <c r="AY69" s="39">
        <f t="shared" si="269"/>
        <v>0</v>
      </c>
      <c r="AZ69" s="39">
        <f t="shared" si="269"/>
        <v>0</v>
      </c>
      <c r="BA69" s="39">
        <f t="shared" si="269"/>
        <v>0</v>
      </c>
      <c r="BB69" s="39">
        <f t="shared" si="269"/>
        <v>0</v>
      </c>
      <c r="BC69" s="39">
        <f t="shared" si="269"/>
        <v>0</v>
      </c>
      <c r="BD69" s="39">
        <f t="shared" si="269"/>
        <v>0</v>
      </c>
      <c r="BE69" s="39">
        <f t="shared" si="269"/>
        <v>0</v>
      </c>
      <c r="BF69" s="39">
        <f t="shared" si="269"/>
        <v>0</v>
      </c>
      <c r="BG69" s="39">
        <f t="shared" si="269"/>
        <v>0</v>
      </c>
      <c r="BH69" s="39">
        <f t="shared" si="269"/>
        <v>0</v>
      </c>
      <c r="BI69" s="39">
        <f t="shared" si="269"/>
        <v>0</v>
      </c>
      <c r="BJ69" s="39">
        <f t="shared" si="269"/>
        <v>0</v>
      </c>
      <c r="BK69" s="39">
        <f t="shared" si="269"/>
        <v>0</v>
      </c>
      <c r="BL69" s="39">
        <f t="shared" si="269"/>
        <v>0</v>
      </c>
      <c r="BM69" s="39">
        <f t="shared" si="269"/>
        <v>0</v>
      </c>
      <c r="BN69" s="39">
        <f t="shared" si="269"/>
        <v>0</v>
      </c>
      <c r="BO69" s="39">
        <f t="shared" si="269"/>
        <v>0</v>
      </c>
      <c r="BP69" s="39">
        <f t="shared" ref="BP69:EA69" si="270">BP63-BP68</f>
        <v>0</v>
      </c>
      <c r="BQ69" s="39">
        <f t="shared" si="270"/>
        <v>0</v>
      </c>
      <c r="BR69" s="39">
        <f t="shared" si="270"/>
        <v>0</v>
      </c>
      <c r="BS69" s="39">
        <f t="shared" si="270"/>
        <v>0</v>
      </c>
      <c r="BT69" s="39">
        <f t="shared" si="270"/>
        <v>0</v>
      </c>
      <c r="BU69" s="39">
        <f t="shared" si="270"/>
        <v>0</v>
      </c>
      <c r="BV69" s="39">
        <f t="shared" si="270"/>
        <v>0</v>
      </c>
      <c r="BW69" s="39">
        <f t="shared" si="270"/>
        <v>0</v>
      </c>
      <c r="BX69" s="39">
        <f t="shared" si="270"/>
        <v>0</v>
      </c>
      <c r="BY69" s="39">
        <f t="shared" si="270"/>
        <v>0</v>
      </c>
      <c r="BZ69" s="39">
        <f t="shared" si="270"/>
        <v>0</v>
      </c>
      <c r="CA69" s="39">
        <f t="shared" si="270"/>
        <v>0</v>
      </c>
      <c r="CB69" s="39">
        <f t="shared" si="270"/>
        <v>0</v>
      </c>
      <c r="CC69" s="39">
        <f t="shared" si="270"/>
        <v>0</v>
      </c>
      <c r="CD69" s="39">
        <f t="shared" si="270"/>
        <v>0</v>
      </c>
      <c r="CE69" s="39">
        <f t="shared" si="270"/>
        <v>0</v>
      </c>
      <c r="CF69" s="39">
        <f t="shared" si="270"/>
        <v>0</v>
      </c>
      <c r="CG69" s="39">
        <f t="shared" si="270"/>
        <v>0</v>
      </c>
      <c r="CH69" s="39">
        <f t="shared" si="270"/>
        <v>0</v>
      </c>
      <c r="CI69" s="39">
        <f t="shared" si="270"/>
        <v>0</v>
      </c>
      <c r="CJ69" s="39">
        <f t="shared" si="270"/>
        <v>0</v>
      </c>
      <c r="CK69" s="39">
        <f t="shared" si="270"/>
        <v>0</v>
      </c>
      <c r="CL69" s="39">
        <f t="shared" si="270"/>
        <v>0</v>
      </c>
      <c r="CM69" s="39">
        <f t="shared" si="270"/>
        <v>0</v>
      </c>
      <c r="CN69" s="39">
        <f t="shared" si="270"/>
        <v>0</v>
      </c>
      <c r="CO69" s="39">
        <f t="shared" si="270"/>
        <v>0</v>
      </c>
      <c r="CP69" s="39">
        <f t="shared" si="270"/>
        <v>0</v>
      </c>
      <c r="CQ69" s="39">
        <f t="shared" si="270"/>
        <v>0</v>
      </c>
      <c r="CR69" s="39">
        <f t="shared" si="270"/>
        <v>0</v>
      </c>
      <c r="CS69" s="39">
        <f t="shared" si="270"/>
        <v>0</v>
      </c>
      <c r="CT69" s="39">
        <f t="shared" si="270"/>
        <v>0</v>
      </c>
      <c r="CU69" s="39">
        <f t="shared" si="270"/>
        <v>0</v>
      </c>
      <c r="CV69" s="39">
        <f t="shared" si="270"/>
        <v>0</v>
      </c>
      <c r="CW69" s="39">
        <f t="shared" si="270"/>
        <v>0</v>
      </c>
      <c r="CX69" s="39">
        <f t="shared" si="270"/>
        <v>0</v>
      </c>
      <c r="CY69" s="39">
        <f t="shared" si="270"/>
        <v>0</v>
      </c>
      <c r="CZ69" s="39">
        <f t="shared" si="270"/>
        <v>0</v>
      </c>
      <c r="DA69" s="39">
        <f t="shared" si="270"/>
        <v>0</v>
      </c>
      <c r="DB69" s="39">
        <f t="shared" si="270"/>
        <v>0</v>
      </c>
      <c r="DC69" s="39">
        <f t="shared" si="270"/>
        <v>0</v>
      </c>
      <c r="DD69" s="39">
        <f t="shared" si="270"/>
        <v>0</v>
      </c>
      <c r="DE69" s="39">
        <f t="shared" si="270"/>
        <v>0</v>
      </c>
      <c r="DF69" s="39">
        <f t="shared" si="270"/>
        <v>0</v>
      </c>
      <c r="DG69" s="39">
        <f t="shared" si="270"/>
        <v>0</v>
      </c>
      <c r="DH69" s="39">
        <f t="shared" si="270"/>
        <v>0</v>
      </c>
      <c r="DI69" s="39">
        <f t="shared" si="270"/>
        <v>0</v>
      </c>
      <c r="DJ69" s="39">
        <f t="shared" si="270"/>
        <v>0</v>
      </c>
      <c r="DK69" s="39">
        <f t="shared" si="270"/>
        <v>0</v>
      </c>
      <c r="DL69" s="39">
        <f t="shared" si="270"/>
        <v>0</v>
      </c>
      <c r="DM69" s="39">
        <f t="shared" si="270"/>
        <v>0</v>
      </c>
      <c r="DN69" s="39">
        <f t="shared" si="270"/>
        <v>0</v>
      </c>
      <c r="DO69" s="39">
        <f t="shared" si="270"/>
        <v>0</v>
      </c>
      <c r="DP69" s="39">
        <f t="shared" si="270"/>
        <v>0</v>
      </c>
      <c r="DQ69" s="39">
        <f t="shared" si="270"/>
        <v>0</v>
      </c>
      <c r="DR69" s="39">
        <f t="shared" si="270"/>
        <v>0</v>
      </c>
      <c r="DS69" s="39">
        <f t="shared" si="270"/>
        <v>0</v>
      </c>
      <c r="DT69" s="39">
        <f t="shared" si="270"/>
        <v>0</v>
      </c>
      <c r="DU69" s="39">
        <f t="shared" si="270"/>
        <v>0</v>
      </c>
      <c r="DV69" s="39">
        <f t="shared" si="270"/>
        <v>0</v>
      </c>
      <c r="DW69" s="39">
        <f t="shared" si="270"/>
        <v>0</v>
      </c>
      <c r="DX69" s="39">
        <f t="shared" si="270"/>
        <v>0</v>
      </c>
      <c r="DY69" s="39">
        <f t="shared" si="270"/>
        <v>0</v>
      </c>
      <c r="DZ69" s="39">
        <f t="shared" si="270"/>
        <v>0</v>
      </c>
      <c r="EA69" s="39">
        <f t="shared" si="270"/>
        <v>0</v>
      </c>
      <c r="EB69" s="39">
        <f t="shared" ref="EB69:EE69" si="271">EB63-EB68</f>
        <v>0</v>
      </c>
      <c r="EC69" s="39">
        <f t="shared" si="271"/>
        <v>0</v>
      </c>
      <c r="ED69" s="39">
        <f t="shared" si="271"/>
        <v>0</v>
      </c>
      <c r="EE69" s="40">
        <f t="shared" si="271"/>
        <v>0</v>
      </c>
    </row>
    <row r="71" spans="2:135" x14ac:dyDescent="0.35">
      <c r="B71" s="49" t="s">
        <v>61</v>
      </c>
      <c r="C71" s="50">
        <f>C65</f>
        <v>44377</v>
      </c>
      <c r="D71" s="50">
        <f t="shared" ref="D71:BO71" si="272">D65</f>
        <v>44408</v>
      </c>
      <c r="E71" s="50">
        <f t="shared" si="272"/>
        <v>44439</v>
      </c>
      <c r="F71" s="50">
        <f t="shared" si="272"/>
        <v>44469</v>
      </c>
      <c r="G71" s="50">
        <f t="shared" si="272"/>
        <v>44500</v>
      </c>
      <c r="H71" s="50">
        <f t="shared" si="272"/>
        <v>44530</v>
      </c>
      <c r="I71" s="50">
        <f t="shared" si="272"/>
        <v>44561</v>
      </c>
      <c r="J71" s="50">
        <f t="shared" si="272"/>
        <v>44592</v>
      </c>
      <c r="K71" s="50">
        <f t="shared" si="272"/>
        <v>44620</v>
      </c>
      <c r="L71" s="50">
        <f t="shared" si="272"/>
        <v>44651</v>
      </c>
      <c r="M71" s="50">
        <f t="shared" si="272"/>
        <v>44681</v>
      </c>
      <c r="N71" s="50">
        <f t="shared" si="272"/>
        <v>44712</v>
      </c>
      <c r="O71" s="50">
        <f t="shared" si="272"/>
        <v>44742</v>
      </c>
      <c r="P71" s="50">
        <f t="shared" si="272"/>
        <v>44773</v>
      </c>
      <c r="Q71" s="50">
        <f t="shared" si="272"/>
        <v>44804</v>
      </c>
      <c r="R71" s="50">
        <f t="shared" si="272"/>
        <v>44834</v>
      </c>
      <c r="S71" s="50">
        <f t="shared" si="272"/>
        <v>44865</v>
      </c>
      <c r="T71" s="50">
        <f t="shared" si="272"/>
        <v>44895</v>
      </c>
      <c r="U71" s="50">
        <f t="shared" si="272"/>
        <v>44926</v>
      </c>
      <c r="V71" s="50">
        <f t="shared" si="272"/>
        <v>44957</v>
      </c>
      <c r="W71" s="50">
        <f t="shared" si="272"/>
        <v>44985</v>
      </c>
      <c r="X71" s="50">
        <f t="shared" si="272"/>
        <v>45016</v>
      </c>
      <c r="Y71" s="50">
        <f t="shared" si="272"/>
        <v>45046</v>
      </c>
      <c r="Z71" s="50">
        <f t="shared" si="272"/>
        <v>45077</v>
      </c>
      <c r="AA71" s="50">
        <f t="shared" si="272"/>
        <v>45107</v>
      </c>
      <c r="AB71" s="50">
        <f t="shared" si="272"/>
        <v>45138</v>
      </c>
      <c r="AC71" s="50">
        <f t="shared" si="272"/>
        <v>45169</v>
      </c>
      <c r="AD71" s="50">
        <f t="shared" si="272"/>
        <v>45199</v>
      </c>
      <c r="AE71" s="50">
        <f t="shared" si="272"/>
        <v>45230</v>
      </c>
      <c r="AF71" s="50">
        <f t="shared" si="272"/>
        <v>45260</v>
      </c>
      <c r="AG71" s="50">
        <f t="shared" si="272"/>
        <v>45291</v>
      </c>
      <c r="AH71" s="50">
        <f t="shared" si="272"/>
        <v>45322</v>
      </c>
      <c r="AI71" s="50">
        <f t="shared" si="272"/>
        <v>45351</v>
      </c>
      <c r="AJ71" s="50">
        <f t="shared" si="272"/>
        <v>45382</v>
      </c>
      <c r="AK71" s="50">
        <f t="shared" si="272"/>
        <v>45412</v>
      </c>
      <c r="AL71" s="50">
        <f t="shared" si="272"/>
        <v>45443</v>
      </c>
      <c r="AM71" s="50">
        <f t="shared" si="272"/>
        <v>45473</v>
      </c>
      <c r="AN71" s="50">
        <f t="shared" si="272"/>
        <v>45504</v>
      </c>
      <c r="AO71" s="50">
        <f t="shared" si="272"/>
        <v>45535</v>
      </c>
      <c r="AP71" s="50">
        <f t="shared" si="272"/>
        <v>45565</v>
      </c>
      <c r="AQ71" s="50">
        <f t="shared" si="272"/>
        <v>45596</v>
      </c>
      <c r="AR71" s="50">
        <f t="shared" si="272"/>
        <v>45626</v>
      </c>
      <c r="AS71" s="50">
        <f t="shared" si="272"/>
        <v>45657</v>
      </c>
      <c r="AT71" s="50">
        <f t="shared" si="272"/>
        <v>45688</v>
      </c>
      <c r="AU71" s="50">
        <f t="shared" si="272"/>
        <v>45716</v>
      </c>
      <c r="AV71" s="50">
        <f t="shared" si="272"/>
        <v>45747</v>
      </c>
      <c r="AW71" s="50">
        <f t="shared" si="272"/>
        <v>45777</v>
      </c>
      <c r="AX71" s="50">
        <f t="shared" si="272"/>
        <v>45808</v>
      </c>
      <c r="AY71" s="50">
        <f t="shared" si="272"/>
        <v>45838</v>
      </c>
      <c r="AZ71" s="50">
        <f t="shared" si="272"/>
        <v>45869</v>
      </c>
      <c r="BA71" s="50">
        <f t="shared" si="272"/>
        <v>45900</v>
      </c>
      <c r="BB71" s="50">
        <f t="shared" si="272"/>
        <v>45930</v>
      </c>
      <c r="BC71" s="50">
        <f t="shared" si="272"/>
        <v>45961</v>
      </c>
      <c r="BD71" s="50">
        <f t="shared" si="272"/>
        <v>45991</v>
      </c>
      <c r="BE71" s="50">
        <f t="shared" si="272"/>
        <v>46022</v>
      </c>
      <c r="BF71" s="50">
        <f t="shared" si="272"/>
        <v>46053</v>
      </c>
      <c r="BG71" s="50">
        <f t="shared" si="272"/>
        <v>46081</v>
      </c>
      <c r="BH71" s="50">
        <f t="shared" si="272"/>
        <v>46112</v>
      </c>
      <c r="BI71" s="50">
        <f t="shared" si="272"/>
        <v>46142</v>
      </c>
      <c r="BJ71" s="50">
        <f t="shared" si="272"/>
        <v>46173</v>
      </c>
      <c r="BK71" s="50">
        <f t="shared" si="272"/>
        <v>46203</v>
      </c>
      <c r="BL71" s="50">
        <f t="shared" si="272"/>
        <v>46234</v>
      </c>
      <c r="BM71" s="50">
        <f t="shared" si="272"/>
        <v>46265</v>
      </c>
      <c r="BN71" s="50">
        <f t="shared" si="272"/>
        <v>46295</v>
      </c>
      <c r="BO71" s="50">
        <f t="shared" si="272"/>
        <v>46326</v>
      </c>
      <c r="BP71" s="50">
        <f t="shared" ref="BP71:EA71" si="273">BP65</f>
        <v>46356</v>
      </c>
      <c r="BQ71" s="50">
        <f t="shared" si="273"/>
        <v>46387</v>
      </c>
      <c r="BR71" s="50">
        <f t="shared" si="273"/>
        <v>46418</v>
      </c>
      <c r="BS71" s="50">
        <f t="shared" si="273"/>
        <v>46446</v>
      </c>
      <c r="BT71" s="50">
        <f t="shared" si="273"/>
        <v>46477</v>
      </c>
      <c r="BU71" s="50">
        <f t="shared" si="273"/>
        <v>46507</v>
      </c>
      <c r="BV71" s="50">
        <f t="shared" si="273"/>
        <v>46538</v>
      </c>
      <c r="BW71" s="50">
        <f t="shared" si="273"/>
        <v>46568</v>
      </c>
      <c r="BX71" s="50">
        <f t="shared" si="273"/>
        <v>46599</v>
      </c>
      <c r="BY71" s="50">
        <f t="shared" si="273"/>
        <v>46630</v>
      </c>
      <c r="BZ71" s="50">
        <f t="shared" si="273"/>
        <v>46660</v>
      </c>
      <c r="CA71" s="50">
        <f t="shared" si="273"/>
        <v>46691</v>
      </c>
      <c r="CB71" s="50">
        <f t="shared" si="273"/>
        <v>46721</v>
      </c>
      <c r="CC71" s="50">
        <f t="shared" si="273"/>
        <v>46752</v>
      </c>
      <c r="CD71" s="50">
        <f t="shared" si="273"/>
        <v>46783</v>
      </c>
      <c r="CE71" s="50">
        <f t="shared" si="273"/>
        <v>46812</v>
      </c>
      <c r="CF71" s="50">
        <f t="shared" si="273"/>
        <v>46843</v>
      </c>
      <c r="CG71" s="50">
        <f t="shared" si="273"/>
        <v>46873</v>
      </c>
      <c r="CH71" s="50">
        <f t="shared" si="273"/>
        <v>46904</v>
      </c>
      <c r="CI71" s="50">
        <f t="shared" si="273"/>
        <v>46934</v>
      </c>
      <c r="CJ71" s="50">
        <f t="shared" si="273"/>
        <v>46965</v>
      </c>
      <c r="CK71" s="50">
        <f t="shared" si="273"/>
        <v>46996</v>
      </c>
      <c r="CL71" s="50">
        <f t="shared" si="273"/>
        <v>47026</v>
      </c>
      <c r="CM71" s="50">
        <f t="shared" si="273"/>
        <v>47057</v>
      </c>
      <c r="CN71" s="50">
        <f t="shared" si="273"/>
        <v>47087</v>
      </c>
      <c r="CO71" s="50">
        <f t="shared" si="273"/>
        <v>47118</v>
      </c>
      <c r="CP71" s="50">
        <f t="shared" si="273"/>
        <v>47149</v>
      </c>
      <c r="CQ71" s="50">
        <f t="shared" si="273"/>
        <v>47177</v>
      </c>
      <c r="CR71" s="50">
        <f t="shared" si="273"/>
        <v>47208</v>
      </c>
      <c r="CS71" s="50">
        <f t="shared" si="273"/>
        <v>47238</v>
      </c>
      <c r="CT71" s="50">
        <f t="shared" si="273"/>
        <v>47269</v>
      </c>
      <c r="CU71" s="50">
        <f t="shared" si="273"/>
        <v>47299</v>
      </c>
      <c r="CV71" s="50">
        <f t="shared" si="273"/>
        <v>47330</v>
      </c>
      <c r="CW71" s="50">
        <f t="shared" si="273"/>
        <v>47361</v>
      </c>
      <c r="CX71" s="50">
        <f t="shared" si="273"/>
        <v>47391</v>
      </c>
      <c r="CY71" s="50">
        <f t="shared" si="273"/>
        <v>47422</v>
      </c>
      <c r="CZ71" s="50">
        <f t="shared" si="273"/>
        <v>47452</v>
      </c>
      <c r="DA71" s="50">
        <f t="shared" si="273"/>
        <v>47483</v>
      </c>
      <c r="DB71" s="50">
        <f t="shared" si="273"/>
        <v>47514</v>
      </c>
      <c r="DC71" s="50">
        <f t="shared" si="273"/>
        <v>47542</v>
      </c>
      <c r="DD71" s="50">
        <f t="shared" si="273"/>
        <v>47573</v>
      </c>
      <c r="DE71" s="50">
        <f t="shared" si="273"/>
        <v>47603</v>
      </c>
      <c r="DF71" s="50">
        <f t="shared" si="273"/>
        <v>47634</v>
      </c>
      <c r="DG71" s="50">
        <f t="shared" si="273"/>
        <v>47664</v>
      </c>
      <c r="DH71" s="50">
        <f t="shared" si="273"/>
        <v>47695</v>
      </c>
      <c r="DI71" s="50">
        <f t="shared" si="273"/>
        <v>47726</v>
      </c>
      <c r="DJ71" s="50">
        <f t="shared" si="273"/>
        <v>47756</v>
      </c>
      <c r="DK71" s="50">
        <f t="shared" si="273"/>
        <v>47787</v>
      </c>
      <c r="DL71" s="50">
        <f t="shared" si="273"/>
        <v>47817</v>
      </c>
      <c r="DM71" s="50">
        <f t="shared" si="273"/>
        <v>47848</v>
      </c>
      <c r="DN71" s="50">
        <f t="shared" si="273"/>
        <v>47879</v>
      </c>
      <c r="DO71" s="50">
        <f t="shared" si="273"/>
        <v>47907</v>
      </c>
      <c r="DP71" s="50">
        <f t="shared" si="273"/>
        <v>47938</v>
      </c>
      <c r="DQ71" s="50">
        <f t="shared" si="273"/>
        <v>47968</v>
      </c>
      <c r="DR71" s="50">
        <f t="shared" si="273"/>
        <v>47999</v>
      </c>
      <c r="DS71" s="50">
        <f t="shared" si="273"/>
        <v>48029</v>
      </c>
      <c r="DT71" s="50">
        <f t="shared" si="273"/>
        <v>48060</v>
      </c>
      <c r="DU71" s="50">
        <f t="shared" si="273"/>
        <v>48091</v>
      </c>
      <c r="DV71" s="50">
        <f t="shared" si="273"/>
        <v>48121</v>
      </c>
      <c r="DW71" s="50">
        <f t="shared" si="273"/>
        <v>48152</v>
      </c>
      <c r="DX71" s="50">
        <f t="shared" si="273"/>
        <v>48182</v>
      </c>
      <c r="DY71" s="50">
        <f t="shared" si="273"/>
        <v>48213</v>
      </c>
      <c r="DZ71" s="50">
        <f t="shared" si="273"/>
        <v>48244</v>
      </c>
      <c r="EA71" s="50">
        <f t="shared" si="273"/>
        <v>48273</v>
      </c>
      <c r="EB71" s="50">
        <f t="shared" ref="EB71:EE71" si="274">EB65</f>
        <v>48304</v>
      </c>
      <c r="EC71" s="50">
        <f t="shared" si="274"/>
        <v>48334</v>
      </c>
      <c r="ED71" s="50">
        <f t="shared" si="274"/>
        <v>48365</v>
      </c>
      <c r="EE71" s="50">
        <f t="shared" si="274"/>
        <v>48395</v>
      </c>
    </row>
    <row r="72" spans="2:135" x14ac:dyDescent="0.35">
      <c r="B72" s="33" t="s">
        <v>62</v>
      </c>
      <c r="C72" s="37">
        <f>C31</f>
        <v>-3498375</v>
      </c>
      <c r="D72" s="37">
        <f t="shared" ref="D72:BO72" si="275">D31</f>
        <v>0</v>
      </c>
      <c r="E72" s="37">
        <f t="shared" si="275"/>
        <v>0</v>
      </c>
      <c r="F72" s="37">
        <f t="shared" si="275"/>
        <v>0</v>
      </c>
      <c r="G72" s="37">
        <f t="shared" si="275"/>
        <v>0</v>
      </c>
      <c r="H72" s="37">
        <f t="shared" si="275"/>
        <v>0</v>
      </c>
      <c r="I72" s="37">
        <f t="shared" si="275"/>
        <v>0</v>
      </c>
      <c r="J72" s="37">
        <f t="shared" si="275"/>
        <v>0</v>
      </c>
      <c r="K72" s="37">
        <f t="shared" si="275"/>
        <v>0</v>
      </c>
      <c r="L72" s="37">
        <f t="shared" si="275"/>
        <v>0</v>
      </c>
      <c r="M72" s="37">
        <f t="shared" si="275"/>
        <v>0</v>
      </c>
      <c r="N72" s="37">
        <f t="shared" si="275"/>
        <v>0</v>
      </c>
      <c r="O72" s="37">
        <f t="shared" si="275"/>
        <v>0</v>
      </c>
      <c r="P72" s="37">
        <f t="shared" si="275"/>
        <v>0</v>
      </c>
      <c r="Q72" s="37">
        <f t="shared" si="275"/>
        <v>0</v>
      </c>
      <c r="R72" s="37">
        <f t="shared" si="275"/>
        <v>0</v>
      </c>
      <c r="S72" s="37">
        <f t="shared" si="275"/>
        <v>0</v>
      </c>
      <c r="T72" s="37">
        <f t="shared" si="275"/>
        <v>0</v>
      </c>
      <c r="U72" s="37">
        <f t="shared" si="275"/>
        <v>0</v>
      </c>
      <c r="V72" s="37">
        <f t="shared" si="275"/>
        <v>0</v>
      </c>
      <c r="W72" s="37">
        <f t="shared" si="275"/>
        <v>0</v>
      </c>
      <c r="X72" s="37">
        <f t="shared" si="275"/>
        <v>0</v>
      </c>
      <c r="Y72" s="37">
        <f t="shared" si="275"/>
        <v>0</v>
      </c>
      <c r="Z72" s="37">
        <f t="shared" si="275"/>
        <v>0</v>
      </c>
      <c r="AA72" s="37">
        <f t="shared" si="275"/>
        <v>0</v>
      </c>
      <c r="AB72" s="37">
        <f t="shared" si="275"/>
        <v>0</v>
      </c>
      <c r="AC72" s="37">
        <f t="shared" si="275"/>
        <v>0</v>
      </c>
      <c r="AD72" s="37">
        <f t="shared" si="275"/>
        <v>0</v>
      </c>
      <c r="AE72" s="37">
        <f t="shared" si="275"/>
        <v>0</v>
      </c>
      <c r="AF72" s="37">
        <f t="shared" si="275"/>
        <v>0</v>
      </c>
      <c r="AG72" s="37">
        <f t="shared" si="275"/>
        <v>0</v>
      </c>
      <c r="AH72" s="37">
        <f t="shared" si="275"/>
        <v>0</v>
      </c>
      <c r="AI72" s="37">
        <f t="shared" si="275"/>
        <v>0</v>
      </c>
      <c r="AJ72" s="37">
        <f t="shared" si="275"/>
        <v>0</v>
      </c>
      <c r="AK72" s="37">
        <f t="shared" si="275"/>
        <v>0</v>
      </c>
      <c r="AL72" s="37">
        <f t="shared" si="275"/>
        <v>0</v>
      </c>
      <c r="AM72" s="37">
        <f t="shared" si="275"/>
        <v>0</v>
      </c>
      <c r="AN72" s="37">
        <f t="shared" si="275"/>
        <v>0</v>
      </c>
      <c r="AO72" s="37">
        <f t="shared" si="275"/>
        <v>0</v>
      </c>
      <c r="AP72" s="37">
        <f t="shared" si="275"/>
        <v>0</v>
      </c>
      <c r="AQ72" s="37">
        <f t="shared" si="275"/>
        <v>0</v>
      </c>
      <c r="AR72" s="37">
        <f t="shared" si="275"/>
        <v>0</v>
      </c>
      <c r="AS72" s="37">
        <f t="shared" si="275"/>
        <v>0</v>
      </c>
      <c r="AT72" s="37">
        <f t="shared" si="275"/>
        <v>0</v>
      </c>
      <c r="AU72" s="37">
        <f t="shared" si="275"/>
        <v>0</v>
      </c>
      <c r="AV72" s="37">
        <f t="shared" si="275"/>
        <v>0</v>
      </c>
      <c r="AW72" s="37">
        <f t="shared" si="275"/>
        <v>0</v>
      </c>
      <c r="AX72" s="37">
        <f t="shared" si="275"/>
        <v>0</v>
      </c>
      <c r="AY72" s="37">
        <f t="shared" si="275"/>
        <v>0</v>
      </c>
      <c r="AZ72" s="37">
        <f t="shared" si="275"/>
        <v>0</v>
      </c>
      <c r="BA72" s="37">
        <f t="shared" si="275"/>
        <v>0</v>
      </c>
      <c r="BB72" s="37">
        <f t="shared" si="275"/>
        <v>0</v>
      </c>
      <c r="BC72" s="37">
        <f t="shared" si="275"/>
        <v>0</v>
      </c>
      <c r="BD72" s="37">
        <f t="shared" si="275"/>
        <v>0</v>
      </c>
      <c r="BE72" s="37">
        <f t="shared" si="275"/>
        <v>0</v>
      </c>
      <c r="BF72" s="37">
        <f t="shared" si="275"/>
        <v>0</v>
      </c>
      <c r="BG72" s="37">
        <f t="shared" si="275"/>
        <v>0</v>
      </c>
      <c r="BH72" s="37">
        <f t="shared" si="275"/>
        <v>0</v>
      </c>
      <c r="BI72" s="37">
        <f t="shared" si="275"/>
        <v>0</v>
      </c>
      <c r="BJ72" s="37">
        <f t="shared" si="275"/>
        <v>0</v>
      </c>
      <c r="BK72" s="37">
        <f t="shared" si="275"/>
        <v>0</v>
      </c>
      <c r="BL72" s="37">
        <f t="shared" si="275"/>
        <v>0</v>
      </c>
      <c r="BM72" s="37">
        <f t="shared" si="275"/>
        <v>0</v>
      </c>
      <c r="BN72" s="37">
        <f t="shared" si="275"/>
        <v>0</v>
      </c>
      <c r="BO72" s="37">
        <f t="shared" si="275"/>
        <v>0</v>
      </c>
      <c r="BP72" s="37">
        <f t="shared" ref="BP72:EA72" si="276">BP31</f>
        <v>0</v>
      </c>
      <c r="BQ72" s="37">
        <f t="shared" si="276"/>
        <v>0</v>
      </c>
      <c r="BR72" s="37">
        <f t="shared" si="276"/>
        <v>0</v>
      </c>
      <c r="BS72" s="37">
        <f t="shared" si="276"/>
        <v>0</v>
      </c>
      <c r="BT72" s="37">
        <f t="shared" si="276"/>
        <v>0</v>
      </c>
      <c r="BU72" s="37">
        <f t="shared" si="276"/>
        <v>0</v>
      </c>
      <c r="BV72" s="37">
        <f t="shared" si="276"/>
        <v>0</v>
      </c>
      <c r="BW72" s="37">
        <f t="shared" si="276"/>
        <v>0</v>
      </c>
      <c r="BX72" s="37">
        <f t="shared" si="276"/>
        <v>0</v>
      </c>
      <c r="BY72" s="37">
        <f t="shared" si="276"/>
        <v>0</v>
      </c>
      <c r="BZ72" s="37">
        <f t="shared" si="276"/>
        <v>0</v>
      </c>
      <c r="CA72" s="37">
        <f t="shared" si="276"/>
        <v>0</v>
      </c>
      <c r="CB72" s="37">
        <f t="shared" si="276"/>
        <v>0</v>
      </c>
      <c r="CC72" s="37">
        <f t="shared" si="276"/>
        <v>0</v>
      </c>
      <c r="CD72" s="37">
        <f t="shared" si="276"/>
        <v>0</v>
      </c>
      <c r="CE72" s="37">
        <f t="shared" si="276"/>
        <v>0</v>
      </c>
      <c r="CF72" s="37">
        <f t="shared" si="276"/>
        <v>0</v>
      </c>
      <c r="CG72" s="37">
        <f t="shared" si="276"/>
        <v>0</v>
      </c>
      <c r="CH72" s="37">
        <f t="shared" si="276"/>
        <v>0</v>
      </c>
      <c r="CI72" s="37">
        <f t="shared" si="276"/>
        <v>0</v>
      </c>
      <c r="CJ72" s="37">
        <f t="shared" si="276"/>
        <v>0</v>
      </c>
      <c r="CK72" s="37">
        <f t="shared" si="276"/>
        <v>0</v>
      </c>
      <c r="CL72" s="37">
        <f t="shared" si="276"/>
        <v>0</v>
      </c>
      <c r="CM72" s="37">
        <f t="shared" si="276"/>
        <v>0</v>
      </c>
      <c r="CN72" s="37">
        <f t="shared" si="276"/>
        <v>0</v>
      </c>
      <c r="CO72" s="37">
        <f t="shared" si="276"/>
        <v>0</v>
      </c>
      <c r="CP72" s="37">
        <f t="shared" si="276"/>
        <v>0</v>
      </c>
      <c r="CQ72" s="37">
        <f t="shared" si="276"/>
        <v>0</v>
      </c>
      <c r="CR72" s="37">
        <f t="shared" si="276"/>
        <v>0</v>
      </c>
      <c r="CS72" s="37">
        <f t="shared" si="276"/>
        <v>0</v>
      </c>
      <c r="CT72" s="37">
        <f t="shared" si="276"/>
        <v>0</v>
      </c>
      <c r="CU72" s="37">
        <f t="shared" si="276"/>
        <v>0</v>
      </c>
      <c r="CV72" s="37">
        <f t="shared" si="276"/>
        <v>0</v>
      </c>
      <c r="CW72" s="37">
        <f t="shared" si="276"/>
        <v>0</v>
      </c>
      <c r="CX72" s="37">
        <f t="shared" si="276"/>
        <v>0</v>
      </c>
      <c r="CY72" s="37">
        <f t="shared" si="276"/>
        <v>0</v>
      </c>
      <c r="CZ72" s="37">
        <f t="shared" si="276"/>
        <v>0</v>
      </c>
      <c r="DA72" s="37">
        <f t="shared" si="276"/>
        <v>0</v>
      </c>
      <c r="DB72" s="37">
        <f t="shared" si="276"/>
        <v>0</v>
      </c>
      <c r="DC72" s="37">
        <f t="shared" si="276"/>
        <v>0</v>
      </c>
      <c r="DD72" s="37">
        <f t="shared" si="276"/>
        <v>0</v>
      </c>
      <c r="DE72" s="37">
        <f t="shared" si="276"/>
        <v>0</v>
      </c>
      <c r="DF72" s="37">
        <f t="shared" si="276"/>
        <v>0</v>
      </c>
      <c r="DG72" s="37">
        <f t="shared" si="276"/>
        <v>0</v>
      </c>
      <c r="DH72" s="37">
        <f t="shared" si="276"/>
        <v>0</v>
      </c>
      <c r="DI72" s="37">
        <f t="shared" si="276"/>
        <v>0</v>
      </c>
      <c r="DJ72" s="37">
        <f t="shared" si="276"/>
        <v>0</v>
      </c>
      <c r="DK72" s="37">
        <f t="shared" si="276"/>
        <v>0</v>
      </c>
      <c r="DL72" s="37">
        <f t="shared" si="276"/>
        <v>0</v>
      </c>
      <c r="DM72" s="37">
        <f t="shared" si="276"/>
        <v>0</v>
      </c>
      <c r="DN72" s="37">
        <f t="shared" si="276"/>
        <v>0</v>
      </c>
      <c r="DO72" s="37">
        <f t="shared" si="276"/>
        <v>0</v>
      </c>
      <c r="DP72" s="37">
        <f t="shared" si="276"/>
        <v>0</v>
      </c>
      <c r="DQ72" s="37">
        <f t="shared" si="276"/>
        <v>0</v>
      </c>
      <c r="DR72" s="37">
        <f t="shared" si="276"/>
        <v>0</v>
      </c>
      <c r="DS72" s="37">
        <f t="shared" si="276"/>
        <v>0</v>
      </c>
      <c r="DT72" s="37">
        <f t="shared" si="276"/>
        <v>0</v>
      </c>
      <c r="DU72" s="37">
        <f t="shared" si="276"/>
        <v>0</v>
      </c>
      <c r="DV72" s="37">
        <f t="shared" si="276"/>
        <v>0</v>
      </c>
      <c r="DW72" s="37">
        <f t="shared" si="276"/>
        <v>0</v>
      </c>
      <c r="DX72" s="37">
        <f t="shared" si="276"/>
        <v>0</v>
      </c>
      <c r="DY72" s="37">
        <f t="shared" si="276"/>
        <v>0</v>
      </c>
      <c r="DZ72" s="37">
        <f t="shared" si="276"/>
        <v>0</v>
      </c>
      <c r="EA72" s="37">
        <f t="shared" si="276"/>
        <v>0</v>
      </c>
      <c r="EB72" s="37">
        <f t="shared" ref="EB72:EE72" si="277">EB31</f>
        <v>0</v>
      </c>
      <c r="EC72" s="37">
        <f t="shared" si="277"/>
        <v>0</v>
      </c>
      <c r="ED72" s="37">
        <f t="shared" si="277"/>
        <v>0</v>
      </c>
      <c r="EE72" s="37">
        <f t="shared" si="277"/>
        <v>0</v>
      </c>
    </row>
    <row r="73" spans="2:135" x14ac:dyDescent="0.35">
      <c r="B73" s="34" t="s">
        <v>63</v>
      </c>
      <c r="C73" s="37">
        <f>C32+C46+C58+C66</f>
        <v>0</v>
      </c>
      <c r="D73" s="37">
        <f t="shared" ref="D73:BO73" si="278">D32+D46+D58+D66</f>
        <v>11955.423109670224</v>
      </c>
      <c r="E73" s="37">
        <f t="shared" si="278"/>
        <v>12097.338421467313</v>
      </c>
      <c r="F73" s="37">
        <f t="shared" si="278"/>
        <v>12239.831913811442</v>
      </c>
      <c r="G73" s="37">
        <f t="shared" si="278"/>
        <v>12382.905942281766</v>
      </c>
      <c r="H73" s="37">
        <f t="shared" si="278"/>
        <v>12526.562872054285</v>
      </c>
      <c r="I73" s="37">
        <f t="shared" si="278"/>
        <v>12670.805077941084</v>
      </c>
      <c r="J73" s="37">
        <f t="shared" si="278"/>
        <v>12815.634944429497</v>
      </c>
      <c r="K73" s="37">
        <f t="shared" si="278"/>
        <v>12961.05486572155</v>
      </c>
      <c r="L73" s="37">
        <f t="shared" si="278"/>
        <v>13107.067245773555</v>
      </c>
      <c r="M73" s="37">
        <f t="shared" si="278"/>
        <v>13253.674498335829</v>
      </c>
      <c r="N73" s="37">
        <f t="shared" si="278"/>
        <v>13400.879046992632</v>
      </c>
      <c r="O73" s="37">
        <f t="shared" si="278"/>
        <v>13548.68332520217</v>
      </c>
      <c r="P73" s="37">
        <f t="shared" si="278"/>
        <v>13697.089776336898</v>
      </c>
      <c r="Q73" s="37">
        <f t="shared" si="278"/>
        <v>13846.100853723838</v>
      </c>
      <c r="R73" s="37">
        <f t="shared" si="278"/>
        <v>13995.719020685174</v>
      </c>
      <c r="S73" s="37">
        <f t="shared" si="278"/>
        <v>14145.946750579007</v>
      </c>
      <c r="T73" s="37">
        <f t="shared" si="278"/>
        <v>14296.786526840162</v>
      </c>
      <c r="U73" s="37">
        <f t="shared" si="278"/>
        <v>14448.240843021298</v>
      </c>
      <c r="V73" s="37">
        <f t="shared" si="278"/>
        <v>14600.312202834126</v>
      </c>
      <c r="W73" s="37">
        <f t="shared" si="278"/>
        <v>14753.003120190779</v>
      </c>
      <c r="X73" s="37">
        <f t="shared" si="278"/>
        <v>14906.316119245388</v>
      </c>
      <c r="Y73" s="37">
        <f t="shared" si="278"/>
        <v>15060.253734435775</v>
      </c>
      <c r="Z73" s="37">
        <f t="shared" si="278"/>
        <v>15214.818510525422</v>
      </c>
      <c r="AA73" s="37">
        <f t="shared" si="278"/>
        <v>15370.013002645437</v>
      </c>
      <c r="AB73" s="37">
        <f t="shared" si="278"/>
        <v>15525.839776336899</v>
      </c>
      <c r="AC73" s="37">
        <f t="shared" si="278"/>
        <v>15682.301407593175</v>
      </c>
      <c r="AD73" s="37">
        <f t="shared" si="278"/>
        <v>15839.400482902598</v>
      </c>
      <c r="AE73" s="37">
        <f t="shared" si="278"/>
        <v>15997.139599291117</v>
      </c>
      <c r="AF73" s="37">
        <f t="shared" si="278"/>
        <v>16155.521364365328</v>
      </c>
      <c r="AG73" s="37">
        <f t="shared" si="278"/>
        <v>16314.548396355518</v>
      </c>
      <c r="AH73" s="37">
        <f t="shared" si="278"/>
        <v>16474.223324158993</v>
      </c>
      <c r="AI73" s="37">
        <f t="shared" si="278"/>
        <v>16634.548787383479</v>
      </c>
      <c r="AJ73" s="37">
        <f t="shared" si="278"/>
        <v>16795.527436390807</v>
      </c>
      <c r="AK73" s="37">
        <f t="shared" si="278"/>
        <v>16957.161932340721</v>
      </c>
      <c r="AL73" s="37">
        <f t="shared" si="278"/>
        <v>17119.454947234844</v>
      </c>
      <c r="AM73" s="37">
        <f t="shared" si="278"/>
        <v>17282.409163960871</v>
      </c>
      <c r="AN73" s="37">
        <f t="shared" si="278"/>
        <v>17446.027276336896</v>
      </c>
      <c r="AO73" s="37">
        <f t="shared" si="278"/>
        <v>17610.311989155995</v>
      </c>
      <c r="AP73" s="37">
        <f t="shared" si="278"/>
        <v>17775.266018230886</v>
      </c>
      <c r="AQ73" s="37">
        <f t="shared" si="278"/>
        <v>17940.892090438825</v>
      </c>
      <c r="AR73" s="37">
        <f t="shared" si="278"/>
        <v>18107.192943766746</v>
      </c>
      <c r="AS73" s="37">
        <f t="shared" si="278"/>
        <v>18274.171327356453</v>
      </c>
      <c r="AT73" s="37">
        <f t="shared" si="278"/>
        <v>18441.830001550097</v>
      </c>
      <c r="AU73" s="37">
        <f t="shared" si="278"/>
        <v>18610.171737935816</v>
      </c>
      <c r="AV73" s="37">
        <f t="shared" si="278"/>
        <v>18779.199319393505</v>
      </c>
      <c r="AW73" s="37">
        <f t="shared" si="278"/>
        <v>18948.915540140919</v>
      </c>
      <c r="AX73" s="37">
        <f t="shared" si="278"/>
        <v>19119.32320577975</v>
      </c>
      <c r="AY73" s="37">
        <f t="shared" si="278"/>
        <v>19290.425133342069</v>
      </c>
      <c r="AZ73" s="37">
        <f t="shared" si="278"/>
        <v>19462.22415133689</v>
      </c>
      <c r="BA73" s="37">
        <f t="shared" si="278"/>
        <v>19634.723099796956</v>
      </c>
      <c r="BB73" s="37">
        <f t="shared" si="278"/>
        <v>19807.924830325581</v>
      </c>
      <c r="BC73" s="37">
        <f t="shared" si="278"/>
        <v>19981.832206143928</v>
      </c>
      <c r="BD73" s="37">
        <f t="shared" si="278"/>
        <v>20156.448102138245</v>
      </c>
      <c r="BE73" s="37">
        <f t="shared" si="278"/>
        <v>20331.775404907432</v>
      </c>
      <c r="BF73" s="37">
        <f t="shared" si="278"/>
        <v>20507.817012810763</v>
      </c>
      <c r="BG73" s="37">
        <f t="shared" si="278"/>
        <v>20684.575836015752</v>
      </c>
      <c r="BH73" s="37">
        <f t="shared" si="278"/>
        <v>20862.054796546348</v>
      </c>
      <c r="BI73" s="37">
        <f t="shared" si="278"/>
        <v>21040.256828331119</v>
      </c>
      <c r="BJ73" s="37">
        <f t="shared" si="278"/>
        <v>21219.184877251893</v>
      </c>
      <c r="BK73" s="37">
        <f t="shared" si="278"/>
        <v>4483106.6481143078</v>
      </c>
      <c r="BL73" s="37">
        <f t="shared" si="278"/>
        <v>0</v>
      </c>
      <c r="BM73" s="37">
        <f t="shared" si="278"/>
        <v>0</v>
      </c>
      <c r="BN73" s="37">
        <f t="shared" si="278"/>
        <v>0</v>
      </c>
      <c r="BO73" s="37">
        <f t="shared" si="278"/>
        <v>0</v>
      </c>
      <c r="BP73" s="37">
        <f t="shared" ref="BP73:EA73" si="279">BP32+BP46+BP58+BP66</f>
        <v>0</v>
      </c>
      <c r="BQ73" s="37">
        <f t="shared" si="279"/>
        <v>0</v>
      </c>
      <c r="BR73" s="37">
        <f t="shared" si="279"/>
        <v>0</v>
      </c>
      <c r="BS73" s="37">
        <f t="shared" si="279"/>
        <v>0</v>
      </c>
      <c r="BT73" s="37">
        <f t="shared" si="279"/>
        <v>0</v>
      </c>
      <c r="BU73" s="37">
        <f t="shared" si="279"/>
        <v>0</v>
      </c>
      <c r="BV73" s="37">
        <f t="shared" si="279"/>
        <v>0</v>
      </c>
      <c r="BW73" s="37">
        <f t="shared" si="279"/>
        <v>0</v>
      </c>
      <c r="BX73" s="37">
        <f t="shared" si="279"/>
        <v>0</v>
      </c>
      <c r="BY73" s="37">
        <f t="shared" si="279"/>
        <v>0</v>
      </c>
      <c r="BZ73" s="37">
        <f t="shared" si="279"/>
        <v>0</v>
      </c>
      <c r="CA73" s="37">
        <f t="shared" si="279"/>
        <v>0</v>
      </c>
      <c r="CB73" s="37">
        <f t="shared" si="279"/>
        <v>0</v>
      </c>
      <c r="CC73" s="37">
        <f t="shared" si="279"/>
        <v>0</v>
      </c>
      <c r="CD73" s="37">
        <f t="shared" si="279"/>
        <v>0</v>
      </c>
      <c r="CE73" s="37">
        <f t="shared" si="279"/>
        <v>0</v>
      </c>
      <c r="CF73" s="37">
        <f t="shared" si="279"/>
        <v>0</v>
      </c>
      <c r="CG73" s="37">
        <f t="shared" si="279"/>
        <v>0</v>
      </c>
      <c r="CH73" s="37">
        <f t="shared" si="279"/>
        <v>0</v>
      </c>
      <c r="CI73" s="37">
        <f t="shared" si="279"/>
        <v>0</v>
      </c>
      <c r="CJ73" s="37">
        <f t="shared" si="279"/>
        <v>0</v>
      </c>
      <c r="CK73" s="37">
        <f t="shared" si="279"/>
        <v>0</v>
      </c>
      <c r="CL73" s="37">
        <f t="shared" si="279"/>
        <v>0</v>
      </c>
      <c r="CM73" s="37">
        <f t="shared" si="279"/>
        <v>0</v>
      </c>
      <c r="CN73" s="37">
        <f t="shared" si="279"/>
        <v>0</v>
      </c>
      <c r="CO73" s="37">
        <f t="shared" si="279"/>
        <v>0</v>
      </c>
      <c r="CP73" s="37">
        <f t="shared" si="279"/>
        <v>0</v>
      </c>
      <c r="CQ73" s="37">
        <f t="shared" si="279"/>
        <v>0</v>
      </c>
      <c r="CR73" s="37">
        <f t="shared" si="279"/>
        <v>0</v>
      </c>
      <c r="CS73" s="37">
        <f t="shared" si="279"/>
        <v>0</v>
      </c>
      <c r="CT73" s="37">
        <f t="shared" si="279"/>
        <v>0</v>
      </c>
      <c r="CU73" s="37">
        <f t="shared" si="279"/>
        <v>0</v>
      </c>
      <c r="CV73" s="37">
        <f t="shared" si="279"/>
        <v>0</v>
      </c>
      <c r="CW73" s="37">
        <f t="shared" si="279"/>
        <v>0</v>
      </c>
      <c r="CX73" s="37">
        <f t="shared" si="279"/>
        <v>0</v>
      </c>
      <c r="CY73" s="37">
        <f t="shared" si="279"/>
        <v>0</v>
      </c>
      <c r="CZ73" s="37">
        <f t="shared" si="279"/>
        <v>0</v>
      </c>
      <c r="DA73" s="37">
        <f t="shared" si="279"/>
        <v>0</v>
      </c>
      <c r="DB73" s="37">
        <f t="shared" si="279"/>
        <v>0</v>
      </c>
      <c r="DC73" s="37">
        <f t="shared" si="279"/>
        <v>0</v>
      </c>
      <c r="DD73" s="37">
        <f t="shared" si="279"/>
        <v>0</v>
      </c>
      <c r="DE73" s="37">
        <f t="shared" si="279"/>
        <v>0</v>
      </c>
      <c r="DF73" s="37">
        <f t="shared" si="279"/>
        <v>0</v>
      </c>
      <c r="DG73" s="37">
        <f t="shared" si="279"/>
        <v>0</v>
      </c>
      <c r="DH73" s="37">
        <f t="shared" si="279"/>
        <v>0</v>
      </c>
      <c r="DI73" s="37">
        <f t="shared" si="279"/>
        <v>0</v>
      </c>
      <c r="DJ73" s="37">
        <f t="shared" si="279"/>
        <v>0</v>
      </c>
      <c r="DK73" s="37">
        <f t="shared" si="279"/>
        <v>0</v>
      </c>
      <c r="DL73" s="37">
        <f t="shared" si="279"/>
        <v>0</v>
      </c>
      <c r="DM73" s="37">
        <f t="shared" si="279"/>
        <v>0</v>
      </c>
      <c r="DN73" s="37">
        <f t="shared" si="279"/>
        <v>0</v>
      </c>
      <c r="DO73" s="37">
        <f t="shared" si="279"/>
        <v>0</v>
      </c>
      <c r="DP73" s="37">
        <f t="shared" si="279"/>
        <v>0</v>
      </c>
      <c r="DQ73" s="37">
        <f t="shared" si="279"/>
        <v>0</v>
      </c>
      <c r="DR73" s="37">
        <f t="shared" si="279"/>
        <v>0</v>
      </c>
      <c r="DS73" s="37">
        <f t="shared" si="279"/>
        <v>0</v>
      </c>
      <c r="DT73" s="37">
        <f t="shared" si="279"/>
        <v>0</v>
      </c>
      <c r="DU73" s="37">
        <f t="shared" si="279"/>
        <v>0</v>
      </c>
      <c r="DV73" s="37">
        <f t="shared" si="279"/>
        <v>0</v>
      </c>
      <c r="DW73" s="37">
        <f t="shared" si="279"/>
        <v>0</v>
      </c>
      <c r="DX73" s="37">
        <f t="shared" si="279"/>
        <v>0</v>
      </c>
      <c r="DY73" s="37">
        <f t="shared" si="279"/>
        <v>0</v>
      </c>
      <c r="DZ73" s="37">
        <f t="shared" si="279"/>
        <v>0</v>
      </c>
      <c r="EA73" s="37">
        <f t="shared" si="279"/>
        <v>0</v>
      </c>
      <c r="EB73" s="37">
        <f t="shared" ref="EB73:EE73" si="280">EB32+EB46+EB58+EB66</f>
        <v>0</v>
      </c>
      <c r="EC73" s="37">
        <f t="shared" si="280"/>
        <v>0</v>
      </c>
      <c r="ED73" s="37">
        <f t="shared" si="280"/>
        <v>0</v>
      </c>
      <c r="EE73" s="37">
        <f t="shared" si="280"/>
        <v>0</v>
      </c>
    </row>
    <row r="74" spans="2:135" x14ac:dyDescent="0.35">
      <c r="B74" s="35" t="s">
        <v>64</v>
      </c>
      <c r="C74" s="39">
        <f>SUM(C72:C73)</f>
        <v>-3498375</v>
      </c>
      <c r="D74" s="39">
        <f t="shared" ref="D74:BO74" si="281">SUM(D72:D73)</f>
        <v>11955.423109670224</v>
      </c>
      <c r="E74" s="39">
        <f t="shared" si="281"/>
        <v>12097.338421467313</v>
      </c>
      <c r="F74" s="39">
        <f t="shared" si="281"/>
        <v>12239.831913811442</v>
      </c>
      <c r="G74" s="39">
        <f t="shared" si="281"/>
        <v>12382.905942281766</v>
      </c>
      <c r="H74" s="39">
        <f t="shared" si="281"/>
        <v>12526.562872054285</v>
      </c>
      <c r="I74" s="39">
        <f t="shared" si="281"/>
        <v>12670.805077941084</v>
      </c>
      <c r="J74" s="39">
        <f t="shared" si="281"/>
        <v>12815.634944429497</v>
      </c>
      <c r="K74" s="39">
        <f t="shared" si="281"/>
        <v>12961.05486572155</v>
      </c>
      <c r="L74" s="39">
        <f t="shared" si="281"/>
        <v>13107.067245773555</v>
      </c>
      <c r="M74" s="39">
        <f t="shared" si="281"/>
        <v>13253.674498335829</v>
      </c>
      <c r="N74" s="39">
        <f t="shared" si="281"/>
        <v>13400.879046992632</v>
      </c>
      <c r="O74" s="39">
        <f t="shared" si="281"/>
        <v>13548.68332520217</v>
      </c>
      <c r="P74" s="39">
        <f t="shared" si="281"/>
        <v>13697.089776336898</v>
      </c>
      <c r="Q74" s="39">
        <f t="shared" si="281"/>
        <v>13846.100853723838</v>
      </c>
      <c r="R74" s="39">
        <f t="shared" si="281"/>
        <v>13995.719020685174</v>
      </c>
      <c r="S74" s="39">
        <f t="shared" si="281"/>
        <v>14145.946750579007</v>
      </c>
      <c r="T74" s="39">
        <f t="shared" si="281"/>
        <v>14296.786526840162</v>
      </c>
      <c r="U74" s="39">
        <f t="shared" si="281"/>
        <v>14448.240843021298</v>
      </c>
      <c r="V74" s="39">
        <f t="shared" si="281"/>
        <v>14600.312202834126</v>
      </c>
      <c r="W74" s="39">
        <f t="shared" si="281"/>
        <v>14753.003120190779</v>
      </c>
      <c r="X74" s="39">
        <f t="shared" si="281"/>
        <v>14906.316119245388</v>
      </c>
      <c r="Y74" s="39">
        <f t="shared" si="281"/>
        <v>15060.253734435775</v>
      </c>
      <c r="Z74" s="39">
        <f t="shared" si="281"/>
        <v>15214.818510525422</v>
      </c>
      <c r="AA74" s="39">
        <f t="shared" si="281"/>
        <v>15370.013002645437</v>
      </c>
      <c r="AB74" s="39">
        <f t="shared" si="281"/>
        <v>15525.839776336899</v>
      </c>
      <c r="AC74" s="39">
        <f t="shared" si="281"/>
        <v>15682.301407593175</v>
      </c>
      <c r="AD74" s="39">
        <f t="shared" si="281"/>
        <v>15839.400482902598</v>
      </c>
      <c r="AE74" s="39">
        <f t="shared" si="281"/>
        <v>15997.139599291117</v>
      </c>
      <c r="AF74" s="39">
        <f t="shared" si="281"/>
        <v>16155.521364365328</v>
      </c>
      <c r="AG74" s="39">
        <f t="shared" si="281"/>
        <v>16314.548396355518</v>
      </c>
      <c r="AH74" s="39">
        <f t="shared" si="281"/>
        <v>16474.223324158993</v>
      </c>
      <c r="AI74" s="39">
        <f t="shared" si="281"/>
        <v>16634.548787383479</v>
      </c>
      <c r="AJ74" s="39">
        <f t="shared" si="281"/>
        <v>16795.527436390807</v>
      </c>
      <c r="AK74" s="39">
        <f t="shared" si="281"/>
        <v>16957.161932340721</v>
      </c>
      <c r="AL74" s="39">
        <f t="shared" si="281"/>
        <v>17119.454947234844</v>
      </c>
      <c r="AM74" s="39">
        <f t="shared" si="281"/>
        <v>17282.409163960871</v>
      </c>
      <c r="AN74" s="39">
        <f t="shared" si="281"/>
        <v>17446.027276336896</v>
      </c>
      <c r="AO74" s="39">
        <f t="shared" si="281"/>
        <v>17610.311989155995</v>
      </c>
      <c r="AP74" s="39">
        <f t="shared" si="281"/>
        <v>17775.266018230886</v>
      </c>
      <c r="AQ74" s="39">
        <f t="shared" si="281"/>
        <v>17940.892090438825</v>
      </c>
      <c r="AR74" s="39">
        <f t="shared" si="281"/>
        <v>18107.192943766746</v>
      </c>
      <c r="AS74" s="39">
        <f t="shared" si="281"/>
        <v>18274.171327356453</v>
      </c>
      <c r="AT74" s="39">
        <f t="shared" si="281"/>
        <v>18441.830001550097</v>
      </c>
      <c r="AU74" s="39">
        <f t="shared" si="281"/>
        <v>18610.171737935816</v>
      </c>
      <c r="AV74" s="39">
        <f t="shared" si="281"/>
        <v>18779.199319393505</v>
      </c>
      <c r="AW74" s="39">
        <f t="shared" si="281"/>
        <v>18948.915540140919</v>
      </c>
      <c r="AX74" s="39">
        <f t="shared" si="281"/>
        <v>19119.32320577975</v>
      </c>
      <c r="AY74" s="39">
        <f t="shared" si="281"/>
        <v>19290.425133342069</v>
      </c>
      <c r="AZ74" s="39">
        <f t="shared" si="281"/>
        <v>19462.22415133689</v>
      </c>
      <c r="BA74" s="39">
        <f t="shared" si="281"/>
        <v>19634.723099796956</v>
      </c>
      <c r="BB74" s="39">
        <f t="shared" si="281"/>
        <v>19807.924830325581</v>
      </c>
      <c r="BC74" s="39">
        <f t="shared" si="281"/>
        <v>19981.832206143928</v>
      </c>
      <c r="BD74" s="39">
        <f t="shared" si="281"/>
        <v>20156.448102138245</v>
      </c>
      <c r="BE74" s="39">
        <f t="shared" si="281"/>
        <v>20331.775404907432</v>
      </c>
      <c r="BF74" s="39">
        <f t="shared" si="281"/>
        <v>20507.817012810763</v>
      </c>
      <c r="BG74" s="39">
        <f t="shared" si="281"/>
        <v>20684.575836015752</v>
      </c>
      <c r="BH74" s="39">
        <f t="shared" si="281"/>
        <v>20862.054796546348</v>
      </c>
      <c r="BI74" s="39">
        <f t="shared" si="281"/>
        <v>21040.256828331119</v>
      </c>
      <c r="BJ74" s="39">
        <f t="shared" si="281"/>
        <v>21219.184877251893</v>
      </c>
      <c r="BK74" s="39">
        <f t="shared" si="281"/>
        <v>4483106.6481143078</v>
      </c>
      <c r="BL74" s="39">
        <f t="shared" si="281"/>
        <v>0</v>
      </c>
      <c r="BM74" s="39">
        <f t="shared" si="281"/>
        <v>0</v>
      </c>
      <c r="BN74" s="39">
        <f t="shared" si="281"/>
        <v>0</v>
      </c>
      <c r="BO74" s="39">
        <f t="shared" si="281"/>
        <v>0</v>
      </c>
      <c r="BP74" s="39">
        <f t="shared" ref="BP74:EA74" si="282">SUM(BP72:BP73)</f>
        <v>0</v>
      </c>
      <c r="BQ74" s="39">
        <f t="shared" si="282"/>
        <v>0</v>
      </c>
      <c r="BR74" s="39">
        <f t="shared" si="282"/>
        <v>0</v>
      </c>
      <c r="BS74" s="39">
        <f t="shared" si="282"/>
        <v>0</v>
      </c>
      <c r="BT74" s="39">
        <f t="shared" si="282"/>
        <v>0</v>
      </c>
      <c r="BU74" s="39">
        <f t="shared" si="282"/>
        <v>0</v>
      </c>
      <c r="BV74" s="39">
        <f t="shared" si="282"/>
        <v>0</v>
      </c>
      <c r="BW74" s="39">
        <f t="shared" si="282"/>
        <v>0</v>
      </c>
      <c r="BX74" s="39">
        <f t="shared" si="282"/>
        <v>0</v>
      </c>
      <c r="BY74" s="39">
        <f t="shared" si="282"/>
        <v>0</v>
      </c>
      <c r="BZ74" s="39">
        <f t="shared" si="282"/>
        <v>0</v>
      </c>
      <c r="CA74" s="39">
        <f t="shared" si="282"/>
        <v>0</v>
      </c>
      <c r="CB74" s="39">
        <f t="shared" si="282"/>
        <v>0</v>
      </c>
      <c r="CC74" s="39">
        <f t="shared" si="282"/>
        <v>0</v>
      </c>
      <c r="CD74" s="39">
        <f t="shared" si="282"/>
        <v>0</v>
      </c>
      <c r="CE74" s="39">
        <f t="shared" si="282"/>
        <v>0</v>
      </c>
      <c r="CF74" s="39">
        <f t="shared" si="282"/>
        <v>0</v>
      </c>
      <c r="CG74" s="39">
        <f t="shared" si="282"/>
        <v>0</v>
      </c>
      <c r="CH74" s="39">
        <f t="shared" si="282"/>
        <v>0</v>
      </c>
      <c r="CI74" s="39">
        <f t="shared" si="282"/>
        <v>0</v>
      </c>
      <c r="CJ74" s="39">
        <f t="shared" si="282"/>
        <v>0</v>
      </c>
      <c r="CK74" s="39">
        <f t="shared" si="282"/>
        <v>0</v>
      </c>
      <c r="CL74" s="39">
        <f t="shared" si="282"/>
        <v>0</v>
      </c>
      <c r="CM74" s="39">
        <f t="shared" si="282"/>
        <v>0</v>
      </c>
      <c r="CN74" s="39">
        <f t="shared" si="282"/>
        <v>0</v>
      </c>
      <c r="CO74" s="39">
        <f t="shared" si="282"/>
        <v>0</v>
      </c>
      <c r="CP74" s="39">
        <f t="shared" si="282"/>
        <v>0</v>
      </c>
      <c r="CQ74" s="39">
        <f t="shared" si="282"/>
        <v>0</v>
      </c>
      <c r="CR74" s="39">
        <f t="shared" si="282"/>
        <v>0</v>
      </c>
      <c r="CS74" s="39">
        <f t="shared" si="282"/>
        <v>0</v>
      </c>
      <c r="CT74" s="39">
        <f t="shared" si="282"/>
        <v>0</v>
      </c>
      <c r="CU74" s="39">
        <f t="shared" si="282"/>
        <v>0</v>
      </c>
      <c r="CV74" s="39">
        <f t="shared" si="282"/>
        <v>0</v>
      </c>
      <c r="CW74" s="39">
        <f t="shared" si="282"/>
        <v>0</v>
      </c>
      <c r="CX74" s="39">
        <f t="shared" si="282"/>
        <v>0</v>
      </c>
      <c r="CY74" s="39">
        <f t="shared" si="282"/>
        <v>0</v>
      </c>
      <c r="CZ74" s="39">
        <f t="shared" si="282"/>
        <v>0</v>
      </c>
      <c r="DA74" s="39">
        <f t="shared" si="282"/>
        <v>0</v>
      </c>
      <c r="DB74" s="39">
        <f t="shared" si="282"/>
        <v>0</v>
      </c>
      <c r="DC74" s="39">
        <f t="shared" si="282"/>
        <v>0</v>
      </c>
      <c r="DD74" s="39">
        <f t="shared" si="282"/>
        <v>0</v>
      </c>
      <c r="DE74" s="39">
        <f t="shared" si="282"/>
        <v>0</v>
      </c>
      <c r="DF74" s="39">
        <f t="shared" si="282"/>
        <v>0</v>
      </c>
      <c r="DG74" s="39">
        <f t="shared" si="282"/>
        <v>0</v>
      </c>
      <c r="DH74" s="39">
        <f t="shared" si="282"/>
        <v>0</v>
      </c>
      <c r="DI74" s="39">
        <f t="shared" si="282"/>
        <v>0</v>
      </c>
      <c r="DJ74" s="39">
        <f t="shared" si="282"/>
        <v>0</v>
      </c>
      <c r="DK74" s="39">
        <f t="shared" si="282"/>
        <v>0</v>
      </c>
      <c r="DL74" s="39">
        <f t="shared" si="282"/>
        <v>0</v>
      </c>
      <c r="DM74" s="39">
        <f t="shared" si="282"/>
        <v>0</v>
      </c>
      <c r="DN74" s="39">
        <f t="shared" si="282"/>
        <v>0</v>
      </c>
      <c r="DO74" s="39">
        <f t="shared" si="282"/>
        <v>0</v>
      </c>
      <c r="DP74" s="39">
        <f t="shared" si="282"/>
        <v>0</v>
      </c>
      <c r="DQ74" s="39">
        <f t="shared" si="282"/>
        <v>0</v>
      </c>
      <c r="DR74" s="39">
        <f t="shared" si="282"/>
        <v>0</v>
      </c>
      <c r="DS74" s="39">
        <f t="shared" si="282"/>
        <v>0</v>
      </c>
      <c r="DT74" s="39">
        <f t="shared" si="282"/>
        <v>0</v>
      </c>
      <c r="DU74" s="39">
        <f t="shared" si="282"/>
        <v>0</v>
      </c>
      <c r="DV74" s="39">
        <f t="shared" si="282"/>
        <v>0</v>
      </c>
      <c r="DW74" s="39">
        <f t="shared" si="282"/>
        <v>0</v>
      </c>
      <c r="DX74" s="39">
        <f t="shared" si="282"/>
        <v>0</v>
      </c>
      <c r="DY74" s="39">
        <f t="shared" si="282"/>
        <v>0</v>
      </c>
      <c r="DZ74" s="39">
        <f t="shared" si="282"/>
        <v>0</v>
      </c>
      <c r="EA74" s="39">
        <f t="shared" si="282"/>
        <v>0</v>
      </c>
      <c r="EB74" s="39">
        <f t="shared" ref="EB74:EE74" si="283">SUM(EB72:EB73)</f>
        <v>0</v>
      </c>
      <c r="EC74" s="39">
        <f t="shared" si="283"/>
        <v>0</v>
      </c>
      <c r="ED74" s="39">
        <f t="shared" si="283"/>
        <v>0</v>
      </c>
      <c r="EE74" s="39">
        <f t="shared" si="283"/>
        <v>0</v>
      </c>
    </row>
    <row r="76" spans="2:135" x14ac:dyDescent="0.35">
      <c r="B76" s="49" t="s">
        <v>65</v>
      </c>
      <c r="C76" s="50">
        <f>C71</f>
        <v>44377</v>
      </c>
      <c r="D76" s="50">
        <f t="shared" ref="D76:BO76" si="284">D71</f>
        <v>44408</v>
      </c>
      <c r="E76" s="50">
        <f t="shared" si="284"/>
        <v>44439</v>
      </c>
      <c r="F76" s="50">
        <f t="shared" si="284"/>
        <v>44469</v>
      </c>
      <c r="G76" s="50">
        <f t="shared" si="284"/>
        <v>44500</v>
      </c>
      <c r="H76" s="50">
        <f t="shared" si="284"/>
        <v>44530</v>
      </c>
      <c r="I76" s="50">
        <f t="shared" si="284"/>
        <v>44561</v>
      </c>
      <c r="J76" s="50">
        <f t="shared" si="284"/>
        <v>44592</v>
      </c>
      <c r="K76" s="50">
        <f t="shared" si="284"/>
        <v>44620</v>
      </c>
      <c r="L76" s="50">
        <f t="shared" si="284"/>
        <v>44651</v>
      </c>
      <c r="M76" s="50">
        <f t="shared" si="284"/>
        <v>44681</v>
      </c>
      <c r="N76" s="50">
        <f t="shared" si="284"/>
        <v>44712</v>
      </c>
      <c r="O76" s="50">
        <f t="shared" si="284"/>
        <v>44742</v>
      </c>
      <c r="P76" s="50">
        <f t="shared" si="284"/>
        <v>44773</v>
      </c>
      <c r="Q76" s="50">
        <f t="shared" si="284"/>
        <v>44804</v>
      </c>
      <c r="R76" s="50">
        <f t="shared" si="284"/>
        <v>44834</v>
      </c>
      <c r="S76" s="50">
        <f t="shared" si="284"/>
        <v>44865</v>
      </c>
      <c r="T76" s="50">
        <f t="shared" si="284"/>
        <v>44895</v>
      </c>
      <c r="U76" s="50">
        <f t="shared" si="284"/>
        <v>44926</v>
      </c>
      <c r="V76" s="50">
        <f t="shared" si="284"/>
        <v>44957</v>
      </c>
      <c r="W76" s="50">
        <f t="shared" si="284"/>
        <v>44985</v>
      </c>
      <c r="X76" s="50">
        <f t="shared" si="284"/>
        <v>45016</v>
      </c>
      <c r="Y76" s="50">
        <f t="shared" si="284"/>
        <v>45046</v>
      </c>
      <c r="Z76" s="50">
        <f t="shared" si="284"/>
        <v>45077</v>
      </c>
      <c r="AA76" s="50">
        <f t="shared" si="284"/>
        <v>45107</v>
      </c>
      <c r="AB76" s="50">
        <f t="shared" si="284"/>
        <v>45138</v>
      </c>
      <c r="AC76" s="50">
        <f t="shared" si="284"/>
        <v>45169</v>
      </c>
      <c r="AD76" s="50">
        <f t="shared" si="284"/>
        <v>45199</v>
      </c>
      <c r="AE76" s="50">
        <f t="shared" si="284"/>
        <v>45230</v>
      </c>
      <c r="AF76" s="50">
        <f t="shared" si="284"/>
        <v>45260</v>
      </c>
      <c r="AG76" s="50">
        <f t="shared" si="284"/>
        <v>45291</v>
      </c>
      <c r="AH76" s="50">
        <f t="shared" si="284"/>
        <v>45322</v>
      </c>
      <c r="AI76" s="50">
        <f t="shared" si="284"/>
        <v>45351</v>
      </c>
      <c r="AJ76" s="50">
        <f t="shared" si="284"/>
        <v>45382</v>
      </c>
      <c r="AK76" s="50">
        <f t="shared" si="284"/>
        <v>45412</v>
      </c>
      <c r="AL76" s="50">
        <f t="shared" si="284"/>
        <v>45443</v>
      </c>
      <c r="AM76" s="50">
        <f t="shared" si="284"/>
        <v>45473</v>
      </c>
      <c r="AN76" s="50">
        <f t="shared" si="284"/>
        <v>45504</v>
      </c>
      <c r="AO76" s="50">
        <f t="shared" si="284"/>
        <v>45535</v>
      </c>
      <c r="AP76" s="50">
        <f t="shared" si="284"/>
        <v>45565</v>
      </c>
      <c r="AQ76" s="50">
        <f t="shared" si="284"/>
        <v>45596</v>
      </c>
      <c r="AR76" s="50">
        <f t="shared" si="284"/>
        <v>45626</v>
      </c>
      <c r="AS76" s="50">
        <f t="shared" si="284"/>
        <v>45657</v>
      </c>
      <c r="AT76" s="50">
        <f t="shared" si="284"/>
        <v>45688</v>
      </c>
      <c r="AU76" s="50">
        <f t="shared" si="284"/>
        <v>45716</v>
      </c>
      <c r="AV76" s="50">
        <f t="shared" si="284"/>
        <v>45747</v>
      </c>
      <c r="AW76" s="50">
        <f t="shared" si="284"/>
        <v>45777</v>
      </c>
      <c r="AX76" s="50">
        <f t="shared" si="284"/>
        <v>45808</v>
      </c>
      <c r="AY76" s="50">
        <f t="shared" si="284"/>
        <v>45838</v>
      </c>
      <c r="AZ76" s="50">
        <f t="shared" si="284"/>
        <v>45869</v>
      </c>
      <c r="BA76" s="50">
        <f t="shared" si="284"/>
        <v>45900</v>
      </c>
      <c r="BB76" s="50">
        <f t="shared" si="284"/>
        <v>45930</v>
      </c>
      <c r="BC76" s="50">
        <f t="shared" si="284"/>
        <v>45961</v>
      </c>
      <c r="BD76" s="50">
        <f t="shared" si="284"/>
        <v>45991</v>
      </c>
      <c r="BE76" s="50">
        <f t="shared" si="284"/>
        <v>46022</v>
      </c>
      <c r="BF76" s="50">
        <f t="shared" si="284"/>
        <v>46053</v>
      </c>
      <c r="BG76" s="50">
        <f t="shared" si="284"/>
        <v>46081</v>
      </c>
      <c r="BH76" s="50">
        <f t="shared" si="284"/>
        <v>46112</v>
      </c>
      <c r="BI76" s="50">
        <f t="shared" si="284"/>
        <v>46142</v>
      </c>
      <c r="BJ76" s="50">
        <f t="shared" si="284"/>
        <v>46173</v>
      </c>
      <c r="BK76" s="50">
        <f t="shared" si="284"/>
        <v>46203</v>
      </c>
      <c r="BL76" s="50">
        <f t="shared" si="284"/>
        <v>46234</v>
      </c>
      <c r="BM76" s="50">
        <f t="shared" si="284"/>
        <v>46265</v>
      </c>
      <c r="BN76" s="50">
        <f t="shared" si="284"/>
        <v>46295</v>
      </c>
      <c r="BO76" s="50">
        <f t="shared" si="284"/>
        <v>46326</v>
      </c>
      <c r="BP76" s="50">
        <f t="shared" ref="BP76:EA76" si="285">BP71</f>
        <v>46356</v>
      </c>
      <c r="BQ76" s="50">
        <f t="shared" si="285"/>
        <v>46387</v>
      </c>
      <c r="BR76" s="50">
        <f t="shared" si="285"/>
        <v>46418</v>
      </c>
      <c r="BS76" s="50">
        <f t="shared" si="285"/>
        <v>46446</v>
      </c>
      <c r="BT76" s="50">
        <f t="shared" si="285"/>
        <v>46477</v>
      </c>
      <c r="BU76" s="50">
        <f t="shared" si="285"/>
        <v>46507</v>
      </c>
      <c r="BV76" s="50">
        <f t="shared" si="285"/>
        <v>46538</v>
      </c>
      <c r="BW76" s="50">
        <f t="shared" si="285"/>
        <v>46568</v>
      </c>
      <c r="BX76" s="50">
        <f t="shared" si="285"/>
        <v>46599</v>
      </c>
      <c r="BY76" s="50">
        <f t="shared" si="285"/>
        <v>46630</v>
      </c>
      <c r="BZ76" s="50">
        <f t="shared" si="285"/>
        <v>46660</v>
      </c>
      <c r="CA76" s="50">
        <f t="shared" si="285"/>
        <v>46691</v>
      </c>
      <c r="CB76" s="50">
        <f t="shared" si="285"/>
        <v>46721</v>
      </c>
      <c r="CC76" s="50">
        <f t="shared" si="285"/>
        <v>46752</v>
      </c>
      <c r="CD76" s="50">
        <f t="shared" si="285"/>
        <v>46783</v>
      </c>
      <c r="CE76" s="50">
        <f t="shared" si="285"/>
        <v>46812</v>
      </c>
      <c r="CF76" s="50">
        <f t="shared" si="285"/>
        <v>46843</v>
      </c>
      <c r="CG76" s="50">
        <f t="shared" si="285"/>
        <v>46873</v>
      </c>
      <c r="CH76" s="50">
        <f t="shared" si="285"/>
        <v>46904</v>
      </c>
      <c r="CI76" s="50">
        <f t="shared" si="285"/>
        <v>46934</v>
      </c>
      <c r="CJ76" s="50">
        <f t="shared" si="285"/>
        <v>46965</v>
      </c>
      <c r="CK76" s="50">
        <f t="shared" si="285"/>
        <v>46996</v>
      </c>
      <c r="CL76" s="50">
        <f t="shared" si="285"/>
        <v>47026</v>
      </c>
      <c r="CM76" s="50">
        <f t="shared" si="285"/>
        <v>47057</v>
      </c>
      <c r="CN76" s="50">
        <f t="shared" si="285"/>
        <v>47087</v>
      </c>
      <c r="CO76" s="50">
        <f t="shared" si="285"/>
        <v>47118</v>
      </c>
      <c r="CP76" s="50">
        <f t="shared" si="285"/>
        <v>47149</v>
      </c>
      <c r="CQ76" s="50">
        <f t="shared" si="285"/>
        <v>47177</v>
      </c>
      <c r="CR76" s="50">
        <f t="shared" si="285"/>
        <v>47208</v>
      </c>
      <c r="CS76" s="50">
        <f t="shared" si="285"/>
        <v>47238</v>
      </c>
      <c r="CT76" s="50">
        <f t="shared" si="285"/>
        <v>47269</v>
      </c>
      <c r="CU76" s="50">
        <f t="shared" si="285"/>
        <v>47299</v>
      </c>
      <c r="CV76" s="50">
        <f t="shared" si="285"/>
        <v>47330</v>
      </c>
      <c r="CW76" s="50">
        <f t="shared" si="285"/>
        <v>47361</v>
      </c>
      <c r="CX76" s="50">
        <f t="shared" si="285"/>
        <v>47391</v>
      </c>
      <c r="CY76" s="50">
        <f t="shared" si="285"/>
        <v>47422</v>
      </c>
      <c r="CZ76" s="50">
        <f t="shared" si="285"/>
        <v>47452</v>
      </c>
      <c r="DA76" s="50">
        <f t="shared" si="285"/>
        <v>47483</v>
      </c>
      <c r="DB76" s="50">
        <f t="shared" si="285"/>
        <v>47514</v>
      </c>
      <c r="DC76" s="50">
        <f t="shared" si="285"/>
        <v>47542</v>
      </c>
      <c r="DD76" s="50">
        <f t="shared" si="285"/>
        <v>47573</v>
      </c>
      <c r="DE76" s="50">
        <f t="shared" si="285"/>
        <v>47603</v>
      </c>
      <c r="DF76" s="50">
        <f t="shared" si="285"/>
        <v>47634</v>
      </c>
      <c r="DG76" s="50">
        <f t="shared" si="285"/>
        <v>47664</v>
      </c>
      <c r="DH76" s="50">
        <f t="shared" si="285"/>
        <v>47695</v>
      </c>
      <c r="DI76" s="50">
        <f t="shared" si="285"/>
        <v>47726</v>
      </c>
      <c r="DJ76" s="50">
        <f t="shared" si="285"/>
        <v>47756</v>
      </c>
      <c r="DK76" s="50">
        <f t="shared" si="285"/>
        <v>47787</v>
      </c>
      <c r="DL76" s="50">
        <f t="shared" si="285"/>
        <v>47817</v>
      </c>
      <c r="DM76" s="50">
        <f t="shared" si="285"/>
        <v>47848</v>
      </c>
      <c r="DN76" s="50">
        <f t="shared" si="285"/>
        <v>47879</v>
      </c>
      <c r="DO76" s="50">
        <f t="shared" si="285"/>
        <v>47907</v>
      </c>
      <c r="DP76" s="50">
        <f t="shared" si="285"/>
        <v>47938</v>
      </c>
      <c r="DQ76" s="50">
        <f t="shared" si="285"/>
        <v>47968</v>
      </c>
      <c r="DR76" s="50">
        <f t="shared" si="285"/>
        <v>47999</v>
      </c>
      <c r="DS76" s="50">
        <f t="shared" si="285"/>
        <v>48029</v>
      </c>
      <c r="DT76" s="50">
        <f t="shared" si="285"/>
        <v>48060</v>
      </c>
      <c r="DU76" s="50">
        <f t="shared" si="285"/>
        <v>48091</v>
      </c>
      <c r="DV76" s="50">
        <f t="shared" si="285"/>
        <v>48121</v>
      </c>
      <c r="DW76" s="50">
        <f t="shared" si="285"/>
        <v>48152</v>
      </c>
      <c r="DX76" s="50">
        <f t="shared" si="285"/>
        <v>48182</v>
      </c>
      <c r="DY76" s="50">
        <f t="shared" si="285"/>
        <v>48213</v>
      </c>
      <c r="DZ76" s="50">
        <f t="shared" si="285"/>
        <v>48244</v>
      </c>
      <c r="EA76" s="50">
        <f t="shared" si="285"/>
        <v>48273</v>
      </c>
      <c r="EB76" s="50">
        <f t="shared" ref="EB76:EE76" si="286">EB71</f>
        <v>48304</v>
      </c>
      <c r="EC76" s="50">
        <f t="shared" si="286"/>
        <v>48334</v>
      </c>
      <c r="ED76" s="50">
        <f t="shared" si="286"/>
        <v>48365</v>
      </c>
      <c r="EE76" s="50">
        <f t="shared" si="286"/>
        <v>48395</v>
      </c>
    </row>
    <row r="77" spans="2:135" x14ac:dyDescent="0.35">
      <c r="B77" s="33" t="s">
        <v>62</v>
      </c>
      <c r="C77" s="37">
        <f>C35</f>
        <v>-184125</v>
      </c>
      <c r="D77" s="37">
        <f t="shared" ref="D77" si="287">D35</f>
        <v>0</v>
      </c>
      <c r="E77" s="37">
        <f t="shared" ref="E77:BP77" si="288">E35</f>
        <v>0</v>
      </c>
      <c r="F77" s="37">
        <f t="shared" si="288"/>
        <v>0</v>
      </c>
      <c r="G77" s="37">
        <f t="shared" si="288"/>
        <v>0</v>
      </c>
      <c r="H77" s="37">
        <f t="shared" si="288"/>
        <v>0</v>
      </c>
      <c r="I77" s="37">
        <f t="shared" si="288"/>
        <v>0</v>
      </c>
      <c r="J77" s="37">
        <f t="shared" si="288"/>
        <v>0</v>
      </c>
      <c r="K77" s="37">
        <f t="shared" si="288"/>
        <v>0</v>
      </c>
      <c r="L77" s="37">
        <f t="shared" si="288"/>
        <v>0</v>
      </c>
      <c r="M77" s="37">
        <f t="shared" si="288"/>
        <v>0</v>
      </c>
      <c r="N77" s="37">
        <f t="shared" si="288"/>
        <v>0</v>
      </c>
      <c r="O77" s="37">
        <f t="shared" si="288"/>
        <v>0</v>
      </c>
      <c r="P77" s="37">
        <f t="shared" si="288"/>
        <v>0</v>
      </c>
      <c r="Q77" s="37">
        <f t="shared" si="288"/>
        <v>0</v>
      </c>
      <c r="R77" s="37">
        <f t="shared" si="288"/>
        <v>0</v>
      </c>
      <c r="S77" s="37">
        <f t="shared" si="288"/>
        <v>0</v>
      </c>
      <c r="T77" s="37">
        <f t="shared" si="288"/>
        <v>0</v>
      </c>
      <c r="U77" s="37">
        <f t="shared" si="288"/>
        <v>0</v>
      </c>
      <c r="V77" s="37">
        <f t="shared" si="288"/>
        <v>0</v>
      </c>
      <c r="W77" s="37">
        <f t="shared" si="288"/>
        <v>0</v>
      </c>
      <c r="X77" s="37">
        <f t="shared" si="288"/>
        <v>0</v>
      </c>
      <c r="Y77" s="37">
        <f t="shared" si="288"/>
        <v>0</v>
      </c>
      <c r="Z77" s="37">
        <f t="shared" si="288"/>
        <v>0</v>
      </c>
      <c r="AA77" s="37">
        <f t="shared" si="288"/>
        <v>0</v>
      </c>
      <c r="AB77" s="37">
        <f t="shared" si="288"/>
        <v>0</v>
      </c>
      <c r="AC77" s="37">
        <f t="shared" si="288"/>
        <v>0</v>
      </c>
      <c r="AD77" s="37">
        <f t="shared" si="288"/>
        <v>0</v>
      </c>
      <c r="AE77" s="37">
        <f t="shared" si="288"/>
        <v>0</v>
      </c>
      <c r="AF77" s="37">
        <f t="shared" si="288"/>
        <v>0</v>
      </c>
      <c r="AG77" s="37">
        <f t="shared" si="288"/>
        <v>0</v>
      </c>
      <c r="AH77" s="37">
        <f t="shared" si="288"/>
        <v>0</v>
      </c>
      <c r="AI77" s="37">
        <f t="shared" si="288"/>
        <v>0</v>
      </c>
      <c r="AJ77" s="37">
        <f t="shared" si="288"/>
        <v>0</v>
      </c>
      <c r="AK77" s="37">
        <f t="shared" si="288"/>
        <v>0</v>
      </c>
      <c r="AL77" s="37">
        <f t="shared" si="288"/>
        <v>0</v>
      </c>
      <c r="AM77" s="37">
        <f t="shared" si="288"/>
        <v>0</v>
      </c>
      <c r="AN77" s="37">
        <f t="shared" si="288"/>
        <v>0</v>
      </c>
      <c r="AO77" s="37">
        <f t="shared" si="288"/>
        <v>0</v>
      </c>
      <c r="AP77" s="37">
        <f t="shared" si="288"/>
        <v>0</v>
      </c>
      <c r="AQ77" s="37">
        <f t="shared" si="288"/>
        <v>0</v>
      </c>
      <c r="AR77" s="37">
        <f t="shared" si="288"/>
        <v>0</v>
      </c>
      <c r="AS77" s="37">
        <f t="shared" si="288"/>
        <v>0</v>
      </c>
      <c r="AT77" s="37">
        <f t="shared" si="288"/>
        <v>0</v>
      </c>
      <c r="AU77" s="37">
        <f t="shared" si="288"/>
        <v>0</v>
      </c>
      <c r="AV77" s="37">
        <f t="shared" si="288"/>
        <v>0</v>
      </c>
      <c r="AW77" s="37">
        <f t="shared" si="288"/>
        <v>0</v>
      </c>
      <c r="AX77" s="37">
        <f t="shared" si="288"/>
        <v>0</v>
      </c>
      <c r="AY77" s="37">
        <f t="shared" si="288"/>
        <v>0</v>
      </c>
      <c r="AZ77" s="37">
        <f t="shared" si="288"/>
        <v>0</v>
      </c>
      <c r="BA77" s="37">
        <f t="shared" si="288"/>
        <v>0</v>
      </c>
      <c r="BB77" s="37">
        <f t="shared" si="288"/>
        <v>0</v>
      </c>
      <c r="BC77" s="37">
        <f t="shared" si="288"/>
        <v>0</v>
      </c>
      <c r="BD77" s="37">
        <f t="shared" si="288"/>
        <v>0</v>
      </c>
      <c r="BE77" s="37">
        <f t="shared" si="288"/>
        <v>0</v>
      </c>
      <c r="BF77" s="37">
        <f t="shared" si="288"/>
        <v>0</v>
      </c>
      <c r="BG77" s="37">
        <f t="shared" si="288"/>
        <v>0</v>
      </c>
      <c r="BH77" s="37">
        <f t="shared" si="288"/>
        <v>0</v>
      </c>
      <c r="BI77" s="37">
        <f t="shared" si="288"/>
        <v>0</v>
      </c>
      <c r="BJ77" s="37">
        <f t="shared" si="288"/>
        <v>0</v>
      </c>
      <c r="BK77" s="37">
        <f t="shared" si="288"/>
        <v>0</v>
      </c>
      <c r="BL77" s="37">
        <f t="shared" si="288"/>
        <v>0</v>
      </c>
      <c r="BM77" s="37">
        <f t="shared" si="288"/>
        <v>0</v>
      </c>
      <c r="BN77" s="37">
        <f t="shared" si="288"/>
        <v>0</v>
      </c>
      <c r="BO77" s="37">
        <f t="shared" si="288"/>
        <v>0</v>
      </c>
      <c r="BP77" s="37">
        <f t="shared" si="288"/>
        <v>0</v>
      </c>
      <c r="BQ77" s="37">
        <f t="shared" ref="BQ77:EB77" si="289">BQ35</f>
        <v>0</v>
      </c>
      <c r="BR77" s="37">
        <f t="shared" si="289"/>
        <v>0</v>
      </c>
      <c r="BS77" s="37">
        <f t="shared" si="289"/>
        <v>0</v>
      </c>
      <c r="BT77" s="37">
        <f t="shared" si="289"/>
        <v>0</v>
      </c>
      <c r="BU77" s="37">
        <f t="shared" si="289"/>
        <v>0</v>
      </c>
      <c r="BV77" s="37">
        <f t="shared" si="289"/>
        <v>0</v>
      </c>
      <c r="BW77" s="37">
        <f t="shared" si="289"/>
        <v>0</v>
      </c>
      <c r="BX77" s="37">
        <f t="shared" si="289"/>
        <v>0</v>
      </c>
      <c r="BY77" s="37">
        <f t="shared" si="289"/>
        <v>0</v>
      </c>
      <c r="BZ77" s="37">
        <f t="shared" si="289"/>
        <v>0</v>
      </c>
      <c r="CA77" s="37">
        <f t="shared" si="289"/>
        <v>0</v>
      </c>
      <c r="CB77" s="37">
        <f t="shared" si="289"/>
        <v>0</v>
      </c>
      <c r="CC77" s="37">
        <f t="shared" si="289"/>
        <v>0</v>
      </c>
      <c r="CD77" s="37">
        <f t="shared" si="289"/>
        <v>0</v>
      </c>
      <c r="CE77" s="37">
        <f t="shared" si="289"/>
        <v>0</v>
      </c>
      <c r="CF77" s="37">
        <f t="shared" si="289"/>
        <v>0</v>
      </c>
      <c r="CG77" s="37">
        <f t="shared" si="289"/>
        <v>0</v>
      </c>
      <c r="CH77" s="37">
        <f t="shared" si="289"/>
        <v>0</v>
      </c>
      <c r="CI77" s="37">
        <f t="shared" si="289"/>
        <v>0</v>
      </c>
      <c r="CJ77" s="37">
        <f t="shared" si="289"/>
        <v>0</v>
      </c>
      <c r="CK77" s="37">
        <f t="shared" si="289"/>
        <v>0</v>
      </c>
      <c r="CL77" s="37">
        <f t="shared" si="289"/>
        <v>0</v>
      </c>
      <c r="CM77" s="37">
        <f t="shared" si="289"/>
        <v>0</v>
      </c>
      <c r="CN77" s="37">
        <f t="shared" si="289"/>
        <v>0</v>
      </c>
      <c r="CO77" s="37">
        <f t="shared" si="289"/>
        <v>0</v>
      </c>
      <c r="CP77" s="37">
        <f t="shared" si="289"/>
        <v>0</v>
      </c>
      <c r="CQ77" s="37">
        <f t="shared" si="289"/>
        <v>0</v>
      </c>
      <c r="CR77" s="37">
        <f t="shared" si="289"/>
        <v>0</v>
      </c>
      <c r="CS77" s="37">
        <f t="shared" si="289"/>
        <v>0</v>
      </c>
      <c r="CT77" s="37">
        <f t="shared" si="289"/>
        <v>0</v>
      </c>
      <c r="CU77" s="37">
        <f t="shared" si="289"/>
        <v>0</v>
      </c>
      <c r="CV77" s="37">
        <f t="shared" si="289"/>
        <v>0</v>
      </c>
      <c r="CW77" s="37">
        <f t="shared" si="289"/>
        <v>0</v>
      </c>
      <c r="CX77" s="37">
        <f t="shared" si="289"/>
        <v>0</v>
      </c>
      <c r="CY77" s="37">
        <f t="shared" si="289"/>
        <v>0</v>
      </c>
      <c r="CZ77" s="37">
        <f t="shared" si="289"/>
        <v>0</v>
      </c>
      <c r="DA77" s="37">
        <f t="shared" si="289"/>
        <v>0</v>
      </c>
      <c r="DB77" s="37">
        <f t="shared" si="289"/>
        <v>0</v>
      </c>
      <c r="DC77" s="37">
        <f t="shared" si="289"/>
        <v>0</v>
      </c>
      <c r="DD77" s="37">
        <f t="shared" si="289"/>
        <v>0</v>
      </c>
      <c r="DE77" s="37">
        <f t="shared" si="289"/>
        <v>0</v>
      </c>
      <c r="DF77" s="37">
        <f t="shared" si="289"/>
        <v>0</v>
      </c>
      <c r="DG77" s="37">
        <f t="shared" si="289"/>
        <v>0</v>
      </c>
      <c r="DH77" s="37">
        <f t="shared" si="289"/>
        <v>0</v>
      </c>
      <c r="DI77" s="37">
        <f t="shared" si="289"/>
        <v>0</v>
      </c>
      <c r="DJ77" s="37">
        <f t="shared" si="289"/>
        <v>0</v>
      </c>
      <c r="DK77" s="37">
        <f t="shared" si="289"/>
        <v>0</v>
      </c>
      <c r="DL77" s="37">
        <f t="shared" si="289"/>
        <v>0</v>
      </c>
      <c r="DM77" s="37">
        <f t="shared" si="289"/>
        <v>0</v>
      </c>
      <c r="DN77" s="37">
        <f t="shared" si="289"/>
        <v>0</v>
      </c>
      <c r="DO77" s="37">
        <f t="shared" si="289"/>
        <v>0</v>
      </c>
      <c r="DP77" s="37">
        <f t="shared" si="289"/>
        <v>0</v>
      </c>
      <c r="DQ77" s="37">
        <f t="shared" si="289"/>
        <v>0</v>
      </c>
      <c r="DR77" s="37">
        <f t="shared" si="289"/>
        <v>0</v>
      </c>
      <c r="DS77" s="37">
        <f t="shared" si="289"/>
        <v>0</v>
      </c>
      <c r="DT77" s="37">
        <f t="shared" si="289"/>
        <v>0</v>
      </c>
      <c r="DU77" s="37">
        <f t="shared" si="289"/>
        <v>0</v>
      </c>
      <c r="DV77" s="37">
        <f t="shared" si="289"/>
        <v>0</v>
      </c>
      <c r="DW77" s="37">
        <f t="shared" si="289"/>
        <v>0</v>
      </c>
      <c r="DX77" s="37">
        <f t="shared" si="289"/>
        <v>0</v>
      </c>
      <c r="DY77" s="37">
        <f t="shared" si="289"/>
        <v>0</v>
      </c>
      <c r="DZ77" s="37">
        <f t="shared" si="289"/>
        <v>0</v>
      </c>
      <c r="EA77" s="37">
        <f t="shared" si="289"/>
        <v>0</v>
      </c>
      <c r="EB77" s="37">
        <f t="shared" si="289"/>
        <v>0</v>
      </c>
      <c r="EC77" s="37">
        <f t="shared" ref="EC77:EE77" si="290">EC35</f>
        <v>0</v>
      </c>
      <c r="ED77" s="37">
        <f t="shared" si="290"/>
        <v>0</v>
      </c>
      <c r="EE77" s="37">
        <f t="shared" si="290"/>
        <v>0</v>
      </c>
    </row>
    <row r="78" spans="2:135" x14ac:dyDescent="0.35">
      <c r="B78" s="34" t="s">
        <v>63</v>
      </c>
      <c r="C78" s="37">
        <f>SUM(C36,C49,C61,C67)</f>
        <v>0</v>
      </c>
      <c r="D78" s="37">
        <f t="shared" ref="D78" si="291">SUM(D36,D49,D61,D67)</f>
        <v>3775.3967714748078</v>
      </c>
      <c r="E78" s="37">
        <f t="shared" ref="E78:BP78" si="292">SUM(E36,E49,E61,E67)</f>
        <v>3820.2121330949412</v>
      </c>
      <c r="F78" s="37">
        <f t="shared" si="292"/>
        <v>3865.210078045719</v>
      </c>
      <c r="G78" s="37">
        <f t="shared" si="292"/>
        <v>3910.3913501942425</v>
      </c>
      <c r="H78" s="37">
        <f t="shared" si="292"/>
        <v>3955.7566964381954</v>
      </c>
      <c r="I78" s="37">
        <f t="shared" si="292"/>
        <v>4001.3068667182374</v>
      </c>
      <c r="J78" s="37">
        <f t="shared" si="292"/>
        <v>4047.042614030368</v>
      </c>
      <c r="K78" s="37">
        <f t="shared" si="292"/>
        <v>4092.9646944383844</v>
      </c>
      <c r="L78" s="37">
        <f t="shared" si="292"/>
        <v>4139.0738670863857</v>
      </c>
      <c r="M78" s="37">
        <f t="shared" si="292"/>
        <v>4185.3708942113153</v>
      </c>
      <c r="N78" s="37">
        <f t="shared" si="292"/>
        <v>4231.8565411555683</v>
      </c>
      <c r="O78" s="37">
        <f t="shared" si="292"/>
        <v>4278.5315763796334</v>
      </c>
      <c r="P78" s="37">
        <f t="shared" si="292"/>
        <v>4325.3967714748096</v>
      </c>
      <c r="Q78" s="37">
        <f t="shared" si="292"/>
        <v>4372.4529011759487</v>
      </c>
      <c r="R78" s="37">
        <f t="shared" si="292"/>
        <v>4419.7007433742656</v>
      </c>
      <c r="S78" s="37">
        <f t="shared" si="292"/>
        <v>4467.1410791302133</v>
      </c>
      <c r="T78" s="37">
        <f t="shared" si="292"/>
        <v>4514.7746926863674</v>
      </c>
      <c r="U78" s="37">
        <f t="shared" si="292"/>
        <v>4562.6023714804096</v>
      </c>
      <c r="V78" s="37">
        <f t="shared" si="292"/>
        <v>4610.6249061581457</v>
      </c>
      <c r="W78" s="37">
        <f t="shared" si="292"/>
        <v>4658.8430905865625</v>
      </c>
      <c r="X78" s="37">
        <f t="shared" si="292"/>
        <v>4707.2577218669649</v>
      </c>
      <c r="Y78" s="37">
        <f t="shared" si="292"/>
        <v>4755.86960034814</v>
      </c>
      <c r="Z78" s="37">
        <f t="shared" si="292"/>
        <v>4804.6795296396067</v>
      </c>
      <c r="AA78" s="37">
        <f t="shared" si="292"/>
        <v>4853.6883166248754</v>
      </c>
      <c r="AB78" s="37">
        <f t="shared" si="292"/>
        <v>4902.8967714748105</v>
      </c>
      <c r="AC78" s="37">
        <f t="shared" si="292"/>
        <v>4952.305707661003</v>
      </c>
      <c r="AD78" s="37">
        <f t="shared" si="292"/>
        <v>5001.9159419692414</v>
      </c>
      <c r="AE78" s="37">
        <f t="shared" si="292"/>
        <v>5051.7282945129846</v>
      </c>
      <c r="AF78" s="37">
        <f t="shared" si="292"/>
        <v>5101.7435887469464</v>
      </c>
      <c r="AG78" s="37">
        <f t="shared" si="292"/>
        <v>5151.9626514806905</v>
      </c>
      <c r="AH78" s="37">
        <f t="shared" si="292"/>
        <v>5202.386312892314</v>
      </c>
      <c r="AI78" s="37">
        <f t="shared" si="292"/>
        <v>5253.015406542152</v>
      </c>
      <c r="AJ78" s="37">
        <f t="shared" si="292"/>
        <v>5303.8507693865704</v>
      </c>
      <c r="AK78" s="37">
        <f t="shared" si="292"/>
        <v>5354.8932417918077</v>
      </c>
      <c r="AL78" s="37">
        <f t="shared" si="292"/>
        <v>5406.1436675478462</v>
      </c>
      <c r="AM78" s="37">
        <f t="shared" si="292"/>
        <v>5457.6028938823802</v>
      </c>
      <c r="AN78" s="37">
        <f t="shared" si="292"/>
        <v>5509.2717714748096</v>
      </c>
      <c r="AO78" s="37">
        <f t="shared" si="292"/>
        <v>5561.1511544703144</v>
      </c>
      <c r="AP78" s="37">
        <f t="shared" si="292"/>
        <v>5613.2419004939647</v>
      </c>
      <c r="AQ78" s="37">
        <f t="shared" si="292"/>
        <v>5665.5448706648931</v>
      </c>
      <c r="AR78" s="37">
        <f t="shared" si="292"/>
        <v>5718.0609296105513</v>
      </c>
      <c r="AS78" s="37">
        <f t="shared" si="292"/>
        <v>5770.7909454809851</v>
      </c>
      <c r="AT78" s="37">
        <f t="shared" si="292"/>
        <v>5823.7357899631897</v>
      </c>
      <c r="AU78" s="37">
        <f t="shared" si="292"/>
        <v>5876.8963382955208</v>
      </c>
      <c r="AV78" s="37">
        <f t="shared" si="292"/>
        <v>5930.2734692821596</v>
      </c>
      <c r="AW78" s="37">
        <f t="shared" si="292"/>
        <v>5983.868065307659</v>
      </c>
      <c r="AX78" s="37">
        <f t="shared" si="292"/>
        <v>6037.6810123515006</v>
      </c>
      <c r="AY78" s="37">
        <f t="shared" si="292"/>
        <v>6091.7132000027595</v>
      </c>
      <c r="AZ78" s="37">
        <f t="shared" si="292"/>
        <v>6145.9655214748072</v>
      </c>
      <c r="BA78" s="37">
        <f t="shared" si="292"/>
        <v>6200.4388736200926</v>
      </c>
      <c r="BB78" s="37">
        <f t="shared" si="292"/>
        <v>6255.1341569449214</v>
      </c>
      <c r="BC78" s="37">
        <f t="shared" si="292"/>
        <v>6310.052275624399</v>
      </c>
      <c r="BD78" s="37">
        <f t="shared" si="292"/>
        <v>6365.194137517341</v>
      </c>
      <c r="BE78" s="37">
        <f t="shared" si="292"/>
        <v>6420.560654181294</v>
      </c>
      <c r="BF78" s="37">
        <f t="shared" si="292"/>
        <v>6476.15274088761</v>
      </c>
      <c r="BG78" s="37">
        <f t="shared" si="292"/>
        <v>6531.9713166365545</v>
      </c>
      <c r="BH78" s="37">
        <f t="shared" si="292"/>
        <v>6588.017304172532</v>
      </c>
      <c r="BI78" s="37">
        <f t="shared" si="292"/>
        <v>6644.2916299993012</v>
      </c>
      <c r="BJ78" s="37">
        <f t="shared" si="292"/>
        <v>6700.795224395335</v>
      </c>
      <c r="BK78" s="37">
        <f t="shared" si="292"/>
        <v>1415717.8888782025</v>
      </c>
      <c r="BL78" s="37">
        <f t="shared" si="292"/>
        <v>0</v>
      </c>
      <c r="BM78" s="37">
        <f t="shared" si="292"/>
        <v>0</v>
      </c>
      <c r="BN78" s="37">
        <f t="shared" si="292"/>
        <v>0</v>
      </c>
      <c r="BO78" s="37">
        <f t="shared" si="292"/>
        <v>0</v>
      </c>
      <c r="BP78" s="37">
        <f t="shared" si="292"/>
        <v>0</v>
      </c>
      <c r="BQ78" s="37">
        <f t="shared" ref="BQ78:EB78" si="293">SUM(BQ36,BQ49,BQ61,BQ67)</f>
        <v>0</v>
      </c>
      <c r="BR78" s="37">
        <f t="shared" si="293"/>
        <v>0</v>
      </c>
      <c r="BS78" s="37">
        <f t="shared" si="293"/>
        <v>0</v>
      </c>
      <c r="BT78" s="37">
        <f t="shared" si="293"/>
        <v>0</v>
      </c>
      <c r="BU78" s="37">
        <f t="shared" si="293"/>
        <v>0</v>
      </c>
      <c r="BV78" s="37">
        <f t="shared" si="293"/>
        <v>0</v>
      </c>
      <c r="BW78" s="37">
        <f t="shared" si="293"/>
        <v>0</v>
      </c>
      <c r="BX78" s="37">
        <f t="shared" si="293"/>
        <v>0</v>
      </c>
      <c r="BY78" s="37">
        <f t="shared" si="293"/>
        <v>0</v>
      </c>
      <c r="BZ78" s="37">
        <f t="shared" si="293"/>
        <v>0</v>
      </c>
      <c r="CA78" s="37">
        <f t="shared" si="293"/>
        <v>0</v>
      </c>
      <c r="CB78" s="37">
        <f t="shared" si="293"/>
        <v>0</v>
      </c>
      <c r="CC78" s="37">
        <f t="shared" si="293"/>
        <v>0</v>
      </c>
      <c r="CD78" s="37">
        <f t="shared" si="293"/>
        <v>0</v>
      </c>
      <c r="CE78" s="37">
        <f t="shared" si="293"/>
        <v>0</v>
      </c>
      <c r="CF78" s="37">
        <f t="shared" si="293"/>
        <v>0</v>
      </c>
      <c r="CG78" s="37">
        <f t="shared" si="293"/>
        <v>0</v>
      </c>
      <c r="CH78" s="37">
        <f t="shared" si="293"/>
        <v>0</v>
      </c>
      <c r="CI78" s="37">
        <f t="shared" si="293"/>
        <v>0</v>
      </c>
      <c r="CJ78" s="37">
        <f t="shared" si="293"/>
        <v>0</v>
      </c>
      <c r="CK78" s="37">
        <f t="shared" si="293"/>
        <v>0</v>
      </c>
      <c r="CL78" s="37">
        <f t="shared" si="293"/>
        <v>0</v>
      </c>
      <c r="CM78" s="37">
        <f t="shared" si="293"/>
        <v>0</v>
      </c>
      <c r="CN78" s="37">
        <f t="shared" si="293"/>
        <v>0</v>
      </c>
      <c r="CO78" s="37">
        <f t="shared" si="293"/>
        <v>0</v>
      </c>
      <c r="CP78" s="37">
        <f t="shared" si="293"/>
        <v>0</v>
      </c>
      <c r="CQ78" s="37">
        <f t="shared" si="293"/>
        <v>0</v>
      </c>
      <c r="CR78" s="37">
        <f t="shared" si="293"/>
        <v>0</v>
      </c>
      <c r="CS78" s="37">
        <f t="shared" si="293"/>
        <v>0</v>
      </c>
      <c r="CT78" s="37">
        <f t="shared" si="293"/>
        <v>0</v>
      </c>
      <c r="CU78" s="37">
        <f t="shared" si="293"/>
        <v>0</v>
      </c>
      <c r="CV78" s="37">
        <f t="shared" si="293"/>
        <v>0</v>
      </c>
      <c r="CW78" s="37">
        <f t="shared" si="293"/>
        <v>0</v>
      </c>
      <c r="CX78" s="37">
        <f t="shared" si="293"/>
        <v>0</v>
      </c>
      <c r="CY78" s="37">
        <f t="shared" si="293"/>
        <v>0</v>
      </c>
      <c r="CZ78" s="37">
        <f t="shared" si="293"/>
        <v>0</v>
      </c>
      <c r="DA78" s="37">
        <f t="shared" si="293"/>
        <v>0</v>
      </c>
      <c r="DB78" s="37">
        <f t="shared" si="293"/>
        <v>0</v>
      </c>
      <c r="DC78" s="37">
        <f t="shared" si="293"/>
        <v>0</v>
      </c>
      <c r="DD78" s="37">
        <f t="shared" si="293"/>
        <v>0</v>
      </c>
      <c r="DE78" s="37">
        <f t="shared" si="293"/>
        <v>0</v>
      </c>
      <c r="DF78" s="37">
        <f t="shared" si="293"/>
        <v>0</v>
      </c>
      <c r="DG78" s="37">
        <f t="shared" si="293"/>
        <v>0</v>
      </c>
      <c r="DH78" s="37">
        <f t="shared" si="293"/>
        <v>0</v>
      </c>
      <c r="DI78" s="37">
        <f t="shared" si="293"/>
        <v>0</v>
      </c>
      <c r="DJ78" s="37">
        <f t="shared" si="293"/>
        <v>0</v>
      </c>
      <c r="DK78" s="37">
        <f t="shared" si="293"/>
        <v>0</v>
      </c>
      <c r="DL78" s="37">
        <f t="shared" si="293"/>
        <v>0</v>
      </c>
      <c r="DM78" s="37">
        <f t="shared" si="293"/>
        <v>0</v>
      </c>
      <c r="DN78" s="37">
        <f t="shared" si="293"/>
        <v>0</v>
      </c>
      <c r="DO78" s="37">
        <f t="shared" si="293"/>
        <v>0</v>
      </c>
      <c r="DP78" s="37">
        <f t="shared" si="293"/>
        <v>0</v>
      </c>
      <c r="DQ78" s="37">
        <f t="shared" si="293"/>
        <v>0</v>
      </c>
      <c r="DR78" s="37">
        <f t="shared" si="293"/>
        <v>0</v>
      </c>
      <c r="DS78" s="37">
        <f t="shared" si="293"/>
        <v>0</v>
      </c>
      <c r="DT78" s="37">
        <f t="shared" si="293"/>
        <v>0</v>
      </c>
      <c r="DU78" s="37">
        <f t="shared" si="293"/>
        <v>0</v>
      </c>
      <c r="DV78" s="37">
        <f t="shared" si="293"/>
        <v>0</v>
      </c>
      <c r="DW78" s="37">
        <f t="shared" si="293"/>
        <v>0</v>
      </c>
      <c r="DX78" s="37">
        <f t="shared" si="293"/>
        <v>0</v>
      </c>
      <c r="DY78" s="37">
        <f t="shared" si="293"/>
        <v>0</v>
      </c>
      <c r="DZ78" s="37">
        <f t="shared" si="293"/>
        <v>0</v>
      </c>
      <c r="EA78" s="37">
        <f t="shared" si="293"/>
        <v>0</v>
      </c>
      <c r="EB78" s="37">
        <f t="shared" si="293"/>
        <v>0</v>
      </c>
      <c r="EC78" s="37">
        <f t="shared" ref="EC78:EE78" si="294">SUM(EC36,EC49,EC61,EC67)</f>
        <v>0</v>
      </c>
      <c r="ED78" s="37">
        <f t="shared" si="294"/>
        <v>0</v>
      </c>
      <c r="EE78" s="37">
        <f t="shared" si="294"/>
        <v>0</v>
      </c>
    </row>
    <row r="79" spans="2:135" x14ac:dyDescent="0.35">
      <c r="B79" s="35" t="s">
        <v>64</v>
      </c>
      <c r="C79" s="39">
        <f>SUM(C77:C78)</f>
        <v>-184125</v>
      </c>
      <c r="D79" s="39">
        <f t="shared" ref="D79" si="295">SUM(D77:D78)</f>
        <v>3775.3967714748078</v>
      </c>
      <c r="E79" s="39">
        <f t="shared" ref="E79" si="296">SUM(E77:E78)</f>
        <v>3820.2121330949412</v>
      </c>
      <c r="F79" s="39">
        <f t="shared" ref="F79" si="297">SUM(F77:F78)</f>
        <v>3865.210078045719</v>
      </c>
      <c r="G79" s="39">
        <f t="shared" ref="G79" si="298">SUM(G77:G78)</f>
        <v>3910.3913501942425</v>
      </c>
      <c r="H79" s="39">
        <f t="shared" ref="H79" si="299">SUM(H77:H78)</f>
        <v>3955.7566964381954</v>
      </c>
      <c r="I79" s="39">
        <f t="shared" ref="I79" si="300">SUM(I77:I78)</f>
        <v>4001.3068667182374</v>
      </c>
      <c r="J79" s="39">
        <f t="shared" ref="J79" si="301">SUM(J77:J78)</f>
        <v>4047.042614030368</v>
      </c>
      <c r="K79" s="39">
        <f t="shared" ref="K79" si="302">SUM(K77:K78)</f>
        <v>4092.9646944383844</v>
      </c>
      <c r="L79" s="39">
        <f t="shared" ref="L79" si="303">SUM(L77:L78)</f>
        <v>4139.0738670863857</v>
      </c>
      <c r="M79" s="39">
        <f t="shared" ref="M79" si="304">SUM(M77:M78)</f>
        <v>4185.3708942113153</v>
      </c>
      <c r="N79" s="39">
        <f t="shared" ref="N79" si="305">SUM(N77:N78)</f>
        <v>4231.8565411555683</v>
      </c>
      <c r="O79" s="39">
        <f t="shared" ref="O79" si="306">SUM(O77:O78)</f>
        <v>4278.5315763796334</v>
      </c>
      <c r="P79" s="39">
        <f t="shared" ref="P79" si="307">SUM(P77:P78)</f>
        <v>4325.3967714748096</v>
      </c>
      <c r="Q79" s="39">
        <f t="shared" ref="Q79" si="308">SUM(Q77:Q78)</f>
        <v>4372.4529011759487</v>
      </c>
      <c r="R79" s="39">
        <f t="shared" ref="R79" si="309">SUM(R77:R78)</f>
        <v>4419.7007433742656</v>
      </c>
      <c r="S79" s="39">
        <f t="shared" ref="S79" si="310">SUM(S77:S78)</f>
        <v>4467.1410791302133</v>
      </c>
      <c r="T79" s="39">
        <f t="shared" ref="T79" si="311">SUM(T77:T78)</f>
        <v>4514.7746926863674</v>
      </c>
      <c r="U79" s="39">
        <f t="shared" ref="U79" si="312">SUM(U77:U78)</f>
        <v>4562.6023714804096</v>
      </c>
      <c r="V79" s="39">
        <f t="shared" ref="V79" si="313">SUM(V77:V78)</f>
        <v>4610.6249061581457</v>
      </c>
      <c r="W79" s="39">
        <f t="shared" ref="W79" si="314">SUM(W77:W78)</f>
        <v>4658.8430905865625</v>
      </c>
      <c r="X79" s="39">
        <f t="shared" ref="X79" si="315">SUM(X77:X78)</f>
        <v>4707.2577218669649</v>
      </c>
      <c r="Y79" s="39">
        <f t="shared" ref="Y79" si="316">SUM(Y77:Y78)</f>
        <v>4755.86960034814</v>
      </c>
      <c r="Z79" s="39">
        <f t="shared" ref="Z79" si="317">SUM(Z77:Z78)</f>
        <v>4804.6795296396067</v>
      </c>
      <c r="AA79" s="39">
        <f t="shared" ref="AA79" si="318">SUM(AA77:AA78)</f>
        <v>4853.6883166248754</v>
      </c>
      <c r="AB79" s="39">
        <f t="shared" ref="AB79" si="319">SUM(AB77:AB78)</f>
        <v>4902.8967714748105</v>
      </c>
      <c r="AC79" s="39">
        <f t="shared" ref="AC79" si="320">SUM(AC77:AC78)</f>
        <v>4952.305707661003</v>
      </c>
      <c r="AD79" s="39">
        <f t="shared" ref="AD79" si="321">SUM(AD77:AD78)</f>
        <v>5001.9159419692414</v>
      </c>
      <c r="AE79" s="39">
        <f t="shared" ref="AE79" si="322">SUM(AE77:AE78)</f>
        <v>5051.7282945129846</v>
      </c>
      <c r="AF79" s="39">
        <f t="shared" ref="AF79" si="323">SUM(AF77:AF78)</f>
        <v>5101.7435887469464</v>
      </c>
      <c r="AG79" s="39">
        <f t="shared" ref="AG79" si="324">SUM(AG77:AG78)</f>
        <v>5151.9626514806905</v>
      </c>
      <c r="AH79" s="39">
        <f t="shared" ref="AH79" si="325">SUM(AH77:AH78)</f>
        <v>5202.386312892314</v>
      </c>
      <c r="AI79" s="39">
        <f t="shared" ref="AI79" si="326">SUM(AI77:AI78)</f>
        <v>5253.015406542152</v>
      </c>
      <c r="AJ79" s="39">
        <f t="shared" ref="AJ79" si="327">SUM(AJ77:AJ78)</f>
        <v>5303.8507693865704</v>
      </c>
      <c r="AK79" s="39">
        <f t="shared" ref="AK79" si="328">SUM(AK77:AK78)</f>
        <v>5354.8932417918077</v>
      </c>
      <c r="AL79" s="39">
        <f t="shared" ref="AL79" si="329">SUM(AL77:AL78)</f>
        <v>5406.1436675478462</v>
      </c>
      <c r="AM79" s="39">
        <f t="shared" ref="AM79" si="330">SUM(AM77:AM78)</f>
        <v>5457.6028938823802</v>
      </c>
      <c r="AN79" s="39">
        <f t="shared" ref="AN79" si="331">SUM(AN77:AN78)</f>
        <v>5509.2717714748096</v>
      </c>
      <c r="AO79" s="39">
        <f t="shared" ref="AO79" si="332">SUM(AO77:AO78)</f>
        <v>5561.1511544703144</v>
      </c>
      <c r="AP79" s="39">
        <f t="shared" ref="AP79" si="333">SUM(AP77:AP78)</f>
        <v>5613.2419004939647</v>
      </c>
      <c r="AQ79" s="39">
        <f t="shared" ref="AQ79" si="334">SUM(AQ77:AQ78)</f>
        <v>5665.5448706648931</v>
      </c>
      <c r="AR79" s="39">
        <f t="shared" ref="AR79" si="335">SUM(AR77:AR78)</f>
        <v>5718.0609296105513</v>
      </c>
      <c r="AS79" s="39">
        <f t="shared" ref="AS79" si="336">SUM(AS77:AS78)</f>
        <v>5770.7909454809851</v>
      </c>
      <c r="AT79" s="39">
        <f t="shared" ref="AT79" si="337">SUM(AT77:AT78)</f>
        <v>5823.7357899631897</v>
      </c>
      <c r="AU79" s="39">
        <f t="shared" ref="AU79" si="338">SUM(AU77:AU78)</f>
        <v>5876.8963382955208</v>
      </c>
      <c r="AV79" s="39">
        <f t="shared" ref="AV79" si="339">SUM(AV77:AV78)</f>
        <v>5930.2734692821596</v>
      </c>
      <c r="AW79" s="39">
        <f t="shared" ref="AW79" si="340">SUM(AW77:AW78)</f>
        <v>5983.868065307659</v>
      </c>
      <c r="AX79" s="39">
        <f t="shared" ref="AX79" si="341">SUM(AX77:AX78)</f>
        <v>6037.6810123515006</v>
      </c>
      <c r="AY79" s="39">
        <f t="shared" ref="AY79" si="342">SUM(AY77:AY78)</f>
        <v>6091.7132000027595</v>
      </c>
      <c r="AZ79" s="39">
        <f t="shared" ref="AZ79" si="343">SUM(AZ77:AZ78)</f>
        <v>6145.9655214748072</v>
      </c>
      <c r="BA79" s="39">
        <f t="shared" ref="BA79" si="344">SUM(BA77:BA78)</f>
        <v>6200.4388736200926</v>
      </c>
      <c r="BB79" s="39">
        <f t="shared" ref="BB79" si="345">SUM(BB77:BB78)</f>
        <v>6255.1341569449214</v>
      </c>
      <c r="BC79" s="39">
        <f t="shared" ref="BC79" si="346">SUM(BC77:BC78)</f>
        <v>6310.052275624399</v>
      </c>
      <c r="BD79" s="39">
        <f t="shared" ref="BD79" si="347">SUM(BD77:BD78)</f>
        <v>6365.194137517341</v>
      </c>
      <c r="BE79" s="39">
        <f t="shared" ref="BE79" si="348">SUM(BE77:BE78)</f>
        <v>6420.560654181294</v>
      </c>
      <c r="BF79" s="39">
        <f t="shared" ref="BF79" si="349">SUM(BF77:BF78)</f>
        <v>6476.15274088761</v>
      </c>
      <c r="BG79" s="39">
        <f t="shared" ref="BG79" si="350">SUM(BG77:BG78)</f>
        <v>6531.9713166365545</v>
      </c>
      <c r="BH79" s="39">
        <f t="shared" ref="BH79" si="351">SUM(BH77:BH78)</f>
        <v>6588.017304172532</v>
      </c>
      <c r="BI79" s="39">
        <f t="shared" ref="BI79" si="352">SUM(BI77:BI78)</f>
        <v>6644.2916299993012</v>
      </c>
      <c r="BJ79" s="39">
        <f t="shared" ref="BJ79" si="353">SUM(BJ77:BJ78)</f>
        <v>6700.795224395335</v>
      </c>
      <c r="BK79" s="39">
        <f t="shared" ref="BK79" si="354">SUM(BK77:BK78)</f>
        <v>1415717.8888782025</v>
      </c>
      <c r="BL79" s="39">
        <f t="shared" ref="BL79" si="355">SUM(BL77:BL78)</f>
        <v>0</v>
      </c>
      <c r="BM79" s="39">
        <f t="shared" ref="BM79" si="356">SUM(BM77:BM78)</f>
        <v>0</v>
      </c>
      <c r="BN79" s="39">
        <f t="shared" ref="BN79" si="357">SUM(BN77:BN78)</f>
        <v>0</v>
      </c>
      <c r="BO79" s="39">
        <f t="shared" ref="BO79" si="358">SUM(BO77:BO78)</f>
        <v>0</v>
      </c>
      <c r="BP79" s="39">
        <f t="shared" ref="BP79" si="359">SUM(BP77:BP78)</f>
        <v>0</v>
      </c>
      <c r="BQ79" s="39">
        <f t="shared" ref="BQ79" si="360">SUM(BQ77:BQ78)</f>
        <v>0</v>
      </c>
      <c r="BR79" s="39">
        <f t="shared" ref="BR79" si="361">SUM(BR77:BR78)</f>
        <v>0</v>
      </c>
      <c r="BS79" s="39">
        <f t="shared" ref="BS79" si="362">SUM(BS77:BS78)</f>
        <v>0</v>
      </c>
      <c r="BT79" s="39">
        <f t="shared" ref="BT79" si="363">SUM(BT77:BT78)</f>
        <v>0</v>
      </c>
      <c r="BU79" s="39">
        <f t="shared" ref="BU79" si="364">SUM(BU77:BU78)</f>
        <v>0</v>
      </c>
      <c r="BV79" s="39">
        <f t="shared" ref="BV79" si="365">SUM(BV77:BV78)</f>
        <v>0</v>
      </c>
      <c r="BW79" s="39">
        <f t="shared" ref="BW79" si="366">SUM(BW77:BW78)</f>
        <v>0</v>
      </c>
      <c r="BX79" s="39">
        <f t="shared" ref="BX79" si="367">SUM(BX77:BX78)</f>
        <v>0</v>
      </c>
      <c r="BY79" s="39">
        <f t="shared" ref="BY79" si="368">SUM(BY77:BY78)</f>
        <v>0</v>
      </c>
      <c r="BZ79" s="39">
        <f t="shared" ref="BZ79" si="369">SUM(BZ77:BZ78)</f>
        <v>0</v>
      </c>
      <c r="CA79" s="39">
        <f t="shared" ref="CA79" si="370">SUM(CA77:CA78)</f>
        <v>0</v>
      </c>
      <c r="CB79" s="39">
        <f t="shared" ref="CB79" si="371">SUM(CB77:CB78)</f>
        <v>0</v>
      </c>
      <c r="CC79" s="39">
        <f t="shared" ref="CC79" si="372">SUM(CC77:CC78)</f>
        <v>0</v>
      </c>
      <c r="CD79" s="39">
        <f t="shared" ref="CD79" si="373">SUM(CD77:CD78)</f>
        <v>0</v>
      </c>
      <c r="CE79" s="39">
        <f t="shared" ref="CE79" si="374">SUM(CE77:CE78)</f>
        <v>0</v>
      </c>
      <c r="CF79" s="39">
        <f t="shared" ref="CF79" si="375">SUM(CF77:CF78)</f>
        <v>0</v>
      </c>
      <c r="CG79" s="39">
        <f t="shared" ref="CG79" si="376">SUM(CG77:CG78)</f>
        <v>0</v>
      </c>
      <c r="CH79" s="39">
        <f t="shared" ref="CH79" si="377">SUM(CH77:CH78)</f>
        <v>0</v>
      </c>
      <c r="CI79" s="39">
        <f t="shared" ref="CI79" si="378">SUM(CI77:CI78)</f>
        <v>0</v>
      </c>
      <c r="CJ79" s="39">
        <f t="shared" ref="CJ79" si="379">SUM(CJ77:CJ78)</f>
        <v>0</v>
      </c>
      <c r="CK79" s="39">
        <f t="shared" ref="CK79" si="380">SUM(CK77:CK78)</f>
        <v>0</v>
      </c>
      <c r="CL79" s="39">
        <f t="shared" ref="CL79" si="381">SUM(CL77:CL78)</f>
        <v>0</v>
      </c>
      <c r="CM79" s="39">
        <f t="shared" ref="CM79" si="382">SUM(CM77:CM78)</f>
        <v>0</v>
      </c>
      <c r="CN79" s="39">
        <f t="shared" ref="CN79" si="383">SUM(CN77:CN78)</f>
        <v>0</v>
      </c>
      <c r="CO79" s="39">
        <f t="shared" ref="CO79" si="384">SUM(CO77:CO78)</f>
        <v>0</v>
      </c>
      <c r="CP79" s="39">
        <f t="shared" ref="CP79" si="385">SUM(CP77:CP78)</f>
        <v>0</v>
      </c>
      <c r="CQ79" s="39">
        <f t="shared" ref="CQ79" si="386">SUM(CQ77:CQ78)</f>
        <v>0</v>
      </c>
      <c r="CR79" s="39">
        <f t="shared" ref="CR79" si="387">SUM(CR77:CR78)</f>
        <v>0</v>
      </c>
      <c r="CS79" s="39">
        <f t="shared" ref="CS79" si="388">SUM(CS77:CS78)</f>
        <v>0</v>
      </c>
      <c r="CT79" s="39">
        <f t="shared" ref="CT79" si="389">SUM(CT77:CT78)</f>
        <v>0</v>
      </c>
      <c r="CU79" s="39">
        <f t="shared" ref="CU79" si="390">SUM(CU77:CU78)</f>
        <v>0</v>
      </c>
      <c r="CV79" s="39">
        <f t="shared" ref="CV79" si="391">SUM(CV77:CV78)</f>
        <v>0</v>
      </c>
      <c r="CW79" s="39">
        <f t="shared" ref="CW79" si="392">SUM(CW77:CW78)</f>
        <v>0</v>
      </c>
      <c r="CX79" s="39">
        <f t="shared" ref="CX79" si="393">SUM(CX77:CX78)</f>
        <v>0</v>
      </c>
      <c r="CY79" s="39">
        <f t="shared" ref="CY79" si="394">SUM(CY77:CY78)</f>
        <v>0</v>
      </c>
      <c r="CZ79" s="39">
        <f t="shared" ref="CZ79" si="395">SUM(CZ77:CZ78)</f>
        <v>0</v>
      </c>
      <c r="DA79" s="39">
        <f t="shared" ref="DA79" si="396">SUM(DA77:DA78)</f>
        <v>0</v>
      </c>
      <c r="DB79" s="39">
        <f t="shared" ref="DB79" si="397">SUM(DB77:DB78)</f>
        <v>0</v>
      </c>
      <c r="DC79" s="39">
        <f t="shared" ref="DC79" si="398">SUM(DC77:DC78)</f>
        <v>0</v>
      </c>
      <c r="DD79" s="39">
        <f t="shared" ref="DD79" si="399">SUM(DD77:DD78)</f>
        <v>0</v>
      </c>
      <c r="DE79" s="39">
        <f t="shared" ref="DE79" si="400">SUM(DE77:DE78)</f>
        <v>0</v>
      </c>
      <c r="DF79" s="39">
        <f t="shared" ref="DF79" si="401">SUM(DF77:DF78)</f>
        <v>0</v>
      </c>
      <c r="DG79" s="39">
        <f t="shared" ref="DG79" si="402">SUM(DG77:DG78)</f>
        <v>0</v>
      </c>
      <c r="DH79" s="39">
        <f t="shared" ref="DH79" si="403">SUM(DH77:DH78)</f>
        <v>0</v>
      </c>
      <c r="DI79" s="39">
        <f t="shared" ref="DI79" si="404">SUM(DI77:DI78)</f>
        <v>0</v>
      </c>
      <c r="DJ79" s="39">
        <f t="shared" ref="DJ79" si="405">SUM(DJ77:DJ78)</f>
        <v>0</v>
      </c>
      <c r="DK79" s="39">
        <f t="shared" ref="DK79" si="406">SUM(DK77:DK78)</f>
        <v>0</v>
      </c>
      <c r="DL79" s="39">
        <f t="shared" ref="DL79" si="407">SUM(DL77:DL78)</f>
        <v>0</v>
      </c>
      <c r="DM79" s="39">
        <f t="shared" ref="DM79" si="408">SUM(DM77:DM78)</f>
        <v>0</v>
      </c>
      <c r="DN79" s="39">
        <f t="shared" ref="DN79" si="409">SUM(DN77:DN78)</f>
        <v>0</v>
      </c>
      <c r="DO79" s="39">
        <f t="shared" ref="DO79" si="410">SUM(DO77:DO78)</f>
        <v>0</v>
      </c>
      <c r="DP79" s="39">
        <f t="shared" ref="DP79" si="411">SUM(DP77:DP78)</f>
        <v>0</v>
      </c>
      <c r="DQ79" s="39">
        <f t="shared" ref="DQ79" si="412">SUM(DQ77:DQ78)</f>
        <v>0</v>
      </c>
      <c r="DR79" s="39">
        <f t="shared" ref="DR79" si="413">SUM(DR77:DR78)</f>
        <v>0</v>
      </c>
      <c r="DS79" s="39">
        <f t="shared" ref="DS79" si="414">SUM(DS77:DS78)</f>
        <v>0</v>
      </c>
      <c r="DT79" s="39">
        <f t="shared" ref="DT79" si="415">SUM(DT77:DT78)</f>
        <v>0</v>
      </c>
      <c r="DU79" s="39">
        <f t="shared" ref="DU79" si="416">SUM(DU77:DU78)</f>
        <v>0</v>
      </c>
      <c r="DV79" s="39">
        <f t="shared" ref="DV79" si="417">SUM(DV77:DV78)</f>
        <v>0</v>
      </c>
      <c r="DW79" s="39">
        <f t="shared" ref="DW79" si="418">SUM(DW77:DW78)</f>
        <v>0</v>
      </c>
      <c r="DX79" s="39">
        <f t="shared" ref="DX79" si="419">SUM(DX77:DX78)</f>
        <v>0</v>
      </c>
      <c r="DY79" s="39">
        <f t="shared" ref="DY79" si="420">SUM(DY77:DY78)</f>
        <v>0</v>
      </c>
      <c r="DZ79" s="39">
        <f t="shared" ref="DZ79" si="421">SUM(DZ77:DZ78)</f>
        <v>0</v>
      </c>
      <c r="EA79" s="39">
        <f t="shared" ref="EA79" si="422">SUM(EA77:EA78)</f>
        <v>0</v>
      </c>
      <c r="EB79" s="39">
        <f t="shared" ref="EB79" si="423">SUM(EB77:EB78)</f>
        <v>0</v>
      </c>
      <c r="EC79" s="39">
        <f t="shared" ref="EC79" si="424">SUM(EC77:EC78)</f>
        <v>0</v>
      </c>
      <c r="ED79" s="39">
        <f t="shared" ref="ED79" si="425">SUM(ED77:ED78)</f>
        <v>0</v>
      </c>
      <c r="EE79" s="39">
        <f t="shared" ref="EE79" si="426">SUM(EE77:EE78)</f>
        <v>0</v>
      </c>
    </row>
    <row r="81" spans="2:3" x14ac:dyDescent="0.35">
      <c r="B81" s="57" t="s">
        <v>66</v>
      </c>
      <c r="C81" s="58"/>
    </row>
    <row r="82" spans="2:3" x14ac:dyDescent="0.35">
      <c r="B82" s="33" t="s">
        <v>6</v>
      </c>
      <c r="C82" s="38">
        <f>SUM(C50:EE50)*D4</f>
        <v>1434529.4026806317</v>
      </c>
    </row>
    <row r="83" spans="2:3" x14ac:dyDescent="0.35">
      <c r="B83" s="34" t="s">
        <v>7</v>
      </c>
      <c r="C83" s="38">
        <f>SUM(C62:EE62)*D5</f>
        <v>1.2732925824820995E-12</v>
      </c>
    </row>
    <row r="84" spans="2:3" x14ac:dyDescent="0.35">
      <c r="B84" s="54" t="s">
        <v>8</v>
      </c>
      <c r="C84" s="38">
        <f>SUM(C68:EE68)*D6</f>
        <v>0</v>
      </c>
    </row>
    <row r="85" spans="2:3" x14ac:dyDescent="0.35">
      <c r="B85" s="35" t="s">
        <v>67</v>
      </c>
      <c r="C85" s="40">
        <f>SUM(C82:C84)</f>
        <v>1434529.4026806317</v>
      </c>
    </row>
  </sheetData>
  <mergeCells count="6">
    <mergeCell ref="B81:C81"/>
    <mergeCell ref="B8:C8"/>
    <mergeCell ref="H2:I2"/>
    <mergeCell ref="K2:L2"/>
    <mergeCell ref="N2:O2"/>
    <mergeCell ref="N6:O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Manya Agarwal</dc:creator>
  <cp:lastModifiedBy>Manya Agarwal</cp:lastModifiedBy>
  <dcterms:created xsi:type="dcterms:W3CDTF">2024-10-17T13:56:33Z</dcterms:created>
  <dcterms:modified xsi:type="dcterms:W3CDTF">2024-10-28T14:43:23Z</dcterms:modified>
</cp:coreProperties>
</file>